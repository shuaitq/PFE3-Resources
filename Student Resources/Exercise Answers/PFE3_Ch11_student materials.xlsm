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28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5F7183B5-45F1-7C45-8F46-394C992E215A}" xr6:coauthVersionLast="47" xr6:coauthVersionMax="47" xr10:uidLastSave="{00000000-0000-0000-0000-000000000000}"/>
  <bookViews>
    <workbookView xWindow="0" yWindow="500" windowWidth="33600" windowHeight="19120" firstSheet="20" activeTab="28" xr2:uid="{00000000-000D-0000-FFFF-FFFF00000000}"/>
  </bookViews>
  <sheets>
    <sheet name="Exercise 1 template" sheetId="48" r:id="rId1"/>
    <sheet name="Exercise 2 template" sheetId="49" r:id="rId2"/>
    <sheet name="Exercise 3 template" sheetId="50" r:id="rId3"/>
    <sheet name="Exercise 4 template" sheetId="19" r:id="rId4"/>
    <sheet name="Exercise 5 template" sheetId="51" r:id="rId5"/>
    <sheet name="Exercise 6 template" sheetId="52" r:id="rId6"/>
    <sheet name="Exercise 7 template" sheetId="15" r:id="rId7"/>
    <sheet name="Exercise 8 template" sheetId="38" r:id="rId8"/>
    <sheet name="Exercise 9 template" sheetId="53" r:id="rId9"/>
    <sheet name="Exercise 10 template" sheetId="54" r:id="rId10"/>
    <sheet name="Exercise 11 template" sheetId="55" r:id="rId11"/>
    <sheet name="Exercise 12 template" sheetId="56" r:id="rId12"/>
    <sheet name="Exercise 13 template" sheetId="39" r:id="rId13"/>
    <sheet name="Exercise 14 template" sheetId="57" r:id="rId14"/>
    <sheet name="Exercise 15 template" sheetId="58" r:id="rId15"/>
    <sheet name="Exercise 16 template" sheetId="33" r:id="rId16"/>
    <sheet name="Exercise 17 template" sheetId="41" r:id="rId17"/>
    <sheet name="Exercise 18 template" sheetId="43" r:id="rId18"/>
    <sheet name="Exercise 19 template" sheetId="59" r:id="rId19"/>
    <sheet name="Exercise 20 template" sheetId="60" r:id="rId20"/>
    <sheet name="Exercise 21 template" sheetId="61" r:id="rId21"/>
    <sheet name="Exercise 22 template" sheetId="62" r:id="rId22"/>
    <sheet name="Exercise 23 template" sheetId="63" r:id="rId23"/>
    <sheet name="Exercise 24 template" sheetId="64" r:id="rId24"/>
    <sheet name="Exercise 25 template" sheetId="65" r:id="rId25"/>
    <sheet name="Exercise 26 template" sheetId="45" r:id="rId26"/>
    <sheet name="Exercise 27 template" sheetId="46" r:id="rId27"/>
    <sheet name="Exercise 28 template" sheetId="47" r:id="rId28"/>
    <sheet name="Exercise 29 template" sheetId="66" r:id="rId29"/>
  </sheets>
  <functionGroups builtInGroupCount="19"/>
  <definedNames>
    <definedName name="solver_adj" localSheetId="11" hidden="1">'Exercise 12 template'!$B$11</definedName>
    <definedName name="solver_adj" localSheetId="13" hidden="1">'Exercise 14 template'!$B$11</definedName>
    <definedName name="solver_adj" localSheetId="15" hidden="1">'Exercise 16 template'!$B$23</definedName>
    <definedName name="solver_adj" localSheetId="26" hidden="1">'Exercise 27 template'!$B$27</definedName>
    <definedName name="solver_adj" localSheetId="4" hidden="1">'Exercise 5 template'!$B$33</definedName>
    <definedName name="solver_adj" localSheetId="5" hidden="1">'Exercise 6 template'!$B$3</definedName>
    <definedName name="solver_adj" localSheetId="7" hidden="1">'Exercise 8 template'!$B$55</definedName>
    <definedName name="solver_adj" localSheetId="8" hidden="1">'Exercise 9 template'!$B$32</definedName>
    <definedName name="solver_cvg" localSheetId="11" hidden="1">0.0001</definedName>
    <definedName name="solver_cvg" localSheetId="13" hidden="1">0.0001</definedName>
    <definedName name="solver_cvg" localSheetId="15" hidden="1">0.0001</definedName>
    <definedName name="solver_cvg" localSheetId="26" hidden="1">0.0001</definedName>
    <definedName name="solver_cvg" localSheetId="4" hidden="1">0.0001</definedName>
    <definedName name="solver_cvg" localSheetId="5" hidden="1">0.0001</definedName>
    <definedName name="solver_cvg" localSheetId="7" hidden="1">0.0001</definedName>
    <definedName name="solver_cvg" localSheetId="8" hidden="1">0.0001</definedName>
    <definedName name="solver_drv" localSheetId="11" hidden="1">1</definedName>
    <definedName name="solver_drv" localSheetId="13" hidden="1">1</definedName>
    <definedName name="solver_drv" localSheetId="15" hidden="1">1</definedName>
    <definedName name="solver_drv" localSheetId="26" hidden="1">1</definedName>
    <definedName name="solver_drv" localSheetId="4" hidden="1">1</definedName>
    <definedName name="solver_drv" localSheetId="5" hidden="1">1</definedName>
    <definedName name="solver_drv" localSheetId="7" hidden="1">1</definedName>
    <definedName name="solver_drv" localSheetId="8" hidden="1">1</definedName>
    <definedName name="solver_eng" localSheetId="9" hidden="1">1</definedName>
    <definedName name="solver_eng" localSheetId="11" hidden="1">1</definedName>
    <definedName name="solver_eng" localSheetId="13" hidden="1">1</definedName>
    <definedName name="solver_eng" localSheetId="15" hidden="1">1</definedName>
    <definedName name="solver_eng" localSheetId="26" hidden="1">1</definedName>
    <definedName name="solver_eng" localSheetId="27" hidden="1">1</definedName>
    <definedName name="solver_eng" localSheetId="4" hidden="1">1</definedName>
    <definedName name="solver_eng" localSheetId="5" hidden="1">1</definedName>
    <definedName name="solver_eng" localSheetId="7" hidden="1">1</definedName>
    <definedName name="solver_eng" localSheetId="8" hidden="1">1</definedName>
    <definedName name="solver_est" localSheetId="26" hidden="1">1</definedName>
    <definedName name="solver_est" localSheetId="7" hidden="1">1</definedName>
    <definedName name="solver_itr" localSheetId="11" hidden="1">2147483647</definedName>
    <definedName name="solver_itr" localSheetId="13" hidden="1">2147483647</definedName>
    <definedName name="solver_itr" localSheetId="15" hidden="1">2147483647</definedName>
    <definedName name="solver_itr" localSheetId="26" hidden="1">2147483647</definedName>
    <definedName name="solver_itr" localSheetId="4" hidden="1">2147483647</definedName>
    <definedName name="solver_itr" localSheetId="5" hidden="1">2147483647</definedName>
    <definedName name="solver_itr" localSheetId="7" hidden="1">100</definedName>
    <definedName name="solver_itr" localSheetId="8" hidden="1">2147483647</definedName>
    <definedName name="solver_lhs1" localSheetId="26" hidden="1">'Exercise 27 template'!$B$23</definedName>
    <definedName name="solver_lin" localSheetId="9" hidden="1">2</definedName>
    <definedName name="solver_lin" localSheetId="11" hidden="1">2</definedName>
    <definedName name="solver_lin" localSheetId="13" hidden="1">2</definedName>
    <definedName name="solver_lin" localSheetId="15" hidden="1">2</definedName>
    <definedName name="solver_lin" localSheetId="26" hidden="1">2</definedName>
    <definedName name="solver_lin" localSheetId="27" hidden="1">2</definedName>
    <definedName name="solver_lin" localSheetId="4" hidden="1">2</definedName>
    <definedName name="solver_lin" localSheetId="5" hidden="1">2</definedName>
    <definedName name="solver_lin" localSheetId="7" hidden="1">2</definedName>
    <definedName name="solver_lin" localSheetId="8" hidden="1">2</definedName>
    <definedName name="solver_mip" localSheetId="11" hidden="1">2147483647</definedName>
    <definedName name="solver_mip" localSheetId="13" hidden="1">2147483647</definedName>
    <definedName name="solver_mip" localSheetId="15" hidden="1">2147483647</definedName>
    <definedName name="solver_mip" localSheetId="26" hidden="1">2147483647</definedName>
    <definedName name="solver_mip" localSheetId="4" hidden="1">2147483647</definedName>
    <definedName name="solver_mip" localSheetId="5" hidden="1">2147483647</definedName>
    <definedName name="solver_mip" localSheetId="7" hidden="1">2147483647</definedName>
    <definedName name="solver_mip" localSheetId="8" hidden="1">2147483647</definedName>
    <definedName name="solver_mni" localSheetId="11" hidden="1">30</definedName>
    <definedName name="solver_mni" localSheetId="13" hidden="1">30</definedName>
    <definedName name="solver_mni" localSheetId="15" hidden="1">30</definedName>
    <definedName name="solver_mni" localSheetId="26" hidden="1">30</definedName>
    <definedName name="solver_mni" localSheetId="4" hidden="1">30</definedName>
    <definedName name="solver_mni" localSheetId="5" hidden="1">30</definedName>
    <definedName name="solver_mni" localSheetId="7" hidden="1">30</definedName>
    <definedName name="solver_mni" localSheetId="8" hidden="1">30</definedName>
    <definedName name="solver_mrt" localSheetId="11" hidden="1">0.075</definedName>
    <definedName name="solver_mrt" localSheetId="13" hidden="1">0.075</definedName>
    <definedName name="solver_mrt" localSheetId="15" hidden="1">0.075</definedName>
    <definedName name="solver_mrt" localSheetId="26" hidden="1">0.075</definedName>
    <definedName name="solver_mrt" localSheetId="4" hidden="1">0.075</definedName>
    <definedName name="solver_mrt" localSheetId="5" hidden="1">0.075</definedName>
    <definedName name="solver_mrt" localSheetId="7" hidden="1">0.075</definedName>
    <definedName name="solver_mrt" localSheetId="8" hidden="1">0.075</definedName>
    <definedName name="solver_msl" localSheetId="11" hidden="1">2</definedName>
    <definedName name="solver_msl" localSheetId="13" hidden="1">2</definedName>
    <definedName name="solver_msl" localSheetId="15" hidden="1">2</definedName>
    <definedName name="solver_msl" localSheetId="26" hidden="1">2</definedName>
    <definedName name="solver_msl" localSheetId="4" hidden="1">2</definedName>
    <definedName name="solver_msl" localSheetId="5" hidden="1">2</definedName>
    <definedName name="solver_msl" localSheetId="7" hidden="1">2</definedName>
    <definedName name="solver_msl" localSheetId="8" hidden="1">2</definedName>
    <definedName name="solver_neg" localSheetId="9" hidden="1">1</definedName>
    <definedName name="solver_neg" localSheetId="11" hidden="1">1</definedName>
    <definedName name="solver_neg" localSheetId="13" hidden="1">1</definedName>
    <definedName name="solver_neg" localSheetId="15" hidden="1">1</definedName>
    <definedName name="solver_neg" localSheetId="26" hidden="1">1</definedName>
    <definedName name="solver_neg" localSheetId="27" hidden="1">1</definedName>
    <definedName name="solver_neg" localSheetId="4" hidden="1">1</definedName>
    <definedName name="solver_neg" localSheetId="5" hidden="1">1</definedName>
    <definedName name="solver_neg" localSheetId="7" hidden="1">2</definedName>
    <definedName name="solver_neg" localSheetId="8" hidden="1">1</definedName>
    <definedName name="solver_nod" localSheetId="11" hidden="1">2147483647</definedName>
    <definedName name="solver_nod" localSheetId="13" hidden="1">2147483647</definedName>
    <definedName name="solver_nod" localSheetId="15" hidden="1">2147483647</definedName>
    <definedName name="solver_nod" localSheetId="26" hidden="1">2147483647</definedName>
    <definedName name="solver_nod" localSheetId="4" hidden="1">2147483647</definedName>
    <definedName name="solver_nod" localSheetId="5" hidden="1">2147483647</definedName>
    <definedName name="solver_nod" localSheetId="7" hidden="1">2147483647</definedName>
    <definedName name="solver_nod" localSheetId="8" hidden="1">2147483647</definedName>
    <definedName name="solver_num" localSheetId="9" hidden="1">0</definedName>
    <definedName name="solver_num" localSheetId="11" hidden="1">0</definedName>
    <definedName name="solver_num" localSheetId="13" hidden="1">0</definedName>
    <definedName name="solver_num" localSheetId="15" hidden="1">0</definedName>
    <definedName name="solver_num" localSheetId="26" hidden="1">0</definedName>
    <definedName name="solver_num" localSheetId="27" hidden="1">0</definedName>
    <definedName name="solver_num" localSheetId="4" hidden="1">0</definedName>
    <definedName name="solver_num" localSheetId="5" hidden="1">0</definedName>
    <definedName name="solver_num" localSheetId="7" hidden="1">0</definedName>
    <definedName name="solver_num" localSheetId="8" hidden="1">0</definedName>
    <definedName name="solver_nwt" localSheetId="26" hidden="1">1</definedName>
    <definedName name="solver_nwt" localSheetId="7" hidden="1">1</definedName>
    <definedName name="solver_opt" localSheetId="9" hidden="1">'Exercise 10 template'!$C$12</definedName>
    <definedName name="solver_opt" localSheetId="11" hidden="1">'Exercise 12 template'!$B$17</definedName>
    <definedName name="solver_opt" localSheetId="13" hidden="1">'Exercise 14 template'!$B$16</definedName>
    <definedName name="solver_opt" localSheetId="15" hidden="1">'Exercise 16 template'!$B$28</definedName>
    <definedName name="solver_opt" localSheetId="26" hidden="1">'Exercise 27 template'!$B$34</definedName>
    <definedName name="solver_opt" localSheetId="27" hidden="1">'Exercise 28 template'!$E$10</definedName>
    <definedName name="solver_opt" localSheetId="4" hidden="1">'Exercise 5 template'!$B$36</definedName>
    <definedName name="solver_opt" localSheetId="5" hidden="1">'Exercise 6 template'!$B$8</definedName>
    <definedName name="solver_opt" localSheetId="7" hidden="1">'Exercise 8 template'!$B$59</definedName>
    <definedName name="solver_opt" localSheetId="8" hidden="1">'Exercise 9 template'!$C$35</definedName>
    <definedName name="solver_pre" localSheetId="11" hidden="1">0.000001</definedName>
    <definedName name="solver_pre" localSheetId="13" hidden="1">0.000001</definedName>
    <definedName name="solver_pre" localSheetId="15" hidden="1">0.000001</definedName>
    <definedName name="solver_pre" localSheetId="26" hidden="1">0.000001</definedName>
    <definedName name="solver_pre" localSheetId="4" hidden="1">0.000001</definedName>
    <definedName name="solver_pre" localSheetId="5" hidden="1">0.000001</definedName>
    <definedName name="solver_pre" localSheetId="7" hidden="1">0.000001</definedName>
    <definedName name="solver_pre" localSheetId="8" hidden="1">0.000001</definedName>
    <definedName name="solver_rbv" localSheetId="11" hidden="1">1</definedName>
    <definedName name="solver_rbv" localSheetId="13" hidden="1">1</definedName>
    <definedName name="solver_rbv" localSheetId="15" hidden="1">1</definedName>
    <definedName name="solver_rbv" localSheetId="26" hidden="1">1</definedName>
    <definedName name="solver_rbv" localSheetId="4" hidden="1">1</definedName>
    <definedName name="solver_rbv" localSheetId="5" hidden="1">1</definedName>
    <definedName name="solver_rbv" localSheetId="7" hidden="1">1</definedName>
    <definedName name="solver_rbv" localSheetId="8" hidden="1">1</definedName>
    <definedName name="solver_rel1" localSheetId="26" hidden="1">1</definedName>
    <definedName name="solver_rhs1" localSheetId="26" hidden="1">'Exercise 27 template'!$B$15</definedName>
    <definedName name="solver_rlx" localSheetId="11" hidden="1">2</definedName>
    <definedName name="solver_rlx" localSheetId="13" hidden="1">2</definedName>
    <definedName name="solver_rlx" localSheetId="15" hidden="1">2</definedName>
    <definedName name="solver_rlx" localSheetId="26" hidden="1">2</definedName>
    <definedName name="solver_rlx" localSheetId="4" hidden="1">2</definedName>
    <definedName name="solver_rlx" localSheetId="5" hidden="1">2</definedName>
    <definedName name="solver_rlx" localSheetId="7" hidden="1">1</definedName>
    <definedName name="solver_rlx" localSheetId="8" hidden="1">1</definedName>
    <definedName name="solver_rsd" localSheetId="11" hidden="1">0</definedName>
    <definedName name="solver_rsd" localSheetId="13" hidden="1">0</definedName>
    <definedName name="solver_rsd" localSheetId="15" hidden="1">0</definedName>
    <definedName name="solver_rsd" localSheetId="26" hidden="1">0</definedName>
    <definedName name="solver_rsd" localSheetId="4" hidden="1">0</definedName>
    <definedName name="solver_rsd" localSheetId="5" hidden="1">0</definedName>
    <definedName name="solver_rsd" localSheetId="7" hidden="1">0</definedName>
    <definedName name="solver_rsd" localSheetId="8" hidden="1">0</definedName>
    <definedName name="solver_scl" localSheetId="11" hidden="1">1</definedName>
    <definedName name="solver_scl" localSheetId="13" hidden="1">1</definedName>
    <definedName name="solver_scl" localSheetId="15" hidden="1">1</definedName>
    <definedName name="solver_scl" localSheetId="26" hidden="1">1</definedName>
    <definedName name="solver_scl" localSheetId="4" hidden="1">1</definedName>
    <definedName name="solver_scl" localSheetId="5" hidden="1">1</definedName>
    <definedName name="solver_scl" localSheetId="7" hidden="1">2</definedName>
    <definedName name="solver_scl" localSheetId="8" hidden="1">2</definedName>
    <definedName name="solver_sho" localSheetId="11" hidden="1">2</definedName>
    <definedName name="solver_sho" localSheetId="13" hidden="1">2</definedName>
    <definedName name="solver_sho" localSheetId="15" hidden="1">2</definedName>
    <definedName name="solver_sho" localSheetId="26" hidden="1">2</definedName>
    <definedName name="solver_sho" localSheetId="4" hidden="1">2</definedName>
    <definedName name="solver_sho" localSheetId="5" hidden="1">2</definedName>
    <definedName name="solver_sho" localSheetId="7" hidden="1">2</definedName>
    <definedName name="solver_sho" localSheetId="8" hidden="1">2</definedName>
    <definedName name="solver_ssz" localSheetId="11" hidden="1">100</definedName>
    <definedName name="solver_ssz" localSheetId="13" hidden="1">100</definedName>
    <definedName name="solver_ssz" localSheetId="15" hidden="1">100</definedName>
    <definedName name="solver_ssz" localSheetId="26" hidden="1">100</definedName>
    <definedName name="solver_ssz" localSheetId="4" hidden="1">100</definedName>
    <definedName name="solver_ssz" localSheetId="5" hidden="1">100</definedName>
    <definedName name="solver_ssz" localSheetId="7" hidden="1">100</definedName>
    <definedName name="solver_ssz" localSheetId="8" hidden="1">100</definedName>
    <definedName name="solver_tim" localSheetId="11" hidden="1">2147483647</definedName>
    <definedName name="solver_tim" localSheetId="13" hidden="1">2147483647</definedName>
    <definedName name="solver_tim" localSheetId="15" hidden="1">2147483647</definedName>
    <definedName name="solver_tim" localSheetId="26" hidden="1">2147483647</definedName>
    <definedName name="solver_tim" localSheetId="4" hidden="1">2147483647</definedName>
    <definedName name="solver_tim" localSheetId="5" hidden="1">2147483647</definedName>
    <definedName name="solver_tim" localSheetId="7" hidden="1">100</definedName>
    <definedName name="solver_tim" localSheetId="8" hidden="1">2147483647</definedName>
    <definedName name="solver_tol" localSheetId="11" hidden="1">0.01</definedName>
    <definedName name="solver_tol" localSheetId="13" hidden="1">0.01</definedName>
    <definedName name="solver_tol" localSheetId="15" hidden="1">0.01</definedName>
    <definedName name="solver_tol" localSheetId="26" hidden="1">0.01</definedName>
    <definedName name="solver_tol" localSheetId="4" hidden="1">0.01</definedName>
    <definedName name="solver_tol" localSheetId="5" hidden="1">0.01</definedName>
    <definedName name="solver_tol" localSheetId="7" hidden="1">0.05</definedName>
    <definedName name="solver_tol" localSheetId="8" hidden="1">0.01</definedName>
    <definedName name="solver_typ" localSheetId="9" hidden="1">3</definedName>
    <definedName name="solver_typ" localSheetId="11" hidden="1">1</definedName>
    <definedName name="solver_typ" localSheetId="13" hidden="1">1</definedName>
    <definedName name="solver_typ" localSheetId="15" hidden="1">1</definedName>
    <definedName name="solver_typ" localSheetId="26" hidden="1">1</definedName>
    <definedName name="solver_typ" localSheetId="27" hidden="1">1</definedName>
    <definedName name="solver_typ" localSheetId="4" hidden="1">3</definedName>
    <definedName name="solver_typ" localSheetId="5" hidden="1">1</definedName>
    <definedName name="solver_typ" localSheetId="7" hidden="1">2</definedName>
    <definedName name="solver_typ" localSheetId="8" hidden="1">3</definedName>
    <definedName name="solver_val" localSheetId="9" hidden="1">0</definedName>
    <definedName name="solver_val" localSheetId="11" hidden="1">0</definedName>
    <definedName name="solver_val" localSheetId="13" hidden="1">0</definedName>
    <definedName name="solver_val" localSheetId="15" hidden="1">0</definedName>
    <definedName name="solver_val" localSheetId="26" hidden="1">0</definedName>
    <definedName name="solver_val" localSheetId="27" hidden="1">0</definedName>
    <definedName name="solver_val" localSheetId="4" hidden="1">0.05</definedName>
    <definedName name="solver_val" localSheetId="5" hidden="1">0</definedName>
    <definedName name="solver_val" localSheetId="7" hidden="1">0</definedName>
    <definedName name="solver_val" localSheetId="8" hidden="1">0</definedName>
    <definedName name="solver_ver" localSheetId="9" hidden="1">2</definedName>
    <definedName name="solver_ver" localSheetId="11" hidden="1">2</definedName>
    <definedName name="solver_ver" localSheetId="13" hidden="1">2</definedName>
    <definedName name="solver_ver" localSheetId="15" hidden="1">2</definedName>
    <definedName name="solver_ver" localSheetId="26" hidden="1">2</definedName>
    <definedName name="solver_ver" localSheetId="27" hidden="1">2</definedName>
    <definedName name="solver_ver" localSheetId="4" hidden="1">2</definedName>
    <definedName name="solver_ver" localSheetId="5" hidden="1">2</definedName>
    <definedName name="solver_ver" localSheetId="7" hidden="1">2</definedName>
    <definedName name="solver_ver" localSheetId="8" hidden="1">2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66" l="1"/>
  <c r="E4" i="66"/>
  <c r="E2" i="66"/>
  <c r="B10" i="66"/>
  <c r="D4" i="66"/>
  <c r="D3" i="66"/>
  <c r="D2" i="66"/>
  <c r="C10" i="47"/>
  <c r="B10" i="47"/>
  <c r="C9" i="47"/>
  <c r="B9" i="47"/>
  <c r="B8" i="47"/>
  <c r="B28" i="46"/>
  <c r="B31" i="46" s="1"/>
  <c r="B32" i="46" s="1"/>
  <c r="B19" i="46"/>
  <c r="B22" i="46" s="1"/>
  <c r="B23" i="46" s="1"/>
  <c r="B14" i="46"/>
  <c r="B13" i="46"/>
  <c r="B33" i="45"/>
  <c r="B32" i="45"/>
  <c r="B29" i="45"/>
  <c r="B28" i="45"/>
  <c r="B24" i="45"/>
  <c r="B26" i="45"/>
  <c r="B25" i="45"/>
  <c r="B7" i="65"/>
  <c r="B5" i="65"/>
  <c r="B7" i="64"/>
  <c r="B5" i="64"/>
  <c r="B5" i="63"/>
  <c r="B7" i="63"/>
  <c r="B5" i="62"/>
  <c r="B5" i="61"/>
  <c r="B5" i="60"/>
  <c r="B5" i="59"/>
  <c r="C3" i="59"/>
  <c r="B21" i="43"/>
  <c r="B20" i="43"/>
  <c r="C19" i="43"/>
  <c r="B19" i="43"/>
  <c r="B11" i="43"/>
  <c r="B12" i="43"/>
  <c r="B10" i="43"/>
  <c r="B9" i="41"/>
  <c r="B24" i="33"/>
  <c r="B27" i="33" s="1"/>
  <c r="B9" i="33"/>
  <c r="B10" i="33"/>
  <c r="B11" i="33"/>
  <c r="B12" i="33"/>
  <c r="B13" i="33"/>
  <c r="B14" i="33"/>
  <c r="B15" i="33"/>
  <c r="B16" i="33"/>
  <c r="B17" i="33"/>
  <c r="B18" i="33"/>
  <c r="B8" i="33"/>
  <c r="C9" i="33"/>
  <c r="C10" i="33"/>
  <c r="C11" i="33"/>
  <c r="C12" i="33"/>
  <c r="C13" i="33"/>
  <c r="C14" i="33"/>
  <c r="C15" i="33"/>
  <c r="C16" i="33"/>
  <c r="C17" i="33"/>
  <c r="C18" i="33"/>
  <c r="C8" i="33"/>
  <c r="B10" i="58"/>
  <c r="B9" i="58"/>
  <c r="B6" i="58"/>
  <c r="B5" i="58"/>
  <c r="B52" i="57"/>
  <c r="B51" i="57"/>
  <c r="B32" i="57"/>
  <c r="B34" i="57" s="1"/>
  <c r="C37" i="57" s="1"/>
  <c r="B12" i="57"/>
  <c r="B15" i="57" s="1"/>
  <c r="B18" i="57" s="1"/>
  <c r="B14" i="57"/>
  <c r="C18" i="57" s="1"/>
  <c r="B19" i="39"/>
  <c r="B18" i="39"/>
  <c r="C17" i="39"/>
  <c r="C16" i="39"/>
  <c r="B12" i="39"/>
  <c r="B11" i="39"/>
  <c r="C10" i="39"/>
  <c r="C9" i="39"/>
  <c r="B30" i="56"/>
  <c r="B32" i="56" s="1"/>
  <c r="B24" i="56"/>
  <c r="B15" i="56"/>
  <c r="B14" i="56"/>
  <c r="B12" i="56"/>
  <c r="B14" i="55"/>
  <c r="B13" i="55"/>
  <c r="B11" i="55"/>
  <c r="D11" i="54"/>
  <c r="D10" i="54"/>
  <c r="C11" i="54"/>
  <c r="C10" i="54"/>
  <c r="B15" i="54"/>
  <c r="C15" i="54" s="1"/>
  <c r="B14" i="54"/>
  <c r="D14" i="54" s="1"/>
  <c r="B13" i="54"/>
  <c r="C13" i="54" s="1"/>
  <c r="B12" i="54"/>
  <c r="C12" i="54" s="1"/>
  <c r="A11" i="54"/>
  <c r="B10" i="54"/>
  <c r="B33" i="53"/>
  <c r="B35" i="53" s="1"/>
  <c r="C35" i="53" s="1"/>
  <c r="B30" i="53"/>
  <c r="B29" i="53"/>
  <c r="B21" i="53"/>
  <c r="B20" i="53"/>
  <c r="B4" i="53"/>
  <c r="B50" i="38"/>
  <c r="B47" i="38"/>
  <c r="B56" i="38"/>
  <c r="B58" i="38" s="1"/>
  <c r="B45" i="38"/>
  <c r="B48" i="38" s="1"/>
  <c r="B49" i="38" s="1"/>
  <c r="C28" i="38"/>
  <c r="C29" i="38"/>
  <c r="C30" i="38"/>
  <c r="C31" i="38"/>
  <c r="C32" i="38"/>
  <c r="C33" i="38"/>
  <c r="C34" i="38"/>
  <c r="C35" i="38"/>
  <c r="C36" i="38"/>
  <c r="C37" i="38"/>
  <c r="C27" i="38"/>
  <c r="D28" i="38"/>
  <c r="D29" i="38"/>
  <c r="D30" i="38"/>
  <c r="D31" i="38"/>
  <c r="D32" i="38"/>
  <c r="D33" i="38"/>
  <c r="D34" i="38"/>
  <c r="D35" i="38"/>
  <c r="D36" i="38"/>
  <c r="D37" i="38"/>
  <c r="D27" i="38"/>
  <c r="B23" i="38"/>
  <c r="B22" i="38"/>
  <c r="C21" i="38"/>
  <c r="B21" i="38"/>
  <c r="C20" i="38"/>
  <c r="B20" i="38"/>
  <c r="C19" i="38"/>
  <c r="B19" i="38"/>
  <c r="E4" i="38"/>
  <c r="E5" i="38"/>
  <c r="E6" i="38"/>
  <c r="E7" i="38"/>
  <c r="E8" i="38"/>
  <c r="E9" i="38"/>
  <c r="E10" i="38"/>
  <c r="E11" i="38"/>
  <c r="E12" i="38"/>
  <c r="E13" i="38"/>
  <c r="E14" i="38"/>
  <c r="E15" i="38"/>
  <c r="D5" i="38"/>
  <c r="D6" i="38"/>
  <c r="D7" i="38"/>
  <c r="D8" i="38"/>
  <c r="D9" i="38"/>
  <c r="D10" i="38"/>
  <c r="D11" i="38"/>
  <c r="D12" i="38"/>
  <c r="D13" i="38"/>
  <c r="D14" i="38"/>
  <c r="D15" i="38"/>
  <c r="D4" i="38"/>
  <c r="E4" i="15"/>
  <c r="E5" i="15"/>
  <c r="E6" i="15"/>
  <c r="E7" i="15"/>
  <c r="E8" i="15"/>
  <c r="E9" i="15"/>
  <c r="E10" i="15"/>
  <c r="E11" i="15"/>
  <c r="E12" i="15"/>
  <c r="E3" i="15"/>
  <c r="B4" i="52"/>
  <c r="B6" i="52" s="1"/>
  <c r="B1" i="52"/>
  <c r="B36" i="51"/>
  <c r="B34" i="51"/>
  <c r="B27" i="51"/>
  <c r="B29" i="51" s="1"/>
  <c r="C21" i="51"/>
  <c r="C22" i="51"/>
  <c r="B22" i="51"/>
  <c r="B21" i="51"/>
  <c r="C19" i="51"/>
  <c r="B19" i="51"/>
  <c r="B12" i="51"/>
  <c r="B15" i="51" s="1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6" i="19"/>
  <c r="B9" i="50"/>
  <c r="B8" i="50"/>
  <c r="B13" i="49"/>
  <c r="B10" i="49"/>
  <c r="C3" i="49"/>
  <c r="C4" i="49"/>
  <c r="C5" i="49"/>
  <c r="C6" i="49"/>
  <c r="C7" i="49"/>
  <c r="C2" i="49"/>
  <c r="B9" i="48"/>
  <c r="B6" i="48"/>
  <c r="C3" i="48"/>
  <c r="C2" i="48"/>
  <c r="B5" i="47"/>
  <c r="B11" i="46"/>
  <c r="B15" i="46" s="1"/>
  <c r="C4" i="46"/>
  <c r="B4" i="46"/>
  <c r="B7" i="46" s="1"/>
  <c r="C7" i="46"/>
  <c r="C14" i="46"/>
  <c r="D4" i="46"/>
  <c r="C11" i="46"/>
  <c r="C13" i="46"/>
  <c r="C15" i="46"/>
  <c r="B30" i="46" l="1"/>
  <c r="B34" i="46" s="1"/>
  <c r="B21" i="46"/>
  <c r="B26" i="33"/>
  <c r="B28" i="33"/>
  <c r="B35" i="57"/>
  <c r="B37" i="57" s="1"/>
  <c r="B16" i="57"/>
  <c r="B26" i="56"/>
  <c r="B17" i="56"/>
  <c r="D15" i="54"/>
  <c r="C14" i="54"/>
  <c r="D13" i="54"/>
  <c r="D12" i="54"/>
  <c r="B36" i="53"/>
  <c r="B59" i="38"/>
  <c r="B60" i="38" s="1"/>
  <c r="B61" i="38" s="1"/>
  <c r="B7" i="52"/>
  <c r="B8" i="52" s="1"/>
  <c r="B14" i="51"/>
  <c r="C18" i="43"/>
  <c r="B18" i="43"/>
  <c r="B8" i="43"/>
  <c r="B7" i="41"/>
  <c r="B16" i="39"/>
  <c r="B17" i="39" s="1"/>
  <c r="B10" i="39"/>
  <c r="C8" i="43"/>
  <c r="C7" i="41"/>
  <c r="B37" i="38" l="1"/>
  <c r="B36" i="38"/>
  <c r="B35" i="38"/>
  <c r="B34" i="38"/>
  <c r="B33" i="38"/>
  <c r="B32" i="38"/>
  <c r="B31" i="38"/>
  <c r="B30" i="38"/>
  <c r="B29" i="38"/>
  <c r="B28" i="38"/>
  <c r="B27" i="38"/>
  <c r="C18" i="38"/>
  <c r="B18" i="38"/>
</calcChain>
</file>

<file path=xl/sharedStrings.xml><?xml version="1.0" encoding="utf-8"?>
<sst xmlns="http://schemas.openxmlformats.org/spreadsheetml/2006/main" count="397" uniqueCount="215">
  <si>
    <t>Standard deviation</t>
  </si>
  <si>
    <t>Expected return</t>
  </si>
  <si>
    <t>Standard deviation of return</t>
  </si>
  <si>
    <t>Stock standard deviation</t>
  </si>
  <si>
    <t>Risk-free rate</t>
  </si>
  <si>
    <t>Proportion of stock in portfolio</t>
  </si>
  <si>
    <t>Portfolio expected return</t>
  </si>
  <si>
    <t>Expected stock return</t>
  </si>
  <si>
    <t>Average return</t>
  </si>
  <si>
    <t>Portfolio return</t>
  </si>
  <si>
    <t>Portfolio variance</t>
  </si>
  <si>
    <t>Portfolio standard deviation</t>
  </si>
  <si>
    <t>Sharpe Ratio</t>
  </si>
  <si>
    <t>Portfolio 1</t>
  </si>
  <si>
    <t>Portfolio 2</t>
  </si>
  <si>
    <t>Portfolio 3</t>
  </si>
  <si>
    <t>Portfolio 4</t>
  </si>
  <si>
    <t>Portfolio 5</t>
  </si>
  <si>
    <t>Portfolio 6</t>
  </si>
  <si>
    <t>Portfolio 7</t>
  </si>
  <si>
    <t>Portfolio 8</t>
  </si>
  <si>
    <t>Portfolio 9</t>
  </si>
  <si>
    <t>Portfolio 10</t>
  </si>
  <si>
    <t>Risk free asset</t>
  </si>
  <si>
    <t>Return standard deviation</t>
  </si>
  <si>
    <t>Portfolio statistics</t>
  </si>
  <si>
    <t>Risk-free return</t>
  </si>
  <si>
    <t>Date</t>
  </si>
  <si>
    <t>IBM</t>
  </si>
  <si>
    <t>Variance of returns</t>
  </si>
  <si>
    <t>Covariance of returns</t>
  </si>
  <si>
    <t>Correlation</t>
  </si>
  <si>
    <t>Weight of Coke</t>
  </si>
  <si>
    <t>Weight of IBM</t>
  </si>
  <si>
    <t>Sharpe ratio</t>
  </si>
  <si>
    <t>NORTHERN PENINSULA STOCK MARKET</t>
  </si>
  <si>
    <t>Shallow
Mining</t>
  </si>
  <si>
    <t>Big 
Mining</t>
  </si>
  <si>
    <t>Portfolio weights</t>
  </si>
  <si>
    <t xml:space="preserve">    Formula</t>
  </si>
  <si>
    <t xml:space="preserve">    Dormula</t>
  </si>
  <si>
    <t>Portfolio beta</t>
  </si>
  <si>
    <t>Company A</t>
  </si>
  <si>
    <t>Company B</t>
  </si>
  <si>
    <t>Sigma</t>
  </si>
  <si>
    <t>Variance of return</t>
  </si>
  <si>
    <t xml:space="preserve">    Company B</t>
  </si>
  <si>
    <t xml:space="preserve">    Company A</t>
  </si>
  <si>
    <t>Proportion of A</t>
  </si>
  <si>
    <t>Year</t>
  </si>
  <si>
    <t>Market Portfolio</t>
  </si>
  <si>
    <t>XYZ
Corp.</t>
  </si>
  <si>
    <t>ABC
Corp.</t>
  </si>
  <si>
    <t>Correlation of returns</t>
  </si>
  <si>
    <t>Sigma of return</t>
  </si>
  <si>
    <t>Stock X</t>
  </si>
  <si>
    <t>Stock Y</t>
  </si>
  <si>
    <t>General X-Y portfolio</t>
  </si>
  <si>
    <t>Percentage of X</t>
  </si>
  <si>
    <t>Mean</t>
  </si>
  <si>
    <t>Mean return</t>
  </si>
  <si>
    <t>Amount to invest</t>
  </si>
  <si>
    <r>
      <t>Risk-free rate, r</t>
    </r>
    <r>
      <rPr>
        <vertAlign val="subscript"/>
        <sz val="10"/>
        <rFont val="Arial"/>
        <family val="2"/>
      </rPr>
      <t>f</t>
    </r>
  </si>
  <si>
    <r>
      <t>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</si>
  <si>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r>
      <t>s</t>
    </r>
    <r>
      <rPr>
        <vertAlign val="subscript"/>
        <sz val="10"/>
        <rFont val="Arial"/>
        <family val="2"/>
      </rPr>
      <t>M</t>
    </r>
  </si>
  <si>
    <t>Investment in risk-free</t>
  </si>
  <si>
    <t>Investment in market</t>
  </si>
  <si>
    <t>Expected portfolio return</t>
  </si>
  <si>
    <t>Investment proportions</t>
  </si>
  <si>
    <t>Asset A</t>
  </si>
  <si>
    <t>Asset B</t>
  </si>
  <si>
    <r>
      <t xml:space="preserve">Correlation </t>
    </r>
    <r>
      <rPr>
        <sz val="10"/>
        <rFont val="Symbol"/>
        <family val="1"/>
        <charset val="2"/>
      </rPr>
      <t>r</t>
    </r>
    <r>
      <rPr>
        <vertAlign val="subscript"/>
        <sz val="10"/>
        <rFont val="Arial"/>
        <family val="2"/>
      </rPr>
      <t>AB</t>
    </r>
  </si>
  <si>
    <r>
      <t xml:space="preserve">Return sigma </t>
    </r>
    <r>
      <rPr>
        <sz val="10"/>
        <rFont val="Symbol"/>
        <family val="1"/>
        <charset val="2"/>
      </rPr>
      <t>s</t>
    </r>
  </si>
  <si>
    <t>Proportion of B</t>
  </si>
  <si>
    <t>Section b.</t>
  </si>
  <si>
    <t xml:space="preserve">Section a. </t>
  </si>
  <si>
    <t xml:space="preserve">Section b. </t>
  </si>
  <si>
    <t xml:space="preserve">Section d. </t>
  </si>
  <si>
    <t>COKE</t>
  </si>
  <si>
    <t>Adjusted prices of IBM and Coca Cola Stock</t>
  </si>
  <si>
    <t>IBM return</t>
  </si>
  <si>
    <t>COKE return</t>
  </si>
  <si>
    <t>Weight in IBM</t>
  </si>
  <si>
    <t>Weight in COKE</t>
  </si>
  <si>
    <t>Stdev</t>
  </si>
  <si>
    <t>Section c.</t>
  </si>
  <si>
    <t>Finding the market portfolio</t>
  </si>
  <si>
    <t>Sharpe value of the minimum variance portfolio</t>
  </si>
  <si>
    <t>Section a.</t>
  </si>
  <si>
    <t>CML WITH LEVERAGE</t>
  </si>
  <si>
    <t>Beta</t>
  </si>
  <si>
    <t>Formula</t>
  </si>
  <si>
    <t>Dormula</t>
  </si>
  <si>
    <t>CHITANGO MARKET</t>
  </si>
  <si>
    <t>Portfolio beta (check)</t>
  </si>
  <si>
    <t xml:space="preserve">80/20 Portfolio </t>
  </si>
  <si>
    <t>Proportions</t>
  </si>
  <si>
    <t>possibility</t>
    <phoneticPr fontId="11" type="noConversion"/>
  </si>
  <si>
    <t>return</t>
  </si>
  <si>
    <t>return</t>
    <phoneticPr fontId="11" type="noConversion"/>
  </si>
  <si>
    <t>Section a.</t>
    <phoneticPr fontId="11" type="noConversion"/>
  </si>
  <si>
    <t>Section b.</t>
    <phoneticPr fontId="11" type="noConversion"/>
  </si>
  <si>
    <t>standard deviation</t>
  </si>
  <si>
    <t>actual return</t>
    <phoneticPr fontId="11" type="noConversion"/>
  </si>
  <si>
    <t>Section c.</t>
    <phoneticPr fontId="11" type="noConversion"/>
  </si>
  <si>
    <t>John’s coin toss</t>
    <phoneticPr fontId="11" type="noConversion"/>
  </si>
  <si>
    <t>Section d.</t>
    <phoneticPr fontId="11" type="noConversion"/>
  </si>
  <si>
    <t>Mary’s die throw, less risk</t>
    <phoneticPr fontId="11" type="noConversion"/>
  </si>
  <si>
    <t>Section e.</t>
    <phoneticPr fontId="11" type="noConversion"/>
  </si>
  <si>
    <t>stocks like these games</t>
    <phoneticPr fontId="11" type="noConversion"/>
  </si>
  <si>
    <t>risk free rate</t>
    <phoneticPr fontId="11" type="noConversion"/>
  </si>
  <si>
    <t>stock return</t>
    <phoneticPr fontId="11" type="noConversion"/>
  </si>
  <si>
    <t>stock standard deviation</t>
    <phoneticPr fontId="11" type="noConversion"/>
  </si>
  <si>
    <t>proportion risk free asset</t>
    <phoneticPr fontId="11" type="noConversion"/>
  </si>
  <si>
    <t>proportion stock</t>
    <phoneticPr fontId="11" type="noConversion"/>
  </si>
  <si>
    <t>standard deviation</t>
    <phoneticPr fontId="11" type="noConversion"/>
  </si>
  <si>
    <t>Section b.</t>
    <phoneticPr fontId="2" type="noConversion"/>
  </si>
  <si>
    <t>100% money buy stock and borrow 50% risk free asset to buy stock</t>
    <phoneticPr fontId="2" type="noConversion"/>
  </si>
  <si>
    <t>RETURNS OF STOCKS X AND Y</t>
    <phoneticPr fontId="11" type="noConversion"/>
  </si>
  <si>
    <t>X</t>
    <phoneticPr fontId="11" type="noConversion"/>
  </si>
  <si>
    <t>Y</t>
    <phoneticPr fontId="11" type="noConversion"/>
  </si>
  <si>
    <t>variance</t>
    <phoneticPr fontId="11" type="noConversion"/>
  </si>
  <si>
    <t>covariance of return</t>
    <phoneticPr fontId="11" type="noConversion"/>
  </si>
  <si>
    <t>proportion X</t>
    <phoneticPr fontId="11" type="noConversion"/>
  </si>
  <si>
    <t>proportion Y</t>
    <phoneticPr fontId="11" type="noConversion"/>
  </si>
  <si>
    <t>proportion minimum variance portfolio</t>
    <phoneticPr fontId="11" type="noConversion"/>
  </si>
  <si>
    <t>expected return</t>
    <phoneticPr fontId="11" type="noConversion"/>
  </si>
  <si>
    <t>expected standard deviation</t>
    <phoneticPr fontId="11" type="noConversion"/>
  </si>
  <si>
    <t>Sharpe ratio of the minimum variance portfolio</t>
    <phoneticPr fontId="11" type="noConversion"/>
  </si>
  <si>
    <t>sharpe ratio</t>
    <phoneticPr fontId="11" type="noConversion"/>
  </si>
  <si>
    <t>best</t>
    <phoneticPr fontId="2" type="noConversion"/>
  </si>
  <si>
    <t>market portfolio</t>
    <phoneticPr fontId="11" type="noConversion"/>
  </si>
  <si>
    <t>Weight of Xirkind</t>
    <phoneticPr fontId="11" type="noConversion"/>
  </si>
  <si>
    <t>Weight of Yirkind</t>
    <phoneticPr fontId="11" type="noConversion"/>
  </si>
  <si>
    <t>return=5%+standard deviation/26.43%*(17.81%-5%)</t>
    <phoneticPr fontId="11" type="noConversion"/>
  </si>
  <si>
    <t>best profolio can get with risk free asset and risk asset. Because it is best</t>
    <phoneticPr fontId="11" type="noConversion"/>
  </si>
  <si>
    <t>proportion of market portfolio</t>
    <phoneticPr fontId="11" type="noConversion"/>
  </si>
  <si>
    <t>proportion of risk free asset</t>
    <phoneticPr fontId="11" type="noConversion"/>
  </si>
  <si>
    <t>Portfolio return</t>
    <phoneticPr fontId="11" type="noConversion"/>
  </si>
  <si>
    <t>Portfolio standard deviation</t>
    <phoneticPr fontId="11" type="noConversion"/>
  </si>
  <si>
    <t>Xirkind</t>
    <phoneticPr fontId="11" type="noConversion"/>
  </si>
  <si>
    <t>Yirkind</t>
    <phoneticPr fontId="11" type="noConversion"/>
  </si>
  <si>
    <t>Variance</t>
    <phoneticPr fontId="11" type="noConversion"/>
  </si>
  <si>
    <t>portfolio return</t>
    <phoneticPr fontId="11" type="noConversion"/>
  </si>
  <si>
    <t>portfolio standard deviation</t>
    <phoneticPr fontId="11" type="noConversion"/>
  </si>
  <si>
    <t>Covariance</t>
    <phoneticPr fontId="11" type="noConversion"/>
  </si>
  <si>
    <t>proportion of equal weights portfolio</t>
    <phoneticPr fontId="11" type="noConversion"/>
  </si>
  <si>
    <t>market portfolio have less standard deviation when same return</t>
    <phoneticPr fontId="11" type="noConversion"/>
  </si>
  <si>
    <t>return=7%+standard deviation/19%(22%-7%)</t>
    <phoneticPr fontId="11" type="noConversion"/>
  </si>
  <si>
    <t>market portfolio return</t>
    <phoneticPr fontId="11" type="noConversion"/>
  </si>
  <si>
    <t>market portfolio standard deviation</t>
    <phoneticPr fontId="11" type="noConversion"/>
  </si>
  <si>
    <t>RETURN STATISTICS OF
STOCKS A AND Z</t>
    <phoneticPr fontId="11" type="noConversion"/>
  </si>
  <si>
    <t>A</t>
    <phoneticPr fontId="11" type="noConversion"/>
  </si>
  <si>
    <t>Z</t>
    <phoneticPr fontId="11" type="noConversion"/>
  </si>
  <si>
    <t>covariance</t>
    <phoneticPr fontId="11" type="noConversion"/>
  </si>
  <si>
    <t>proportion A</t>
    <phoneticPr fontId="11" type="noConversion"/>
  </si>
  <si>
    <t>proportion Z</t>
    <phoneticPr fontId="11" type="noConversion"/>
  </si>
  <si>
    <t>equation</t>
    <phoneticPr fontId="11" type="noConversion"/>
  </si>
  <si>
    <t>return=5%+standard deviation/0.223606798*(21%-5%)</t>
    <phoneticPr fontId="11" type="noConversion"/>
  </si>
  <si>
    <t>yes, because CML and ef only have one point touch</t>
    <phoneticPr fontId="11" type="noConversion"/>
  </si>
  <si>
    <t>calculate new sharpe ratio and use solver make it biggest</t>
    <phoneticPr fontId="11" type="noConversion"/>
  </si>
  <si>
    <t>return=standard deviation/0.223606798*21%</t>
    <phoneticPr fontId="11" type="noConversion"/>
  </si>
  <si>
    <t>RETURN STATISTICS OF STOCKS X AND Y</t>
    <phoneticPr fontId="11" type="noConversion"/>
  </si>
  <si>
    <t>CML</t>
    <phoneticPr fontId="11" type="noConversion"/>
  </si>
  <si>
    <t>return=3%+standard deviation/16.715%(15.04%-3%)</t>
    <phoneticPr fontId="11" type="noConversion"/>
  </si>
  <si>
    <t>portfolio on the efficient frontier</t>
    <phoneticPr fontId="11" type="noConversion"/>
  </si>
  <si>
    <t>portfolio on the CML</t>
    <phoneticPr fontId="11" type="noConversion"/>
  </si>
  <si>
    <t>proportion CML portfolio</t>
    <phoneticPr fontId="11" type="noConversion"/>
  </si>
  <si>
    <t>depend on risk you want to take. Both are best for the risk they take.</t>
    <phoneticPr fontId="11" type="noConversion"/>
  </si>
  <si>
    <t>HILDA'S PRESENT</t>
    <phoneticPr fontId="11" type="noConversion"/>
  </si>
  <si>
    <t>Hilda's
Hybrids</t>
    <phoneticPr fontId="11" type="noConversion"/>
  </si>
  <si>
    <t>Hilda's
Hubby</t>
    <phoneticPr fontId="11" type="noConversion"/>
  </si>
  <si>
    <t>Government
bond</t>
    <phoneticPr fontId="11" type="noConversion"/>
  </si>
  <si>
    <t>sigma</t>
    <phoneticPr fontId="11" type="noConversion"/>
  </si>
  <si>
    <t>Correlation</t>
    <phoneticPr fontId="11" type="noConversion"/>
  </si>
  <si>
    <t>proportion Hilda's Hybrids</t>
  </si>
  <si>
    <t>proportion Hilda's Hybrids</t>
    <phoneticPr fontId="11" type="noConversion"/>
  </si>
  <si>
    <t>proportion Hilda's Hubby</t>
  </si>
  <si>
    <t>proportion Hilda's Hubby</t>
    <phoneticPr fontId="11" type="noConversion"/>
  </si>
  <si>
    <t>proportion risk free</t>
    <phoneticPr fontId="11" type="noConversion"/>
  </si>
  <si>
    <t>proportion market portfolio</t>
    <phoneticPr fontId="11" type="noConversion"/>
  </si>
  <si>
    <t>Section c.</t>
    <phoneticPr fontId="2" type="noConversion"/>
  </si>
  <si>
    <t>risk free rate</t>
    <phoneticPr fontId="2" type="noConversion"/>
  </si>
  <si>
    <t>proportion Y</t>
    <phoneticPr fontId="2" type="noConversion"/>
  </si>
  <si>
    <t>proportion X</t>
    <phoneticPr fontId="2" type="noConversion"/>
  </si>
  <si>
    <t>return</t>
    <phoneticPr fontId="2" type="noConversion"/>
  </si>
  <si>
    <t>sigma</t>
    <phoneticPr fontId="2" type="noConversion"/>
  </si>
  <si>
    <t>sharpe ratio</t>
    <phoneticPr fontId="2" type="noConversion"/>
  </si>
  <si>
    <t>have maximum sharpe ratio</t>
    <phoneticPr fontId="2" type="noConversion"/>
  </si>
  <si>
    <t>C</t>
    <phoneticPr fontId="11" type="noConversion"/>
  </si>
  <si>
    <t>D</t>
    <phoneticPr fontId="11" type="noConversion"/>
  </si>
  <si>
    <t>beta</t>
    <phoneticPr fontId="11" type="noConversion"/>
  </si>
  <si>
    <t>proportion</t>
    <phoneticPr fontId="11" type="noConversion"/>
  </si>
  <si>
    <t>beta p</t>
    <phoneticPr fontId="11" type="noConversion"/>
  </si>
  <si>
    <t>Erm</t>
    <phoneticPr fontId="11" type="noConversion"/>
  </si>
  <si>
    <t>beta i</t>
    <phoneticPr fontId="11" type="noConversion"/>
  </si>
  <si>
    <t>rf</t>
    <phoneticPr fontId="11" type="noConversion"/>
  </si>
  <si>
    <t>return i</t>
    <phoneticPr fontId="11" type="noConversion"/>
  </si>
  <si>
    <t>Eri</t>
    <phoneticPr fontId="11" type="noConversion"/>
  </si>
  <si>
    <t>cov</t>
    <phoneticPr fontId="11" type="noConversion"/>
  </si>
  <si>
    <t>varm</t>
    <phoneticPr fontId="11" type="noConversion"/>
  </si>
  <si>
    <t>covABC,M</t>
    <phoneticPr fontId="11" type="noConversion"/>
  </si>
  <si>
    <t>varM</t>
    <phoneticPr fontId="11" type="noConversion"/>
  </si>
  <si>
    <t>covXYZ,M</t>
    <phoneticPr fontId="11" type="noConversion"/>
  </si>
  <si>
    <t>beta XYZ</t>
    <phoneticPr fontId="11" type="noConversion"/>
  </si>
  <si>
    <t>beta ABC</t>
    <phoneticPr fontId="11" type="noConversion"/>
  </si>
  <si>
    <t>R^2ABC,M</t>
    <phoneticPr fontId="11" type="noConversion"/>
  </si>
  <si>
    <t>R^2XYZ,M</t>
    <phoneticPr fontId="11" type="noConversion"/>
  </si>
  <si>
    <t>ABC company</t>
    <phoneticPr fontId="11" type="noConversion"/>
  </si>
  <si>
    <t>variance of market portfolio</t>
    <phoneticPr fontId="11" type="noConversion"/>
  </si>
  <si>
    <t>covM</t>
    <phoneticPr fontId="11" type="noConversion"/>
  </si>
  <si>
    <t>B</t>
    <phoneticPr fontId="11" type="noConversion"/>
  </si>
  <si>
    <t>AB</t>
    <phoneticPr fontId="11" type="noConversion"/>
  </si>
  <si>
    <t>BC</t>
    <phoneticPr fontId="11" type="noConversion"/>
  </si>
  <si>
    <t>CA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</si>
</sst>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(* #,##0.00_);_(* \(#,##0.00\);_(* &quot;-&quot;??_);_(@_)"/>
    <numFmt numFmtId="176" formatCode="_(&quot;$&quot;* #,##0.00_);_(&quot;$&quot;* \(#,##0.00\);_(&quot;$&quot;* &quot;-&quot;??_);_(@_)"/>
    <numFmt numFmtId="178" formatCode="0.00000"/>
    <numFmt numFmtId="179" formatCode="0.000%"/>
    <numFmt numFmtId="180" formatCode="0.000"/>
    <numFmt numFmtId="181" formatCode="\ "/>
    <numFmt numFmtId="182" formatCode="_(* #,##0.0000_);_(* \(#,##0.0000\);_(* &quot;-&quot;??_);_(@_)"/>
    <numFmt numFmtId="183" formatCode="_(&quot;$&quot;* #,##0_);_(&quot;$&quot;* \(#,##0\);_(&quot;$&quot;* &quot;-&quot;??_);_(@_)"/>
    <numFmt numFmtId="184" formatCode="[$-409]d\-mmm\-yyyy;@"/>
    <numFmt numFmtId="185" formatCode="0.00_);[Red]\(0.00\)"/>
    <numFmt numFmtId="186" formatCode="0.0000000000000000%"/>
    <numFmt numFmtId="187" formatCode="0.00000%"/>
    <numFmt numFmtId="188" formatCode="0.0000%"/>
    <numFmt numFmtId="190" formatCode="0.000000000000000%"/>
    <numFmt numFmtId="204" formatCode="_ * #,##0.000000000_ ;_ * \-#,##0.000000000_ ;_ * &quot;-&quot;??_ ;_ @_ "/>
    <numFmt numFmtId="205" formatCode="0.0000"/>
  </numFmts>
  <fonts count="13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2"/>
      <name val="Arial"/>
      <family val="2"/>
    </font>
    <font>
      <sz val="10"/>
      <name val="Symbol"/>
      <family val="1"/>
      <charset val="2"/>
    </font>
    <font>
      <vertAlign val="subscript"/>
      <sz val="10"/>
      <name val="Arial"/>
      <family val="2"/>
    </font>
    <font>
      <sz val="9"/>
      <name val="宋体"/>
      <family val="3"/>
      <charset val="134"/>
    </font>
    <font>
      <sz val="10"/>
      <color rgb="FF1A1819"/>
      <name val="Helvetic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0" fontId="6" fillId="0" borderId="0"/>
    <xf numFmtId="9" fontId="1" fillId="0" borderId="0" applyFont="0" applyFill="0" applyBorder="0" applyAlignment="0" applyProtection="0"/>
  </cellStyleXfs>
  <cellXfs count="7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0" borderId="0" xfId="0" applyFont="1"/>
    <xf numFmtId="10" fontId="0" fillId="0" borderId="0" xfId="4" applyNumberFormat="1" applyFont="1"/>
    <xf numFmtId="9" fontId="0" fillId="0" borderId="0" xfId="0" applyNumberFormat="1"/>
    <xf numFmtId="10" fontId="0" fillId="0" borderId="0" xfId="0" applyNumberFormat="1"/>
    <xf numFmtId="9" fontId="0" fillId="0" borderId="0" xfId="0" applyNumberFormat="1" applyAlignment="1">
      <alignment horizontal="center"/>
    </xf>
    <xf numFmtId="180" fontId="0" fillId="0" borderId="0" xfId="0" applyNumberForma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7" fillId="0" borderId="0" xfId="3" applyFont="1"/>
    <xf numFmtId="0" fontId="6" fillId="0" borderId="0" xfId="3"/>
    <xf numFmtId="10" fontId="6" fillId="0" borderId="0" xfId="3" applyNumberFormat="1"/>
    <xf numFmtId="0" fontId="6" fillId="0" borderId="0" xfId="3" applyAlignment="1">
      <alignment wrapText="1"/>
    </xf>
    <xf numFmtId="181" fontId="6" fillId="0" borderId="0" xfId="3" applyNumberFormat="1"/>
    <xf numFmtId="180" fontId="6" fillId="0" borderId="0" xfId="3" applyNumberFormat="1"/>
    <xf numFmtId="0" fontId="3" fillId="0" borderId="0" xfId="3" applyFont="1" applyAlignment="1">
      <alignment horizontal="center"/>
    </xf>
    <xf numFmtId="0" fontId="4" fillId="0" borderId="0" xfId="3" applyFont="1"/>
    <xf numFmtId="0" fontId="3" fillId="0" borderId="0" xfId="3" applyFont="1" applyAlignment="1">
      <alignment horizontal="center" vertical="center" wrapText="1"/>
    </xf>
    <xf numFmtId="0" fontId="3" fillId="0" borderId="0" xfId="3" applyFont="1"/>
    <xf numFmtId="0" fontId="9" fillId="0" borderId="0" xfId="0" applyFont="1"/>
    <xf numFmtId="0" fontId="4" fillId="0" borderId="0" xfId="0" applyFont="1" applyAlignment="1">
      <alignment horizontal="justify" vertical="top" wrapText="1"/>
    </xf>
    <xf numFmtId="10" fontId="4" fillId="0" borderId="0" xfId="0" applyNumberFormat="1" applyFont="1" applyAlignment="1">
      <alignment horizontal="right" vertical="top" wrapText="1"/>
    </xf>
    <xf numFmtId="178" fontId="4" fillId="0" borderId="0" xfId="0" applyNumberFormat="1" applyFont="1" applyAlignment="1">
      <alignment horizontal="right" vertical="top" wrapText="1"/>
    </xf>
    <xf numFmtId="0" fontId="3" fillId="0" borderId="0" xfId="0" applyFont="1" applyAlignment="1">
      <alignment horizontal="center" vertical="top" wrapText="1"/>
    </xf>
    <xf numFmtId="9" fontId="4" fillId="0" borderId="0" xfId="0" applyNumberFormat="1" applyFont="1"/>
    <xf numFmtId="179" fontId="4" fillId="0" borderId="0" xfId="0" applyNumberFormat="1" applyFont="1"/>
    <xf numFmtId="10" fontId="4" fillId="0" borderId="0" xfId="4" applyNumberFormat="1" applyFont="1" applyBorder="1"/>
    <xf numFmtId="182" fontId="4" fillId="0" borderId="0" xfId="1" applyNumberFormat="1" applyFont="1" applyBorder="1" applyAlignment="1">
      <alignment horizontal="right" vertical="top" wrapText="1"/>
    </xf>
    <xf numFmtId="0" fontId="4" fillId="0" borderId="0" xfId="0" applyFont="1" applyAlignment="1">
      <alignment horizontal="center" vertical="top" wrapText="1"/>
    </xf>
    <xf numFmtId="0" fontId="0" fillId="0" borderId="0" xfId="0" applyAlignment="1">
      <alignment horizontal="center" wrapText="1"/>
    </xf>
    <xf numFmtId="0" fontId="8" fillId="0" borderId="0" xfId="0" applyFont="1"/>
    <xf numFmtId="183" fontId="0" fillId="0" borderId="0" xfId="2" applyNumberFormat="1" applyFont="1"/>
    <xf numFmtId="183" fontId="0" fillId="0" borderId="0" xfId="0" applyNumberFormat="1"/>
    <xf numFmtId="0" fontId="1" fillId="0" borderId="0" xfId="0" applyFont="1"/>
    <xf numFmtId="10" fontId="0" fillId="2" borderId="0" xfId="0" applyNumberFormat="1" applyFill="1"/>
    <xf numFmtId="0" fontId="0" fillId="2" borderId="0" xfId="0" applyFill="1"/>
    <xf numFmtId="184" fontId="0" fillId="0" borderId="0" xfId="0" applyNumberFormat="1"/>
    <xf numFmtId="10" fontId="3" fillId="0" borderId="0" xfId="3" applyNumberFormat="1" applyFont="1"/>
    <xf numFmtId="180" fontId="6" fillId="2" borderId="0" xfId="3" applyNumberFormat="1" applyFill="1"/>
    <xf numFmtId="10" fontId="6" fillId="2" borderId="0" xfId="4" applyNumberFormat="1" applyFont="1" applyFill="1"/>
    <xf numFmtId="10" fontId="6" fillId="2" borderId="0" xfId="3" applyNumberFormat="1" applyFill="1"/>
    <xf numFmtId="182" fontId="6" fillId="2" borderId="0" xfId="1" applyNumberFormat="1" applyFont="1" applyFill="1"/>
    <xf numFmtId="10" fontId="0" fillId="2" borderId="0" xfId="4" applyNumberFormat="1" applyFont="1" applyFill="1"/>
    <xf numFmtId="9" fontId="1" fillId="0" borderId="0" xfId="0" applyNumberFormat="1" applyFont="1"/>
    <xf numFmtId="43" fontId="0" fillId="0" borderId="0" xfId="1" applyFont="1"/>
    <xf numFmtId="4" fontId="0" fillId="0" borderId="0" xfId="0" applyNumberFormat="1"/>
    <xf numFmtId="0" fontId="3" fillId="0" borderId="0" xfId="0" applyFont="1" applyAlignment="1">
      <alignment vertical="center"/>
    </xf>
    <xf numFmtId="0" fontId="8" fillId="0" borderId="0" xfId="3" applyFont="1" applyAlignment="1">
      <alignment vertical="center"/>
    </xf>
    <xf numFmtId="0" fontId="3" fillId="0" borderId="0" xfId="3" applyFont="1" applyAlignment="1">
      <alignment vertical="center"/>
    </xf>
    <xf numFmtId="185" fontId="0" fillId="0" borderId="0" xfId="4" applyNumberFormat="1" applyFont="1"/>
    <xf numFmtId="0" fontId="12" fillId="0" borderId="0" xfId="0" applyFont="1"/>
    <xf numFmtId="179" fontId="0" fillId="0" borderId="0" xfId="4" applyNumberFormat="1" applyFont="1"/>
    <xf numFmtId="186" fontId="0" fillId="0" borderId="0" xfId="0" applyNumberFormat="1"/>
    <xf numFmtId="0" fontId="1" fillId="0" borderId="0" xfId="0" applyFont="1" applyAlignment="1">
      <alignment wrapText="1"/>
    </xf>
    <xf numFmtId="187" fontId="0" fillId="0" borderId="0" xfId="0" applyNumberFormat="1"/>
    <xf numFmtId="188" fontId="0" fillId="0" borderId="0" xfId="0" applyNumberFormat="1"/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3" applyFont="1" applyAlignment="1">
      <alignment horizontal="center" wrapText="1"/>
    </xf>
    <xf numFmtId="0" fontId="1" fillId="0" borderId="0" xfId="0" applyFont="1" applyAlignment="1">
      <alignment horizontal="center" wrapText="1"/>
    </xf>
    <xf numFmtId="190" fontId="0" fillId="0" borderId="0" xfId="0" applyNumberFormat="1"/>
    <xf numFmtId="0" fontId="0" fillId="0" borderId="0" xfId="4" applyNumberFormat="1" applyFont="1"/>
    <xf numFmtId="179" fontId="1" fillId="0" borderId="0" xfId="0" applyNumberFormat="1" applyFont="1"/>
    <xf numFmtId="188" fontId="0" fillId="0" borderId="0" xfId="4" applyNumberFormat="1" applyFont="1"/>
    <xf numFmtId="179" fontId="0" fillId="2" borderId="0" xfId="4" applyNumberFormat="1" applyFont="1" applyFill="1"/>
    <xf numFmtId="0" fontId="0" fillId="2" borderId="0" xfId="0" applyNumberFormat="1" applyFill="1"/>
    <xf numFmtId="204" fontId="0" fillId="2" borderId="0" xfId="0" applyNumberFormat="1" applyFill="1"/>
    <xf numFmtId="43" fontId="0" fillId="0" borderId="0" xfId="0" applyNumberFormat="1"/>
    <xf numFmtId="205" fontId="0" fillId="0" borderId="0" xfId="0" applyNumberFormat="1"/>
    <xf numFmtId="0" fontId="1" fillId="0" borderId="0" xfId="0" applyFont="1" applyAlignment="1">
      <alignment horizontal="justify" vertical="top" wrapText="1"/>
    </xf>
    <xf numFmtId="43" fontId="4" fillId="0" borderId="0" xfId="0" applyNumberFormat="1" applyFont="1"/>
    <xf numFmtId="0" fontId="4" fillId="0" borderId="0" xfId="0" applyNumberFormat="1" applyFont="1"/>
    <xf numFmtId="185" fontId="0" fillId="0" borderId="0" xfId="0" applyNumberFormat="1"/>
  </cellXfs>
  <cellStyles count="5">
    <cellStyle name="Normal_Meni Aboudy questions" xfId="3" xr:uid="{00000000-0005-0000-0000-000003000000}"/>
    <cellStyle name="百分比" xfId="4" builtinId="5"/>
    <cellStyle name="常规" xfId="0" builtinId="0"/>
    <cellStyle name="货币" xfId="2" builtinId="4"/>
    <cellStyle name="千位分隔" xfId="1" builtin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 4 template'!$B$6:$B$21</c:f>
              <c:numCache>
                <c:formatCode>0%</c:formatCode>
                <c:ptCount val="16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</c:v>
                </c:pt>
                <c:pt idx="11">
                  <c:v>0.16500000000000001</c:v>
                </c:pt>
                <c:pt idx="12">
                  <c:v>0.18</c:v>
                </c:pt>
                <c:pt idx="13">
                  <c:v>0.19500000000000001</c:v>
                </c:pt>
                <c:pt idx="14">
                  <c:v>0.21</c:v>
                </c:pt>
                <c:pt idx="15">
                  <c:v>0.22499999999999998</c:v>
                </c:pt>
              </c:numCache>
            </c:numRef>
          </c:xVal>
          <c:yVal>
            <c:numRef>
              <c:f>'Exercise 4 template'!$C$6:$C$21</c:f>
              <c:numCache>
                <c:formatCode>0.00%</c:formatCode>
                <c:ptCount val="16"/>
                <c:pt idx="0">
                  <c:v>0.03</c:v>
                </c:pt>
                <c:pt idx="1">
                  <c:v>3.4000000000000002E-2</c:v>
                </c:pt>
                <c:pt idx="2">
                  <c:v>3.8000000000000006E-2</c:v>
                </c:pt>
                <c:pt idx="3">
                  <c:v>4.1999999999999996E-2</c:v>
                </c:pt>
                <c:pt idx="4">
                  <c:v>4.5999999999999999E-2</c:v>
                </c:pt>
                <c:pt idx="5">
                  <c:v>0.05</c:v>
                </c:pt>
                <c:pt idx="6">
                  <c:v>5.4000000000000006E-2</c:v>
                </c:pt>
                <c:pt idx="7">
                  <c:v>5.8000000000000003E-2</c:v>
                </c:pt>
                <c:pt idx="8">
                  <c:v>6.2000000000000006E-2</c:v>
                </c:pt>
                <c:pt idx="9">
                  <c:v>6.6000000000000017E-2</c:v>
                </c:pt>
                <c:pt idx="10">
                  <c:v>7.0000000000000007E-2</c:v>
                </c:pt>
                <c:pt idx="11">
                  <c:v>7.400000000000001E-2</c:v>
                </c:pt>
                <c:pt idx="12">
                  <c:v>7.8000000000000014E-2</c:v>
                </c:pt>
                <c:pt idx="13">
                  <c:v>8.2000000000000017E-2</c:v>
                </c:pt>
                <c:pt idx="14">
                  <c:v>8.6000000000000007E-2</c:v>
                </c:pt>
                <c:pt idx="15">
                  <c:v>9.0000000000000011E-2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F-044D-9F47-BC0C86638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2958128"/>
        <c:axId val="1693827472"/>
      </c:scatterChart>
      <c:valAx>
        <c:axId val="1692958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93827472"/>
        <c:crosses val="autoZero"/>
        <c:crossBetween val="midCat"/>
      </c:valAx>
      <c:valAx>
        <c:axId val="16938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92958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 14 template'!$B$19:$B$29</c:f>
              <c:numCache>
                <c:formatCode>General</c:formatCode>
                <c:ptCount val="11"/>
                <c:pt idx="0">
                  <c:v>0.31622776601683794</c:v>
                </c:pt>
                <c:pt idx="1">
                  <c:v>0.30005332859343525</c:v>
                </c:pt>
                <c:pt idx="2">
                  <c:v>0.29395237709533839</c:v>
                </c:pt>
                <c:pt idx="3">
                  <c:v>0.2985431292125143</c:v>
                </c:pt>
                <c:pt idx="4">
                  <c:v>0.3133560275469422</c:v>
                </c:pt>
                <c:pt idx="5">
                  <c:v>0.33704599092705434</c:v>
                </c:pt>
                <c:pt idx="6">
                  <c:v>0.3679021609069455</c:v>
                </c:pt>
                <c:pt idx="7">
                  <c:v>0.40428702675203415</c:v>
                </c:pt>
                <c:pt idx="8">
                  <c:v>0.44484604078265105</c:v>
                </c:pt>
                <c:pt idx="9">
                  <c:v>0.48854068407861384</c:v>
                </c:pt>
                <c:pt idx="10">
                  <c:v>0.5346026561849464</c:v>
                </c:pt>
              </c:numCache>
            </c:numRef>
          </c:xVal>
          <c:yVal>
            <c:numRef>
              <c:f>'Exercise 14 template'!$C$19:$C$29</c:f>
              <c:numCache>
                <c:formatCode>General</c:formatCode>
                <c:ptCount val="11"/>
                <c:pt idx="0">
                  <c:v>0.16250000000000001</c:v>
                </c:pt>
                <c:pt idx="1">
                  <c:v>0.17625000000000002</c:v>
                </c:pt>
                <c:pt idx="2">
                  <c:v>0.19</c:v>
                </c:pt>
                <c:pt idx="3">
                  <c:v>0.20374999999999999</c:v>
                </c:pt>
                <c:pt idx="4">
                  <c:v>0.2175</c:v>
                </c:pt>
                <c:pt idx="5">
                  <c:v>0.23125000000000001</c:v>
                </c:pt>
                <c:pt idx="6">
                  <c:v>0.245</c:v>
                </c:pt>
                <c:pt idx="7">
                  <c:v>0.25874999999999998</c:v>
                </c:pt>
                <c:pt idx="8">
                  <c:v>0.27249999999999996</c:v>
                </c:pt>
                <c:pt idx="9">
                  <c:v>0.28625</c:v>
                </c:pt>
                <c:pt idx="1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9E-5048-A4C8-09CD2364C569}"/>
            </c:ext>
          </c:extLst>
        </c:ser>
        <c:ser>
          <c:idx val="1"/>
          <c:order val="1"/>
          <c:tx>
            <c:v>CML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 14 template'!$B$38:$B$48</c:f>
              <c:numCache>
                <c:formatCode>General</c:formatCode>
                <c:ptCount val="11"/>
                <c:pt idx="0">
                  <c:v>0.37434722802885323</c:v>
                </c:pt>
                <c:pt idx="1">
                  <c:v>0.33691250522596794</c:v>
                </c:pt>
                <c:pt idx="2">
                  <c:v>0.29947778242308259</c:v>
                </c:pt>
                <c:pt idx="3">
                  <c:v>0.26204305962019725</c:v>
                </c:pt>
                <c:pt idx="4">
                  <c:v>0.22460833681731193</c:v>
                </c:pt>
                <c:pt idx="5">
                  <c:v>0.18717361401442661</c:v>
                </c:pt>
                <c:pt idx="6">
                  <c:v>0.1497388912115413</c:v>
                </c:pt>
                <c:pt idx="7">
                  <c:v>0.11230416840865598</c:v>
                </c:pt>
                <c:pt idx="8">
                  <c:v>7.4869445605770635E-2</c:v>
                </c:pt>
                <c:pt idx="9">
                  <c:v>3.7434722802885317E-2</c:v>
                </c:pt>
                <c:pt idx="10">
                  <c:v>0</c:v>
                </c:pt>
              </c:numCache>
            </c:numRef>
          </c:xVal>
          <c:yVal>
            <c:numRef>
              <c:f>'Exercise 14 template'!$C$38:$C$48</c:f>
              <c:numCache>
                <c:formatCode>General</c:formatCode>
                <c:ptCount val="11"/>
                <c:pt idx="0">
                  <c:v>0.24757764136814203</c:v>
                </c:pt>
                <c:pt idx="1">
                  <c:v>0.23281987723132785</c:v>
                </c:pt>
                <c:pt idx="2">
                  <c:v>0.21806211309451362</c:v>
                </c:pt>
                <c:pt idx="3">
                  <c:v>0.20330434895769942</c:v>
                </c:pt>
                <c:pt idx="4">
                  <c:v>0.18854658482088521</c:v>
                </c:pt>
                <c:pt idx="5">
                  <c:v>0.17378882068407103</c:v>
                </c:pt>
                <c:pt idx="6">
                  <c:v>0.1590310565472568</c:v>
                </c:pt>
                <c:pt idx="7">
                  <c:v>0.14427329241044262</c:v>
                </c:pt>
                <c:pt idx="8">
                  <c:v>0.12951552827362842</c:v>
                </c:pt>
                <c:pt idx="9">
                  <c:v>0.11475776413681421</c:v>
                </c:pt>
                <c:pt idx="1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9E-5048-A4C8-09CD2364C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0390768"/>
        <c:axId val="1768587343"/>
      </c:scatterChart>
      <c:valAx>
        <c:axId val="174039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68587343"/>
        <c:crosses val="autoZero"/>
        <c:crossBetween val="midCat"/>
      </c:valAx>
      <c:valAx>
        <c:axId val="1768587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4039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 16 template'!$B$8:$B$18</c:f>
              <c:numCache>
                <c:formatCode>0.000%</c:formatCode>
                <c:ptCount val="11"/>
                <c:pt idx="0">
                  <c:v>0.2</c:v>
                </c:pt>
                <c:pt idx="1">
                  <c:v>0.19663417810746942</c:v>
                </c:pt>
                <c:pt idx="2">
                  <c:v>0.19864541273334257</c:v>
                </c:pt>
                <c:pt idx="3">
                  <c:v>0.2058761763779384</c:v>
                </c:pt>
                <c:pt idx="4">
                  <c:v>0.2178072542409917</c:v>
                </c:pt>
                <c:pt idx="5">
                  <c:v>0.23371991785040486</c:v>
                </c:pt>
                <c:pt idx="6">
                  <c:v>0.25286359959472221</c:v>
                </c:pt>
                <c:pt idx="7">
                  <c:v>0.27456328960733262</c:v>
                </c:pt>
                <c:pt idx="8">
                  <c:v>0.29826163011691598</c:v>
                </c:pt>
                <c:pt idx="9">
                  <c:v>0.32351970573676031</c:v>
                </c:pt>
                <c:pt idx="10">
                  <c:v>0.35</c:v>
                </c:pt>
              </c:numCache>
            </c:numRef>
          </c:xVal>
          <c:yVal>
            <c:numRef>
              <c:f>'Exercise 16 template'!$C$8:$C$18</c:f>
              <c:numCache>
                <c:formatCode>0.00%</c:formatCode>
                <c:ptCount val="11"/>
                <c:pt idx="0">
                  <c:v>0.14000000000000001</c:v>
                </c:pt>
                <c:pt idx="1">
                  <c:v>0.14600000000000002</c:v>
                </c:pt>
                <c:pt idx="2">
                  <c:v>0.15200000000000002</c:v>
                </c:pt>
                <c:pt idx="3">
                  <c:v>0.158</c:v>
                </c:pt>
                <c:pt idx="4">
                  <c:v>0.16400000000000003</c:v>
                </c:pt>
                <c:pt idx="5">
                  <c:v>0.17</c:v>
                </c:pt>
                <c:pt idx="6">
                  <c:v>0.17599999999999999</c:v>
                </c:pt>
                <c:pt idx="7">
                  <c:v>0.182</c:v>
                </c:pt>
                <c:pt idx="8">
                  <c:v>0.18800000000000003</c:v>
                </c:pt>
                <c:pt idx="9">
                  <c:v>0.19400000000000001</c:v>
                </c:pt>
                <c:pt idx="1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90-F145-8604-C6C2622A7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798464"/>
        <c:axId val="545800192"/>
      </c:scatterChart>
      <c:valAx>
        <c:axId val="545798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5800192"/>
        <c:crosses val="autoZero"/>
        <c:crossBetween val="midCat"/>
      </c:valAx>
      <c:valAx>
        <c:axId val="54580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579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171450</xdr:colOff>
      <xdr:row>1</xdr:row>
      <xdr:rowOff>69850</xdr:rowOff>
    </xdr:from>
    <xdr:to>
      <xdr:col>17</xdr:col>
      <xdr:colOff>469900</xdr:colOff>
      <xdr:row>33</xdr:row>
      <xdr:rowOff>25400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6C4E3D2-3E11-D38B-E69C-0BA8EC6A75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310028</xdr:colOff>
      <xdr:row>5</xdr:row>
      <xdr:rowOff>2988</xdr:rowOff>
    </xdr:from>
    <xdr:to>
      <xdr:col>14</xdr:col>
      <xdr:colOff>718443</xdr:colOff>
      <xdr:row>36</xdr:row>
      <xdr:rowOff>127000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D41950E-9FAF-AFCA-1866-FA301A4C9D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98778</xdr:colOff>
      <xdr:row>4</xdr:row>
      <xdr:rowOff>106538</xdr:rowOff>
    </xdr:from>
    <xdr:to>
      <xdr:col>11</xdr:col>
      <xdr:colOff>638528</xdr:colOff>
      <xdr:row>23</xdr:row>
      <xdr:rowOff>119944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F660840-E412-7248-F145-D93803DEBC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91AE0-F185-B441-8348-BA3474D59B35}">
  <dimension ref="A1:C9"/>
  <sheetViews>
    <sheetView workbookViewId="0">
      <selection activeCell="B10" sqref="B10"/>
    </sheetView>
  </sheetViews>
  <sheetFormatPr baseColWidth="10" defaultRowHeight="13"/>
  <cols>
    <col min="1" max="1" width="16.83203125" bestFit="1" customWidth="1"/>
  </cols>
  <sheetData>
    <row r="1" spans="1:3">
      <c r="A1" s="37" t="s">
        <v>97</v>
      </c>
      <c r="B1" s="37" t="s">
        <v>99</v>
      </c>
      <c r="C1" s="37" t="s">
        <v>103</v>
      </c>
    </row>
    <row r="2" spans="1:3">
      <c r="A2" s="7">
        <v>0.5</v>
      </c>
      <c r="B2">
        <v>-1</v>
      </c>
      <c r="C2">
        <f>B2-0.8</f>
        <v>-1.8</v>
      </c>
    </row>
    <row r="3" spans="1:3">
      <c r="A3" s="7">
        <v>0.5</v>
      </c>
      <c r="B3" s="53">
        <v>3</v>
      </c>
      <c r="C3">
        <f>B3-0.8</f>
        <v>2.2000000000000002</v>
      </c>
    </row>
    <row r="4" spans="1:3">
      <c r="A4" s="7"/>
      <c r="B4" s="53"/>
    </row>
    <row r="5" spans="1:3">
      <c r="A5" s="37" t="s">
        <v>100</v>
      </c>
    </row>
    <row r="6" spans="1:3">
      <c r="A6" s="37" t="s">
        <v>99</v>
      </c>
      <c r="B6">
        <f>SUMPRODUCT(A2:A3,C2:C3)</f>
        <v>0.20000000000000007</v>
      </c>
    </row>
    <row r="8" spans="1:3">
      <c r="A8" s="37" t="s">
        <v>101</v>
      </c>
    </row>
    <row r="9" spans="1:3">
      <c r="A9" s="54" t="s">
        <v>102</v>
      </c>
      <c r="B9" s="10">
        <f>_xlfn.STDEV.P(C2:C3)</f>
        <v>2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30116-F183-254B-ADF1-CCD86F7B76DF}">
  <dimension ref="A1:C22"/>
  <sheetViews>
    <sheetView workbookViewId="0">
      <selection activeCell="C1" sqref="A1:C1048576"/>
    </sheetView>
  </sheetViews>
  <sheetFormatPr baseColWidth="10" defaultRowHeight="13"/>
  <cols>
    <col min="1" max="1" width="22" bestFit="1" customWidth="1"/>
    <col min="2" max="2" width="13" bestFit="1" customWidth="1"/>
    <col min="3" max="3" width="11.6640625" bestFit="1" customWidth="1"/>
  </cols>
  <sheetData>
    <row r="1" spans="1:3">
      <c r="A1" s="37" t="s">
        <v>97</v>
      </c>
      <c r="B1" s="37" t="s">
        <v>99</v>
      </c>
      <c r="C1" s="37" t="s">
        <v>103</v>
      </c>
    </row>
    <row r="2" spans="1:3">
      <c r="A2" s="55">
        <v>0.16666666666666666</v>
      </c>
      <c r="B2">
        <v>-2</v>
      </c>
      <c r="C2">
        <f>B2-0.8</f>
        <v>-2.8</v>
      </c>
    </row>
    <row r="3" spans="1:3">
      <c r="A3" s="55">
        <v>0.16666666666666666</v>
      </c>
      <c r="B3">
        <v>0</v>
      </c>
      <c r="C3">
        <f t="shared" ref="C3:C7" si="0">B3-0.8</f>
        <v>-0.8</v>
      </c>
    </row>
    <row r="4" spans="1:3">
      <c r="A4" s="55">
        <v>0.16666666666666666</v>
      </c>
      <c r="B4">
        <v>2</v>
      </c>
      <c r="C4">
        <f t="shared" si="0"/>
        <v>1.2</v>
      </c>
    </row>
    <row r="5" spans="1:3">
      <c r="A5" s="55">
        <v>0.16666666666666666</v>
      </c>
      <c r="B5">
        <v>2</v>
      </c>
      <c r="C5">
        <f t="shared" si="0"/>
        <v>1.2</v>
      </c>
    </row>
    <row r="6" spans="1:3">
      <c r="A6" s="55">
        <v>0.16666666666666666</v>
      </c>
      <c r="B6">
        <v>2</v>
      </c>
      <c r="C6">
        <f t="shared" si="0"/>
        <v>1.2</v>
      </c>
    </row>
    <row r="7" spans="1:3">
      <c r="A7" s="55">
        <v>0.16666666666666666</v>
      </c>
      <c r="B7">
        <v>2</v>
      </c>
      <c r="C7">
        <f t="shared" si="0"/>
        <v>1.2</v>
      </c>
    </row>
    <row r="9" spans="1:3">
      <c r="A9" s="37" t="s">
        <v>100</v>
      </c>
    </row>
    <row r="10" spans="1:3">
      <c r="A10" s="37" t="s">
        <v>99</v>
      </c>
      <c r="B10" s="10">
        <f>SUMPRODUCT(A2:A7,C2:C7)</f>
        <v>0.19999999999999993</v>
      </c>
    </row>
    <row r="12" spans="1:3">
      <c r="A12" s="37" t="s">
        <v>101</v>
      </c>
    </row>
    <row r="13" spans="1:3">
      <c r="A13" s="54" t="s">
        <v>102</v>
      </c>
      <c r="B13">
        <f>_xlfn.STDEV.P(C2:C7)</f>
        <v>1.5275252316519465</v>
      </c>
    </row>
    <row r="15" spans="1:3">
      <c r="A15" s="37" t="s">
        <v>104</v>
      </c>
    </row>
    <row r="16" spans="1:3">
      <c r="A16" s="37" t="s">
        <v>105</v>
      </c>
    </row>
    <row r="18" spans="1:1">
      <c r="A18" s="37" t="s">
        <v>106</v>
      </c>
    </row>
    <row r="19" spans="1:1">
      <c r="A19" s="37" t="s">
        <v>107</v>
      </c>
    </row>
    <row r="21" spans="1:1">
      <c r="A21" s="37" t="s">
        <v>108</v>
      </c>
    </row>
    <row r="22" spans="1:1">
      <c r="A22" s="37" t="s">
        <v>109</v>
      </c>
    </row>
  </sheetData>
  <phoneticPr fontId="1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96417-0441-D440-8E6B-41A3D1E578BF}">
  <dimension ref="A1:B9"/>
  <sheetViews>
    <sheetView workbookViewId="0">
      <selection activeCell="I29" sqref="I29"/>
    </sheetView>
  </sheetViews>
  <sheetFormatPr baseColWidth="10" defaultRowHeight="13"/>
  <cols>
    <col min="1" max="1" width="21.83203125" bestFit="1" customWidth="1"/>
  </cols>
  <sheetData>
    <row r="1" spans="1:2">
      <c r="A1" s="37" t="s">
        <v>110</v>
      </c>
      <c r="B1" s="7">
        <v>0.01</v>
      </c>
    </row>
    <row r="2" spans="1:2">
      <c r="A2" s="37" t="s">
        <v>111</v>
      </c>
      <c r="B2" s="7">
        <v>0.06</v>
      </c>
    </row>
    <row r="3" spans="1:2">
      <c r="A3" s="37" t="s">
        <v>112</v>
      </c>
      <c r="B3" s="7">
        <v>0.15</v>
      </c>
    </row>
    <row r="5" spans="1:2">
      <c r="A5" s="37" t="s">
        <v>113</v>
      </c>
      <c r="B5" s="7">
        <v>0.2</v>
      </c>
    </row>
    <row r="6" spans="1:2">
      <c r="A6" s="37" t="s">
        <v>114</v>
      </c>
      <c r="B6" s="7">
        <v>0.8</v>
      </c>
    </row>
    <row r="8" spans="1:2">
      <c r="A8" s="37" t="s">
        <v>99</v>
      </c>
      <c r="B8" s="8">
        <f>SUMPRODUCT(B5:B6,B1:B2)</f>
        <v>0.05</v>
      </c>
    </row>
    <row r="9" spans="1:2">
      <c r="A9" s="37" t="s">
        <v>115</v>
      </c>
      <c r="B9" s="8">
        <f>B6*B3</f>
        <v>0.12</v>
      </c>
    </row>
  </sheetData>
  <phoneticPr fontId="1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4"/>
  <sheetViews>
    <sheetView workbookViewId="0">
      <selection activeCell="A25" sqref="A25"/>
    </sheetView>
  </sheetViews>
  <sheetFormatPr baseColWidth="10" defaultColWidth="8.83203125" defaultRowHeight="13"/>
  <cols>
    <col min="1" max="1" width="20.6640625" bestFit="1" customWidth="1"/>
    <col min="2" max="2" width="16.5" bestFit="1" customWidth="1"/>
    <col min="3" max="3" width="14.5" bestFit="1" customWidth="1"/>
  </cols>
  <sheetData>
    <row r="1" spans="1:3">
      <c r="A1" t="s">
        <v>7</v>
      </c>
      <c r="B1" s="7">
        <v>7.0000000000000007E-2</v>
      </c>
    </row>
    <row r="2" spans="1:3">
      <c r="A2" t="s">
        <v>3</v>
      </c>
      <c r="B2" s="7">
        <v>0.15</v>
      </c>
    </row>
    <row r="3" spans="1:3">
      <c r="A3" t="s">
        <v>4</v>
      </c>
      <c r="B3" s="7">
        <v>0.03</v>
      </c>
    </row>
    <row r="5" spans="1:3" s="33" customFormat="1" ht="28">
      <c r="A5" s="3" t="s">
        <v>5</v>
      </c>
      <c r="B5" s="3" t="s">
        <v>11</v>
      </c>
      <c r="C5" s="3" t="s">
        <v>6</v>
      </c>
    </row>
    <row r="6" spans="1:3">
      <c r="A6" s="9">
        <v>0</v>
      </c>
      <c r="B6" s="7">
        <f>A6*$B$2</f>
        <v>0</v>
      </c>
      <c r="C6" s="8">
        <f>A6*$B$1+(1-A6)*$B$3</f>
        <v>0.03</v>
      </c>
    </row>
    <row r="7" spans="1:3">
      <c r="A7" s="9">
        <v>0.1</v>
      </c>
      <c r="B7" s="7">
        <f t="shared" ref="B7:B21" si="0">A7*$B$2</f>
        <v>1.4999999999999999E-2</v>
      </c>
      <c r="C7" s="8">
        <f t="shared" ref="C7:C21" si="1">A7*$B$1+(1-A7)*$B$3</f>
        <v>3.4000000000000002E-2</v>
      </c>
    </row>
    <row r="8" spans="1:3">
      <c r="A8" s="9">
        <v>0.2</v>
      </c>
      <c r="B8" s="7">
        <f t="shared" si="0"/>
        <v>0.03</v>
      </c>
      <c r="C8" s="8">
        <f t="shared" si="1"/>
        <v>3.8000000000000006E-2</v>
      </c>
    </row>
    <row r="9" spans="1:3">
      <c r="A9" s="9">
        <v>0.3</v>
      </c>
      <c r="B9" s="7">
        <f t="shared" si="0"/>
        <v>4.4999999999999998E-2</v>
      </c>
      <c r="C9" s="8">
        <f t="shared" si="1"/>
        <v>4.1999999999999996E-2</v>
      </c>
    </row>
    <row r="10" spans="1:3">
      <c r="A10" s="9">
        <v>0.4</v>
      </c>
      <c r="B10" s="7">
        <f t="shared" si="0"/>
        <v>0.06</v>
      </c>
      <c r="C10" s="8">
        <f t="shared" si="1"/>
        <v>4.5999999999999999E-2</v>
      </c>
    </row>
    <row r="11" spans="1:3">
      <c r="A11" s="9">
        <v>0.5</v>
      </c>
      <c r="B11" s="7">
        <f t="shared" si="0"/>
        <v>7.4999999999999997E-2</v>
      </c>
      <c r="C11" s="8">
        <f t="shared" si="1"/>
        <v>0.05</v>
      </c>
    </row>
    <row r="12" spans="1:3">
      <c r="A12" s="9">
        <v>0.6</v>
      </c>
      <c r="B12" s="7">
        <f t="shared" si="0"/>
        <v>0.09</v>
      </c>
      <c r="C12" s="8">
        <f t="shared" si="1"/>
        <v>5.4000000000000006E-2</v>
      </c>
    </row>
    <row r="13" spans="1:3">
      <c r="A13" s="9">
        <v>0.7</v>
      </c>
      <c r="B13" s="7">
        <f t="shared" si="0"/>
        <v>0.105</v>
      </c>
      <c r="C13" s="8">
        <f t="shared" si="1"/>
        <v>5.8000000000000003E-2</v>
      </c>
    </row>
    <row r="14" spans="1:3">
      <c r="A14" s="9">
        <v>0.8</v>
      </c>
      <c r="B14" s="7">
        <f t="shared" si="0"/>
        <v>0.12</v>
      </c>
      <c r="C14" s="8">
        <f t="shared" si="1"/>
        <v>6.2000000000000006E-2</v>
      </c>
    </row>
    <row r="15" spans="1:3">
      <c r="A15" s="9">
        <v>0.9</v>
      </c>
      <c r="B15" s="7">
        <f t="shared" si="0"/>
        <v>0.13500000000000001</v>
      </c>
      <c r="C15" s="8">
        <f t="shared" si="1"/>
        <v>6.6000000000000017E-2</v>
      </c>
    </row>
    <row r="16" spans="1:3">
      <c r="A16" s="9">
        <v>1</v>
      </c>
      <c r="B16" s="7">
        <f t="shared" si="0"/>
        <v>0.15</v>
      </c>
      <c r="C16" s="8">
        <f t="shared" si="1"/>
        <v>7.0000000000000007E-2</v>
      </c>
    </row>
    <row r="17" spans="1:3">
      <c r="A17" s="9">
        <v>1.1000000000000001</v>
      </c>
      <c r="B17" s="7">
        <f t="shared" si="0"/>
        <v>0.16500000000000001</v>
      </c>
      <c r="C17" s="8">
        <f t="shared" si="1"/>
        <v>7.400000000000001E-2</v>
      </c>
    </row>
    <row r="18" spans="1:3">
      <c r="A18" s="9">
        <v>1.2</v>
      </c>
      <c r="B18" s="7">
        <f t="shared" si="0"/>
        <v>0.18</v>
      </c>
      <c r="C18" s="8">
        <f t="shared" si="1"/>
        <v>7.8000000000000014E-2</v>
      </c>
    </row>
    <row r="19" spans="1:3">
      <c r="A19" s="9">
        <v>1.3</v>
      </c>
      <c r="B19" s="7">
        <f t="shared" si="0"/>
        <v>0.19500000000000001</v>
      </c>
      <c r="C19" s="8">
        <f t="shared" si="1"/>
        <v>8.2000000000000017E-2</v>
      </c>
    </row>
    <row r="20" spans="1:3">
      <c r="A20" s="9">
        <v>1.4</v>
      </c>
      <c r="B20" s="7">
        <f t="shared" si="0"/>
        <v>0.21</v>
      </c>
      <c r="C20" s="8">
        <f t="shared" si="1"/>
        <v>8.6000000000000007E-2</v>
      </c>
    </row>
    <row r="21" spans="1:3">
      <c r="A21" s="9">
        <v>1.5</v>
      </c>
      <c r="B21" s="7">
        <f t="shared" si="0"/>
        <v>0.22499999999999998</v>
      </c>
      <c r="C21" s="8">
        <f t="shared" si="1"/>
        <v>9.0000000000000011E-2</v>
      </c>
    </row>
    <row r="23" spans="1:3">
      <c r="A23" s="37" t="s">
        <v>116</v>
      </c>
    </row>
    <row r="24" spans="1:3">
      <c r="A24" s="37" t="s">
        <v>117</v>
      </c>
    </row>
  </sheetData>
  <phoneticPr fontId="2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D2708-8E59-714C-89FE-EC15EA597EC0}">
  <dimension ref="A1:C36"/>
  <sheetViews>
    <sheetView zoomScaleNormal="100" workbookViewId="0">
      <selection activeCell="A11" sqref="A11:B15"/>
    </sheetView>
  </sheetViews>
  <sheetFormatPr baseColWidth="10" defaultRowHeight="13"/>
  <cols>
    <col min="1" max="1" width="32.83203125" bestFit="1" customWidth="1"/>
    <col min="2" max="3" width="22" bestFit="1" customWidth="1"/>
  </cols>
  <sheetData>
    <row r="1" spans="1:3">
      <c r="A1" s="60" t="s">
        <v>118</v>
      </c>
      <c r="B1" s="60"/>
      <c r="C1" s="60"/>
    </row>
    <row r="2" spans="1:3">
      <c r="B2" s="37" t="s">
        <v>119</v>
      </c>
      <c r="C2" s="37" t="s">
        <v>120</v>
      </c>
    </row>
    <row r="3" spans="1:3">
      <c r="A3" s="37" t="s">
        <v>99</v>
      </c>
      <c r="B3" s="7">
        <v>0.19</v>
      </c>
      <c r="C3" s="7">
        <v>0.13</v>
      </c>
    </row>
    <row r="4" spans="1:3">
      <c r="A4" s="37" t="s">
        <v>121</v>
      </c>
      <c r="B4">
        <v>0.09</v>
      </c>
      <c r="C4">
        <v>0.04</v>
      </c>
    </row>
    <row r="5" spans="1:3">
      <c r="A5" s="37" t="s">
        <v>115</v>
      </c>
      <c r="B5" s="7">
        <v>0.3</v>
      </c>
      <c r="C5" s="7">
        <v>0.2</v>
      </c>
    </row>
    <row r="6" spans="1:3">
      <c r="A6" s="37" t="s">
        <v>122</v>
      </c>
      <c r="B6">
        <v>0.01</v>
      </c>
    </row>
    <row r="8" spans="1:3">
      <c r="A8" s="37" t="s">
        <v>110</v>
      </c>
      <c r="B8" s="7">
        <v>0.03</v>
      </c>
    </row>
    <row r="10" spans="1:3">
      <c r="A10" s="37" t="s">
        <v>100</v>
      </c>
    </row>
    <row r="11" spans="1:3">
      <c r="A11" s="37" t="s">
        <v>123</v>
      </c>
      <c r="B11" s="7">
        <v>0.27272727276534198</v>
      </c>
    </row>
    <row r="12" spans="1:3">
      <c r="A12" s="37" t="s">
        <v>124</v>
      </c>
      <c r="B12" s="7">
        <f>1-B11</f>
        <v>0.72727272723465797</v>
      </c>
    </row>
    <row r="14" spans="1:3">
      <c r="A14" s="37" t="s">
        <v>99</v>
      </c>
      <c r="B14" s="8">
        <f>B11*B3+B12*C3</f>
        <v>0.14636363636592054</v>
      </c>
    </row>
    <row r="15" spans="1:3">
      <c r="A15" s="37" t="s">
        <v>115</v>
      </c>
      <c r="B15">
        <f>SQRT(B11^2*B4+B12^2*C4+2*B11*B12*B6)</f>
        <v>0.17837651700316892</v>
      </c>
    </row>
    <row r="17" spans="1:3">
      <c r="A17" s="37" t="s">
        <v>101</v>
      </c>
    </row>
    <row r="18" spans="1:3">
      <c r="A18" s="37" t="s">
        <v>125</v>
      </c>
      <c r="B18" s="7">
        <v>0.3</v>
      </c>
      <c r="C18" s="7">
        <v>0.5</v>
      </c>
    </row>
    <row r="19" spans="1:3">
      <c r="A19" s="37" t="s">
        <v>113</v>
      </c>
      <c r="B19" s="7">
        <f>1-B18</f>
        <v>0.7</v>
      </c>
      <c r="C19" s="7">
        <f>1-C18</f>
        <v>0.5</v>
      </c>
    </row>
    <row r="21" spans="1:3">
      <c r="A21" s="37" t="s">
        <v>99</v>
      </c>
      <c r="B21" s="56">
        <f>B18*$B$14+B19*$B$8</f>
        <v>6.490909090977616E-2</v>
      </c>
      <c r="C21" s="56">
        <f>C18*$B$14+C19*$B$8</f>
        <v>8.8181818182960267E-2</v>
      </c>
    </row>
    <row r="22" spans="1:3">
      <c r="A22" t="s">
        <v>102</v>
      </c>
      <c r="B22">
        <f>B18*$B$15</f>
        <v>5.3512955100950672E-2</v>
      </c>
      <c r="C22">
        <f>C18*$B$15</f>
        <v>8.9188258501584461E-2</v>
      </c>
    </row>
    <row r="24" spans="1:3">
      <c r="A24" s="37" t="s">
        <v>104</v>
      </c>
    </row>
    <row r="25" spans="1:3" ht="14">
      <c r="A25" s="57" t="s">
        <v>126</v>
      </c>
      <c r="B25" s="7">
        <v>0.09</v>
      </c>
    </row>
    <row r="26" spans="1:3">
      <c r="A26" s="37" t="s">
        <v>125</v>
      </c>
      <c r="B26" s="7">
        <v>0.51562555780237829</v>
      </c>
    </row>
    <row r="27" spans="1:3">
      <c r="A27" s="37" t="s">
        <v>113</v>
      </c>
      <c r="B27" s="7">
        <f>1-B26</f>
        <v>0.48437444219762171</v>
      </c>
    </row>
    <row r="29" spans="1:3">
      <c r="A29" s="37" t="s">
        <v>99</v>
      </c>
      <c r="B29" s="56">
        <f>B26*B14+B27*B8</f>
        <v>9.0000064909090877E-2</v>
      </c>
    </row>
    <row r="31" spans="1:3">
      <c r="A31" s="37" t="s">
        <v>106</v>
      </c>
    </row>
    <row r="32" spans="1:3" ht="14">
      <c r="A32" s="57" t="s">
        <v>127</v>
      </c>
      <c r="B32" s="7">
        <v>0.05</v>
      </c>
    </row>
    <row r="33" spans="1:2">
      <c r="A33" s="37" t="s">
        <v>125</v>
      </c>
      <c r="B33" s="7">
        <v>0.28030595529069408</v>
      </c>
    </row>
    <row r="34" spans="1:2">
      <c r="A34" s="37" t="s">
        <v>113</v>
      </c>
      <c r="B34" s="7">
        <f>1-B33</f>
        <v>0.71969404470930587</v>
      </c>
    </row>
    <row r="36" spans="1:2">
      <c r="A36" t="s">
        <v>102</v>
      </c>
      <c r="B36" s="55">
        <f>B33*B15</f>
        <v>0.05</v>
      </c>
    </row>
  </sheetData>
  <mergeCells count="1">
    <mergeCell ref="A1:C1"/>
  </mergeCells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94ACF-0F19-3748-B58B-9B115368A285}">
  <dimension ref="A1:B8"/>
  <sheetViews>
    <sheetView zoomScale="160" zoomScaleNormal="160" workbookViewId="0">
      <selection activeCell="B8" sqref="B8"/>
    </sheetView>
  </sheetViews>
  <sheetFormatPr baseColWidth="10" defaultRowHeight="13"/>
  <cols>
    <col min="1" max="1" width="40.1640625" bestFit="1" customWidth="1"/>
  </cols>
  <sheetData>
    <row r="1" spans="1:2">
      <c r="A1" s="37" t="s">
        <v>128</v>
      </c>
      <c r="B1">
        <f>('Exercise 5 template'!B14-'Exercise 5 template'!B8)/'Exercise 5 template'!B15</f>
        <v>0.6523484050529661</v>
      </c>
    </row>
    <row r="3" spans="1:2">
      <c r="A3" s="37" t="s">
        <v>123</v>
      </c>
      <c r="B3" s="7">
        <v>0.42187500000487943</v>
      </c>
    </row>
    <row r="4" spans="1:2">
      <c r="A4" s="37" t="s">
        <v>124</v>
      </c>
      <c r="B4" s="7">
        <f>1-B3</f>
        <v>0.57812499999512057</v>
      </c>
    </row>
    <row r="6" spans="1:2">
      <c r="A6" s="37" t="s">
        <v>99</v>
      </c>
      <c r="B6" s="8">
        <f>B3*'Exercise 5 template'!B3+B4*'Exercise 5 template'!C3</f>
        <v>0.15531250000029279</v>
      </c>
    </row>
    <row r="7" spans="1:2">
      <c r="A7" s="37" t="s">
        <v>115</v>
      </c>
      <c r="B7">
        <f>SQRT(B3^2*'Exercise 5 template'!B4+B4^2*'Exercise 5 template'!C4+2*B3*B4*'Exercise 5 template'!B6)</f>
        <v>0.18510844583354405</v>
      </c>
    </row>
    <row r="8" spans="1:2">
      <c r="A8" s="37" t="s">
        <v>129</v>
      </c>
      <c r="B8">
        <f>(B6-'Exercise 5 template'!B8)/'Exercise 6 template'!B7</f>
        <v>0.67696803047537957</v>
      </c>
    </row>
  </sheetData>
  <phoneticPr fontId="1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4"/>
  <sheetViews>
    <sheetView zoomScaleNormal="100" workbookViewId="0">
      <selection activeCell="E12" sqref="E12"/>
    </sheetView>
  </sheetViews>
  <sheetFormatPr baseColWidth="10" defaultColWidth="8.83203125" defaultRowHeight="13"/>
  <cols>
    <col min="1" max="1" width="14.83203125" customWidth="1"/>
    <col min="2" max="2" width="7.83203125" bestFit="1" customWidth="1"/>
    <col min="3" max="3" width="14.83203125" bestFit="1" customWidth="1"/>
  </cols>
  <sheetData>
    <row r="1" spans="1:6" ht="18">
      <c r="A1" s="61" t="s">
        <v>25</v>
      </c>
      <c r="B1" s="61"/>
      <c r="C1" s="61"/>
      <c r="D1" s="61"/>
      <c r="E1" s="61"/>
    </row>
    <row r="2" spans="1:6" s="4" customFormat="1" ht="44.25" customHeight="1">
      <c r="B2" s="3" t="s">
        <v>8</v>
      </c>
      <c r="C2" s="3" t="s">
        <v>24</v>
      </c>
      <c r="D2" s="2"/>
      <c r="E2" s="3" t="s">
        <v>12</v>
      </c>
    </row>
    <row r="3" spans="1:6">
      <c r="A3" s="11" t="s">
        <v>13</v>
      </c>
      <c r="B3" s="6">
        <v>9.5000000000000001E-2</v>
      </c>
      <c r="C3" s="6">
        <v>0.13500000000000001</v>
      </c>
      <c r="D3" s="8"/>
      <c r="E3" s="10">
        <f>(B3-$B$14)/C3</f>
        <v>0.40740740740740738</v>
      </c>
    </row>
    <row r="4" spans="1:6">
      <c r="A4" s="11" t="s">
        <v>14</v>
      </c>
      <c r="B4" s="6">
        <v>6.5000000000000002E-2</v>
      </c>
      <c r="C4" s="6">
        <v>2.2499999999999999E-2</v>
      </c>
      <c r="D4" s="8"/>
      <c r="E4" s="10">
        <f t="shared" ref="E4:E12" si="0">(B4-$B$14)/C4</f>
        <v>1.1111111111111112</v>
      </c>
    </row>
    <row r="5" spans="1:6">
      <c r="A5" s="11" t="s">
        <v>15</v>
      </c>
      <c r="B5" s="6">
        <v>0.125</v>
      </c>
      <c r="C5" s="6">
        <v>0.15000000000000002</v>
      </c>
      <c r="E5" s="10">
        <f t="shared" si="0"/>
        <v>0.56666666666666654</v>
      </c>
    </row>
    <row r="6" spans="1:6">
      <c r="A6" s="11" t="s">
        <v>16</v>
      </c>
      <c r="B6" s="6">
        <v>0.16</v>
      </c>
      <c r="C6" s="6">
        <v>0.22499999999999998</v>
      </c>
      <c r="E6" s="10">
        <f t="shared" si="0"/>
        <v>0.53333333333333333</v>
      </c>
    </row>
    <row r="7" spans="1:6">
      <c r="A7" s="11" t="s">
        <v>17</v>
      </c>
      <c r="B7" s="6">
        <v>7.0000000000000007E-2</v>
      </c>
      <c r="C7" s="6">
        <v>3.15E-2</v>
      </c>
      <c r="E7" s="10">
        <f t="shared" si="0"/>
        <v>0.95238095238095255</v>
      </c>
    </row>
    <row r="8" spans="1:6">
      <c r="A8" s="11" t="s">
        <v>18</v>
      </c>
      <c r="B8" s="6">
        <v>0.11</v>
      </c>
      <c r="C8" s="6">
        <v>4.8000000000000001E-2</v>
      </c>
      <c r="E8" s="10">
        <f t="shared" si="0"/>
        <v>1.4583333333333335</v>
      </c>
      <c r="F8" s="37" t="s">
        <v>130</v>
      </c>
    </row>
    <row r="9" spans="1:6">
      <c r="A9" s="11" t="s">
        <v>19</v>
      </c>
      <c r="B9" s="6">
        <v>8.5000000000000006E-2</v>
      </c>
      <c r="C9" s="6">
        <v>8.2500000000000004E-2</v>
      </c>
      <c r="E9" s="10">
        <f t="shared" si="0"/>
        <v>0.54545454545454553</v>
      </c>
    </row>
    <row r="10" spans="1:6">
      <c r="A10" s="11" t="s">
        <v>20</v>
      </c>
      <c r="B10" s="6">
        <v>0.06</v>
      </c>
      <c r="C10" s="6">
        <v>1.44E-2</v>
      </c>
      <c r="E10" s="10">
        <f t="shared" si="0"/>
        <v>1.3888888888888886</v>
      </c>
    </row>
    <row r="11" spans="1:6">
      <c r="A11" s="11" t="s">
        <v>21</v>
      </c>
      <c r="B11" s="6">
        <v>0.2</v>
      </c>
      <c r="C11" s="6">
        <v>0.30000000000000004</v>
      </c>
      <c r="E11" s="10">
        <f t="shared" si="0"/>
        <v>0.53333333333333321</v>
      </c>
    </row>
    <row r="12" spans="1:6">
      <c r="A12" s="11" t="s">
        <v>22</v>
      </c>
      <c r="B12" s="6">
        <v>0.115</v>
      </c>
      <c r="C12" s="6">
        <v>0.34500000000000003</v>
      </c>
      <c r="E12" s="10">
        <f t="shared" si="0"/>
        <v>0.21739130434782611</v>
      </c>
    </row>
    <row r="13" spans="1:6">
      <c r="A13" s="11"/>
    </row>
    <row r="14" spans="1:6" ht="12.75" customHeight="1">
      <c r="A14" s="12" t="s">
        <v>26</v>
      </c>
      <c r="B14" s="8">
        <v>0.04</v>
      </c>
    </row>
  </sheetData>
  <mergeCells count="1">
    <mergeCell ref="A1:E1"/>
  </mergeCells>
  <phoneticPr fontId="2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61"/>
  <sheetViews>
    <sheetView topLeftCell="A21" workbookViewId="0">
      <selection activeCell="E59" sqref="E59"/>
    </sheetView>
  </sheetViews>
  <sheetFormatPr baseColWidth="10" defaultColWidth="9.1640625" defaultRowHeight="13"/>
  <cols>
    <col min="1" max="1" width="18.1640625" style="14" customWidth="1"/>
    <col min="2" max="2" width="14.33203125" style="14" customWidth="1"/>
    <col min="3" max="3" width="12" style="14" customWidth="1"/>
    <col min="4" max="4" width="10" style="14" customWidth="1"/>
    <col min="5" max="5" width="11.83203125" style="14" bestFit="1" customWidth="1"/>
    <col min="6" max="6" width="12.83203125" style="14" bestFit="1" customWidth="1"/>
    <col min="7" max="16384" width="9.1640625" style="14"/>
  </cols>
  <sheetData>
    <row r="1" spans="1:6" ht="35.25" customHeight="1">
      <c r="A1" s="62" t="s">
        <v>79</v>
      </c>
      <c r="B1" s="62"/>
      <c r="C1" s="62"/>
      <c r="D1" s="20"/>
      <c r="E1" s="13"/>
    </row>
    <row r="2" spans="1:6" s="52" customFormat="1" ht="21" customHeight="1">
      <c r="A2" s="50" t="s">
        <v>27</v>
      </c>
      <c r="B2" s="50" t="s">
        <v>28</v>
      </c>
      <c r="C2" s="50" t="s">
        <v>78</v>
      </c>
      <c r="D2" s="21" t="s">
        <v>80</v>
      </c>
      <c r="E2" s="21" t="s">
        <v>81</v>
      </c>
      <c r="F2" s="51"/>
    </row>
    <row r="3" spans="1:6">
      <c r="A3" s="40">
        <v>37623</v>
      </c>
      <c r="B3" s="49">
        <v>64.559790000000007</v>
      </c>
      <c r="C3" s="49">
        <v>54.741840000000003</v>
      </c>
      <c r="E3" s="19"/>
      <c r="F3" s="19"/>
    </row>
    <row r="4" spans="1:6">
      <c r="A4" s="40">
        <v>37988</v>
      </c>
      <c r="B4" s="49">
        <v>82.545659999999998</v>
      </c>
      <c r="C4" s="49">
        <v>41.512120000000003</v>
      </c>
      <c r="D4" s="44">
        <f>B4/B3-1</f>
        <v>0.27859244895313307</v>
      </c>
      <c r="E4" s="44">
        <f>C4/C3-1</f>
        <v>-0.24167474092942431</v>
      </c>
    </row>
    <row r="5" spans="1:6">
      <c r="A5" s="40">
        <v>38355</v>
      </c>
      <c r="B5" s="49">
        <v>78.312600000000003</v>
      </c>
      <c r="C5" s="49">
        <v>44.664810000000003</v>
      </c>
      <c r="D5" s="44">
        <f t="shared" ref="D5:E15" si="0">B5/B4-1</f>
        <v>-5.1281436237834876E-2</v>
      </c>
      <c r="E5" s="44">
        <f t="shared" si="0"/>
        <v>7.5946253768778949E-2</v>
      </c>
    </row>
    <row r="6" spans="1:6">
      <c r="A6" s="40">
        <v>38720</v>
      </c>
      <c r="B6" s="49">
        <v>68.793180000000007</v>
      </c>
      <c r="C6" s="49">
        <v>38.220649999999999</v>
      </c>
      <c r="D6" s="44">
        <f t="shared" si="0"/>
        <v>-0.12155668436496803</v>
      </c>
      <c r="E6" s="44">
        <f t="shared" si="0"/>
        <v>-0.14427823604309531</v>
      </c>
    </row>
    <row r="7" spans="1:6">
      <c r="A7" s="40">
        <v>39085</v>
      </c>
      <c r="B7" s="49">
        <v>85.023629999999997</v>
      </c>
      <c r="C7" s="49">
        <v>54.379269999999998</v>
      </c>
      <c r="D7" s="44">
        <f t="shared" si="0"/>
        <v>0.23593109084359809</v>
      </c>
      <c r="E7" s="44">
        <f t="shared" si="0"/>
        <v>0.42277198320803011</v>
      </c>
    </row>
    <row r="8" spans="1:6">
      <c r="A8" s="40">
        <v>39449</v>
      </c>
      <c r="B8" s="49">
        <v>93.141139999999993</v>
      </c>
      <c r="C8" s="49">
        <v>53.007129999999997</v>
      </c>
      <c r="D8" s="44">
        <f t="shared" si="0"/>
        <v>9.5473575992932824E-2</v>
      </c>
      <c r="E8" s="44">
        <f t="shared" si="0"/>
        <v>-2.5232777122605743E-2</v>
      </c>
    </row>
    <row r="9" spans="1:6">
      <c r="A9" s="40">
        <v>39815</v>
      </c>
      <c r="B9" s="49">
        <v>81.092799999999997</v>
      </c>
      <c r="C9" s="49">
        <v>40.545650000000002</v>
      </c>
      <c r="D9" s="44">
        <f t="shared" si="0"/>
        <v>-0.12935572830652486</v>
      </c>
      <c r="E9" s="44">
        <f t="shared" si="0"/>
        <v>-0.23509063780664974</v>
      </c>
    </row>
    <row r="10" spans="1:6">
      <c r="A10" s="40">
        <v>40182</v>
      </c>
      <c r="B10" s="49">
        <v>110.45367</v>
      </c>
      <c r="C10" s="49">
        <v>46.485210000000002</v>
      </c>
      <c r="D10" s="44">
        <f t="shared" si="0"/>
        <v>0.36206506619576584</v>
      </c>
      <c r="E10" s="44">
        <f t="shared" si="0"/>
        <v>0.14649068395746512</v>
      </c>
    </row>
    <row r="11" spans="1:6">
      <c r="A11" s="40">
        <v>40546</v>
      </c>
      <c r="B11" s="49">
        <v>148.99785</v>
      </c>
      <c r="C11" s="49">
        <v>50.708550000000002</v>
      </c>
      <c r="D11" s="44">
        <f t="shared" si="0"/>
        <v>0.34896242017128087</v>
      </c>
      <c r="E11" s="44">
        <f t="shared" si="0"/>
        <v>9.0853413375996395E-2</v>
      </c>
    </row>
    <row r="12" spans="1:6">
      <c r="A12" s="40">
        <v>40911</v>
      </c>
      <c r="B12" s="49">
        <v>180.13773</v>
      </c>
      <c r="C12" s="49">
        <v>58.220239999999997</v>
      </c>
      <c r="D12" s="44">
        <f t="shared" si="0"/>
        <v>0.20899549892834024</v>
      </c>
      <c r="E12" s="44">
        <f t="shared" si="0"/>
        <v>0.1481345847988158</v>
      </c>
    </row>
    <row r="13" spans="1:6">
      <c r="A13" s="40">
        <v>41276</v>
      </c>
      <c r="B13" s="49">
        <v>193.12766999999999</v>
      </c>
      <c r="C13" s="49">
        <v>62.984909999999999</v>
      </c>
      <c r="D13" s="44">
        <f t="shared" si="0"/>
        <v>7.2111156280252775E-2</v>
      </c>
      <c r="E13" s="44">
        <f t="shared" si="0"/>
        <v>8.1838721379369206E-2</v>
      </c>
    </row>
    <row r="14" spans="1:6">
      <c r="A14" s="40">
        <v>41641</v>
      </c>
      <c r="B14" s="49">
        <v>171.2903</v>
      </c>
      <c r="C14" s="49">
        <v>67.476939999999999</v>
      </c>
      <c r="D14" s="44">
        <f t="shared" si="0"/>
        <v>-0.11307219726722739</v>
      </c>
      <c r="E14" s="44">
        <f t="shared" si="0"/>
        <v>7.1319146125635502E-2</v>
      </c>
    </row>
    <row r="15" spans="1:6">
      <c r="A15" s="40">
        <v>42006</v>
      </c>
      <c r="B15" s="49">
        <v>152.24203</v>
      </c>
      <c r="C15" s="49">
        <v>97.54</v>
      </c>
      <c r="D15" s="44">
        <f t="shared" si="0"/>
        <v>-0.11120460411360134</v>
      </c>
      <c r="E15" s="44">
        <f t="shared" si="0"/>
        <v>0.44553087321387141</v>
      </c>
    </row>
    <row r="17" spans="1:8">
      <c r="A17" s="22" t="s">
        <v>75</v>
      </c>
    </row>
    <row r="18" spans="1:8">
      <c r="B18" s="22" t="str">
        <f>B2</f>
        <v>IBM</v>
      </c>
      <c r="C18" s="22" t="str">
        <f>C2</f>
        <v>COKE</v>
      </c>
      <c r="F18" s="16"/>
      <c r="G18" s="16"/>
      <c r="H18" s="16"/>
    </row>
    <row r="19" spans="1:8">
      <c r="A19" s="14" t="s">
        <v>8</v>
      </c>
      <c r="B19" s="44">
        <f>AVERAGE(D4:D15)</f>
        <v>8.9638383922928958E-2</v>
      </c>
      <c r="C19" s="44">
        <f>AVERAGE(E4:E15)</f>
        <v>6.9717438993848954E-2</v>
      </c>
      <c r="G19" s="17"/>
      <c r="H19" s="17"/>
    </row>
    <row r="20" spans="1:8">
      <c r="A20" s="14" t="s">
        <v>29</v>
      </c>
      <c r="B20" s="45">
        <f>_xlfn.VAR.S(D4:D15)</f>
        <v>3.7000680109274091E-2</v>
      </c>
      <c r="C20" s="45">
        <f>_xlfn.VAR.S(E4:E15)</f>
        <v>4.7567672073020525E-2</v>
      </c>
      <c r="G20" s="15"/>
      <c r="H20" s="15"/>
    </row>
    <row r="21" spans="1:8">
      <c r="A21" s="14" t="s">
        <v>0</v>
      </c>
      <c r="B21" s="44">
        <f>_xlfn.STDEV.S(D4:D15)</f>
        <v>0.19235560846846678</v>
      </c>
      <c r="C21" s="44">
        <f>_xlfn.STDEV.S(E4:E15)</f>
        <v>0.21810014230398964</v>
      </c>
      <c r="G21" s="15"/>
      <c r="H21" s="15"/>
    </row>
    <row r="22" spans="1:8">
      <c r="A22" s="14" t="s">
        <v>30</v>
      </c>
      <c r="B22" s="42">
        <f>_xlfn.COVARIANCE.S(D4:D15,E4:E15)</f>
        <v>5.7330762074682051E-3</v>
      </c>
      <c r="C22" s="18"/>
      <c r="G22" s="15"/>
      <c r="H22" s="15"/>
    </row>
    <row r="23" spans="1:8">
      <c r="A23" s="14" t="s">
        <v>31</v>
      </c>
      <c r="B23" s="42">
        <f>CORREL(D4:D15,E4:E15)</f>
        <v>0.13665543606260769</v>
      </c>
      <c r="C23" s="18"/>
      <c r="G23" s="15"/>
      <c r="H23" s="15"/>
    </row>
    <row r="24" spans="1:8">
      <c r="G24" s="15"/>
      <c r="H24" s="15"/>
    </row>
    <row r="25" spans="1:8">
      <c r="A25" s="22" t="s">
        <v>76</v>
      </c>
      <c r="B25" s="22" t="s">
        <v>25</v>
      </c>
      <c r="G25" s="15"/>
      <c r="H25" s="15"/>
    </row>
    <row r="26" spans="1:8">
      <c r="A26" s="14" t="s">
        <v>82</v>
      </c>
      <c r="B26" s="14" t="s">
        <v>83</v>
      </c>
      <c r="C26" s="14" t="s">
        <v>84</v>
      </c>
      <c r="D26" s="14" t="s">
        <v>8</v>
      </c>
      <c r="G26" s="15"/>
      <c r="H26" s="15"/>
    </row>
    <row r="27" spans="1:8">
      <c r="A27" s="14">
        <v>0</v>
      </c>
      <c r="B27" s="14">
        <f>1-A27</f>
        <v>1</v>
      </c>
      <c r="C27" s="43">
        <f>SQRT(A27^2*$B$20+B27^2*$C$20+2*A27*B27*$B$22)</f>
        <v>0.21810014230398964</v>
      </c>
      <c r="D27" s="43">
        <f>SUMPRODUCT(A27:B27,$B$19:$C$19)</f>
        <v>6.9717438993848954E-2</v>
      </c>
      <c r="G27" s="15"/>
      <c r="H27" s="15"/>
    </row>
    <row r="28" spans="1:8">
      <c r="A28" s="14">
        <v>0.1</v>
      </c>
      <c r="B28" s="14">
        <f t="shared" ref="B28:B37" si="1">1-A28</f>
        <v>0.9</v>
      </c>
      <c r="C28" s="43">
        <f t="shared" ref="C28:C37" si="2">SQRT(A28^2*$B$20+B28^2*$C$20+2*A28*B28*$B$22)</f>
        <v>0.19982936445273414</v>
      </c>
      <c r="D28" s="43">
        <f t="shared" ref="D28:D37" si="3">SUMPRODUCT(A28:B28,$B$19:$C$19)</f>
        <v>7.170953348675696E-2</v>
      </c>
      <c r="G28" s="15"/>
      <c r="H28" s="15"/>
    </row>
    <row r="29" spans="1:8">
      <c r="A29" s="14">
        <v>0.2</v>
      </c>
      <c r="B29" s="14">
        <f t="shared" si="1"/>
        <v>0.8</v>
      </c>
      <c r="C29" s="43">
        <f t="shared" si="2"/>
        <v>0.18373328962791127</v>
      </c>
      <c r="D29" s="43">
        <f t="shared" si="3"/>
        <v>7.3701627979664952E-2</v>
      </c>
      <c r="G29" s="15"/>
      <c r="H29" s="15"/>
    </row>
    <row r="30" spans="1:8">
      <c r="A30" s="14">
        <v>0.3</v>
      </c>
      <c r="B30" s="14">
        <f t="shared" si="1"/>
        <v>0.7</v>
      </c>
      <c r="C30" s="43">
        <f t="shared" si="2"/>
        <v>0.170429200939133</v>
      </c>
      <c r="D30" s="43">
        <f t="shared" si="3"/>
        <v>7.5693722472572958E-2</v>
      </c>
      <c r="G30" s="15"/>
      <c r="H30" s="15"/>
    </row>
    <row r="31" spans="1:8">
      <c r="A31" s="14">
        <v>0.4</v>
      </c>
      <c r="B31" s="14">
        <f t="shared" si="1"/>
        <v>0.6</v>
      </c>
      <c r="C31" s="43">
        <f t="shared" si="2"/>
        <v>0.16061241341613663</v>
      </c>
      <c r="D31" s="43">
        <f t="shared" si="3"/>
        <v>7.7685816965480964E-2</v>
      </c>
      <c r="G31" s="15"/>
      <c r="H31" s="15"/>
    </row>
    <row r="32" spans="1:8">
      <c r="A32" s="14">
        <v>0.5</v>
      </c>
      <c r="B32" s="14">
        <f t="shared" si="1"/>
        <v>0.5</v>
      </c>
      <c r="C32" s="43">
        <f t="shared" si="2"/>
        <v>0.1549471721242687</v>
      </c>
      <c r="D32" s="43">
        <f t="shared" si="3"/>
        <v>7.9677911458388956E-2</v>
      </c>
      <c r="G32" s="15"/>
      <c r="H32" s="15"/>
    </row>
    <row r="33" spans="1:8">
      <c r="A33" s="14">
        <v>0.6</v>
      </c>
      <c r="B33" s="14">
        <f t="shared" si="1"/>
        <v>0.4</v>
      </c>
      <c r="C33" s="43">
        <f t="shared" si="2"/>
        <v>0.15389265398519417</v>
      </c>
      <c r="D33" s="43">
        <f t="shared" si="3"/>
        <v>8.1670005951296948E-2</v>
      </c>
      <c r="G33" s="15"/>
      <c r="H33" s="15"/>
    </row>
    <row r="34" spans="1:8">
      <c r="A34" s="14">
        <v>0.7</v>
      </c>
      <c r="B34" s="14">
        <f t="shared" si="1"/>
        <v>0.30000000000000004</v>
      </c>
      <c r="C34" s="43">
        <f t="shared" si="2"/>
        <v>0.15754147310233199</v>
      </c>
      <c r="D34" s="43">
        <f t="shared" si="3"/>
        <v>8.3662100444204954E-2</v>
      </c>
      <c r="G34" s="15"/>
      <c r="H34" s="15"/>
    </row>
    <row r="35" spans="1:8">
      <c r="A35" s="14">
        <v>0.8</v>
      </c>
      <c r="B35" s="14">
        <f t="shared" si="1"/>
        <v>0.19999999999999996</v>
      </c>
      <c r="C35" s="43">
        <f t="shared" si="2"/>
        <v>0.16558298988496997</v>
      </c>
      <c r="D35" s="43">
        <f t="shared" si="3"/>
        <v>8.565419493711296E-2</v>
      </c>
      <c r="G35" s="15"/>
      <c r="H35" s="15"/>
    </row>
    <row r="36" spans="1:8">
      <c r="A36" s="14">
        <v>0.9</v>
      </c>
      <c r="B36" s="14">
        <f t="shared" si="1"/>
        <v>9.9999999999999978E-2</v>
      </c>
      <c r="C36" s="43">
        <f t="shared" si="2"/>
        <v>0.17742091569650548</v>
      </c>
      <c r="D36" s="43">
        <f t="shared" si="3"/>
        <v>8.7646289430020952E-2</v>
      </c>
      <c r="G36" s="15"/>
      <c r="H36" s="15"/>
    </row>
    <row r="37" spans="1:8">
      <c r="A37" s="14">
        <v>1</v>
      </c>
      <c r="B37" s="14">
        <f t="shared" si="1"/>
        <v>0</v>
      </c>
      <c r="C37" s="43">
        <f t="shared" si="2"/>
        <v>0.19235560846846678</v>
      </c>
      <c r="D37" s="43">
        <f t="shared" si="3"/>
        <v>8.9638383922928958E-2</v>
      </c>
      <c r="G37" s="15"/>
      <c r="H37" s="15"/>
    </row>
    <row r="38" spans="1:8">
      <c r="B38" s="15"/>
      <c r="G38" s="15"/>
      <c r="H38" s="15"/>
    </row>
    <row r="39" spans="1:8">
      <c r="B39" s="15"/>
    </row>
    <row r="40" spans="1:8">
      <c r="A40" s="22" t="s">
        <v>85</v>
      </c>
      <c r="B40" s="41" t="s">
        <v>86</v>
      </c>
    </row>
    <row r="42" spans="1:8">
      <c r="A42" s="14" t="s">
        <v>23</v>
      </c>
      <c r="B42" s="15">
        <v>0.04</v>
      </c>
      <c r="G42" s="15"/>
      <c r="H42" s="15"/>
    </row>
    <row r="44" spans="1:8">
      <c r="A44" s="14" t="s">
        <v>32</v>
      </c>
      <c r="B44" s="42">
        <v>4.2746507898005673E-2</v>
      </c>
    </row>
    <row r="45" spans="1:8">
      <c r="A45" s="14" t="s">
        <v>33</v>
      </c>
      <c r="B45" s="42">
        <f>1-B44</f>
        <v>0.95725349210199429</v>
      </c>
    </row>
    <row r="47" spans="1:8">
      <c r="A47" s="14" t="s">
        <v>9</v>
      </c>
      <c r="B47" s="15">
        <f>B44*$C$19+B45*$B$19</f>
        <v>8.8786833093182305E-2</v>
      </c>
    </row>
    <row r="48" spans="1:8">
      <c r="A48" s="14" t="s">
        <v>10</v>
      </c>
      <c r="B48" s="43">
        <f>SQRT(B45^2*$B$20+B44^2*$C$20+2*B44*B45*$B$22)</f>
        <v>0.18563699892095462</v>
      </c>
    </row>
    <row r="49" spans="1:2">
      <c r="A49" s="14" t="s">
        <v>0</v>
      </c>
      <c r="B49" s="15">
        <f>SQRT(B48)</f>
        <v>0.430856123225555</v>
      </c>
    </row>
    <row r="50" spans="1:2">
      <c r="A50" s="14" t="s">
        <v>34</v>
      </c>
      <c r="B50" s="42">
        <f>(B47-$B$42)/B49</f>
        <v>0.1132323076389057</v>
      </c>
    </row>
    <row r="52" spans="1:2">
      <c r="A52" s="22" t="s">
        <v>77</v>
      </c>
      <c r="B52" s="22" t="s">
        <v>87</v>
      </c>
    </row>
    <row r="55" spans="1:2">
      <c r="A55" s="14" t="s">
        <v>32</v>
      </c>
      <c r="B55" s="42">
        <v>0.4277244483605836</v>
      </c>
    </row>
    <row r="56" spans="1:2">
      <c r="A56" s="14" t="s">
        <v>33</v>
      </c>
      <c r="B56" s="42">
        <f>1-B55</f>
        <v>0.57227555163941646</v>
      </c>
    </row>
    <row r="58" spans="1:2">
      <c r="A58" s="14" t="s">
        <v>9</v>
      </c>
      <c r="B58" s="15">
        <f>B55*$C$19+B56*$B$19</f>
        <v>8.1117708742316663E-2</v>
      </c>
    </row>
    <row r="59" spans="1:2">
      <c r="A59" s="14" t="s">
        <v>10</v>
      </c>
      <c r="B59" s="43">
        <f>SQRT(B56^2*$B$20+B55^2*$C$20+2*B55*B56*$B$22)</f>
        <v>0.1537099833588268</v>
      </c>
    </row>
    <row r="60" spans="1:2">
      <c r="A60" s="14" t="s">
        <v>0</v>
      </c>
      <c r="B60" s="15">
        <f>SQRT(B59)</f>
        <v>0.3920586478561936</v>
      </c>
    </row>
    <row r="61" spans="1:2">
      <c r="A61" s="14" t="s">
        <v>34</v>
      </c>
      <c r="B61" s="42">
        <f>(B58-$B$42)/B60</f>
        <v>0.10487642337989841</v>
      </c>
    </row>
  </sheetData>
  <mergeCells count="1">
    <mergeCell ref="A1:C1"/>
  </mergeCells>
  <phoneticPr fontId="11" type="noConversion"/>
  <printOptions headings="1" gridLines="1"/>
  <pageMargins left="0.75" right="0.75" top="1" bottom="1" header="0.5" footer="0.5"/>
  <pageSetup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C341-FBE7-1C4C-A5CF-EEDA0367C9D3}">
  <dimension ref="A1:C38"/>
  <sheetViews>
    <sheetView topLeftCell="A20" zoomScaleNormal="100" workbookViewId="0">
      <selection activeCell="A39" sqref="A39"/>
    </sheetView>
  </sheetViews>
  <sheetFormatPr baseColWidth="10" defaultRowHeight="13"/>
  <cols>
    <col min="1" max="1" width="46" bestFit="1" customWidth="1"/>
    <col min="2" max="2" width="11" bestFit="1" customWidth="1"/>
  </cols>
  <sheetData>
    <row r="1" spans="1:2">
      <c r="A1" s="37" t="s">
        <v>100</v>
      </c>
    </row>
    <row r="2" spans="1:2">
      <c r="A2" s="37" t="s">
        <v>131</v>
      </c>
    </row>
    <row r="3" spans="1:2">
      <c r="A3" s="37" t="s">
        <v>132</v>
      </c>
      <c r="B3">
        <v>0.54600000000000004</v>
      </c>
    </row>
    <row r="4" spans="1:2">
      <c r="A4" s="37" t="s">
        <v>133</v>
      </c>
      <c r="B4">
        <f>1-B3</f>
        <v>0.45399999999999996</v>
      </c>
    </row>
    <row r="6" spans="1:2">
      <c r="A6" s="37" t="s">
        <v>101</v>
      </c>
    </row>
    <row r="7" spans="1:2">
      <c r="A7" s="37" t="s">
        <v>134</v>
      </c>
    </row>
    <row r="9" spans="1:2">
      <c r="A9" s="37" t="s">
        <v>104</v>
      </c>
    </row>
    <row r="10" spans="1:2">
      <c r="A10" s="37" t="s">
        <v>135</v>
      </c>
    </row>
    <row r="12" spans="1:2">
      <c r="A12" s="37" t="s">
        <v>106</v>
      </c>
    </row>
    <row r="13" spans="1:2">
      <c r="A13" s="37" t="s">
        <v>137</v>
      </c>
      <c r="B13" s="7">
        <v>0.3</v>
      </c>
    </row>
    <row r="14" spans="1:2">
      <c r="A14" s="37" t="s">
        <v>136</v>
      </c>
      <c r="B14" s="7">
        <v>0.7</v>
      </c>
    </row>
    <row r="16" spans="1:2">
      <c r="A16" s="37" t="s">
        <v>110</v>
      </c>
      <c r="B16" s="7">
        <v>0.05</v>
      </c>
    </row>
    <row r="17" spans="1:3">
      <c r="A17" s="37" t="s">
        <v>138</v>
      </c>
      <c r="B17" s="8">
        <v>0.17810000000000001</v>
      </c>
    </row>
    <row r="18" spans="1:3">
      <c r="A18" s="37" t="s">
        <v>139</v>
      </c>
      <c r="B18" s="8">
        <v>0.26429999999999998</v>
      </c>
    </row>
    <row r="20" spans="1:3">
      <c r="A20" s="54" t="s">
        <v>98</v>
      </c>
      <c r="B20" s="58">
        <f>B13*B16+B14*B17</f>
        <v>0.13967000000000002</v>
      </c>
    </row>
    <row r="21" spans="1:3">
      <c r="A21" s="37" t="s">
        <v>115</v>
      </c>
      <c r="B21" s="58">
        <f>B18*B14</f>
        <v>0.18500999999999998</v>
      </c>
    </row>
    <row r="23" spans="1:3">
      <c r="A23" s="37" t="s">
        <v>108</v>
      </c>
    </row>
    <row r="24" spans="1:3">
      <c r="B24" s="37" t="s">
        <v>140</v>
      </c>
      <c r="C24" s="37" t="s">
        <v>141</v>
      </c>
    </row>
    <row r="25" spans="1:3">
      <c r="A25" s="37" t="s">
        <v>99</v>
      </c>
      <c r="B25" s="8">
        <v>0.19839999999999999</v>
      </c>
      <c r="C25" s="8">
        <v>0.15379999999999999</v>
      </c>
    </row>
    <row r="26" spans="1:3">
      <c r="A26" s="37" t="s">
        <v>142</v>
      </c>
      <c r="B26">
        <v>0.1575</v>
      </c>
      <c r="C26">
        <v>0.13780000000000001</v>
      </c>
    </row>
    <row r="27" spans="1:3">
      <c r="A27" s="37" t="s">
        <v>145</v>
      </c>
      <c r="B27" s="37">
        <v>-1.0999999999999999E-2</v>
      </c>
    </row>
    <row r="29" spans="1:3">
      <c r="A29" s="37" t="s">
        <v>143</v>
      </c>
      <c r="B29" s="59">
        <f>B25*50%+C25*50%</f>
        <v>0.17609999999999998</v>
      </c>
    </row>
    <row r="30" spans="1:3">
      <c r="A30" s="37" t="s">
        <v>144</v>
      </c>
      <c r="B30">
        <f>SQRT(50%^2*B26+50%^2*C26+2*50%*50%*B27)</f>
        <v>0.26139051245215461</v>
      </c>
    </row>
    <row r="32" spans="1:3">
      <c r="A32" s="37" t="s">
        <v>137</v>
      </c>
      <c r="B32" s="7">
        <v>0.28889770023767225</v>
      </c>
    </row>
    <row r="33" spans="1:3">
      <c r="A33" s="37" t="s">
        <v>146</v>
      </c>
      <c r="B33" s="7">
        <f>1-B32</f>
        <v>0.71110229976232775</v>
      </c>
    </row>
    <row r="35" spans="1:3">
      <c r="A35" s="54" t="s">
        <v>98</v>
      </c>
      <c r="B35" s="58">
        <f>B32*B16+B33*B29</f>
        <v>0.13967000000002952</v>
      </c>
      <c r="C35" s="58">
        <f>B35-B20</f>
        <v>2.9504176879413535E-14</v>
      </c>
    </row>
    <row r="36" spans="1:3">
      <c r="A36" s="37" t="s">
        <v>115</v>
      </c>
      <c r="B36" s="58">
        <f>B33*B30</f>
        <v>0.1858753945407805</v>
      </c>
    </row>
    <row r="38" spans="1:3">
      <c r="A38" s="37" t="s">
        <v>147</v>
      </c>
    </row>
  </sheetData>
  <phoneticPr fontId="1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C6899-07F6-B649-B94F-F27A2C4BAB6B}">
  <dimension ref="A1:D15"/>
  <sheetViews>
    <sheetView zoomScaleNormal="100" workbookViewId="0">
      <selection activeCell="D15" sqref="D15"/>
    </sheetView>
  </sheetViews>
  <sheetFormatPr baseColWidth="10" defaultRowHeight="13"/>
  <cols>
    <col min="1" max="1" width="39.6640625" bestFit="1" customWidth="1"/>
    <col min="2" max="2" width="25.5" bestFit="1" customWidth="1"/>
    <col min="4" max="4" width="16.83203125" bestFit="1" customWidth="1"/>
  </cols>
  <sheetData>
    <row r="1" spans="1:4">
      <c r="A1" s="37" t="s">
        <v>100</v>
      </c>
    </row>
    <row r="2" spans="1:4">
      <c r="A2" s="37" t="s">
        <v>148</v>
      </c>
    </row>
    <row r="4" spans="1:4">
      <c r="A4" s="37" t="s">
        <v>101</v>
      </c>
    </row>
    <row r="5" spans="1:4">
      <c r="A5" s="37" t="s">
        <v>149</v>
      </c>
      <c r="B5" s="7">
        <v>0.22</v>
      </c>
    </row>
    <row r="6" spans="1:4">
      <c r="A6" s="37" t="s">
        <v>150</v>
      </c>
      <c r="B6" s="7">
        <v>0.19</v>
      </c>
    </row>
    <row r="7" spans="1:4">
      <c r="A7" s="37" t="s">
        <v>110</v>
      </c>
      <c r="B7" s="7">
        <v>7.0000000000000007E-2</v>
      </c>
    </row>
    <row r="9" spans="1:4">
      <c r="A9" s="37" t="s">
        <v>137</v>
      </c>
      <c r="B9" s="37" t="s">
        <v>136</v>
      </c>
      <c r="C9" s="37" t="s">
        <v>99</v>
      </c>
      <c r="D9" s="37" t="s">
        <v>115</v>
      </c>
    </row>
    <row r="10" spans="1:4">
      <c r="A10" s="7">
        <v>0.35</v>
      </c>
      <c r="B10" s="7">
        <f>1-A10</f>
        <v>0.65</v>
      </c>
      <c r="C10" s="59">
        <f t="shared" ref="C10:C15" si="0">A10*$B$7+B10*$B$5</f>
        <v>0.16750000000000001</v>
      </c>
      <c r="D10" s="59">
        <f>B10*$B$6</f>
        <v>0.12350000000000001</v>
      </c>
    </row>
    <row r="11" spans="1:4">
      <c r="A11" s="7">
        <f>1-B11</f>
        <v>-0.19999999999999996</v>
      </c>
      <c r="B11" s="7">
        <v>1.2</v>
      </c>
      <c r="C11" s="59">
        <f t="shared" si="0"/>
        <v>0.25</v>
      </c>
      <c r="D11" s="59">
        <f t="shared" ref="D11:D15" si="1">B11*$B$6</f>
        <v>0.22799999999999998</v>
      </c>
    </row>
    <row r="12" spans="1:4">
      <c r="A12" s="7">
        <v>0.46666666666666679</v>
      </c>
      <c r="B12" s="7">
        <f>1-A12</f>
        <v>0.53333333333333321</v>
      </c>
      <c r="C12" s="59">
        <f t="shared" si="0"/>
        <v>0.14999999999999997</v>
      </c>
      <c r="D12" s="59">
        <f t="shared" si="1"/>
        <v>0.10133333333333332</v>
      </c>
    </row>
    <row r="13" spans="1:4">
      <c r="A13" s="7">
        <v>-6.6666666666666902E-2</v>
      </c>
      <c r="B13" s="7">
        <f>1-A13</f>
        <v>1.0666666666666669</v>
      </c>
      <c r="C13" s="59">
        <f t="shared" si="0"/>
        <v>0.23000000000000004</v>
      </c>
      <c r="D13" s="59">
        <f t="shared" si="1"/>
        <v>0.20266666666666672</v>
      </c>
    </row>
    <row r="14" spans="1:4">
      <c r="A14" s="7">
        <v>-0.84210526315789469</v>
      </c>
      <c r="B14" s="7">
        <f>1-A14</f>
        <v>1.8421052631578947</v>
      </c>
      <c r="C14" s="59">
        <f t="shared" si="0"/>
        <v>0.34631578947368419</v>
      </c>
      <c r="D14" s="59">
        <f t="shared" si="1"/>
        <v>0.35</v>
      </c>
    </row>
    <row r="15" spans="1:4">
      <c r="A15" s="7">
        <v>0.73684210526315785</v>
      </c>
      <c r="B15" s="7">
        <f>1-A15</f>
        <v>0.26315789473684215</v>
      </c>
      <c r="C15" s="59">
        <f t="shared" si="0"/>
        <v>0.10947368421052633</v>
      </c>
      <c r="D15" s="59">
        <f t="shared" si="1"/>
        <v>5.000000000000001E-2</v>
      </c>
    </row>
  </sheetData>
  <phoneticPr fontId="1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131A8-645E-D04A-8628-75D0FBB13B4C}">
  <dimension ref="A1:C27"/>
  <sheetViews>
    <sheetView workbookViewId="0">
      <selection activeCell="B24" sqref="B24"/>
    </sheetView>
  </sheetViews>
  <sheetFormatPr baseColWidth="10" defaultRowHeight="13"/>
  <cols>
    <col min="1" max="1" width="23.1640625" bestFit="1" customWidth="1"/>
  </cols>
  <sheetData>
    <row r="1" spans="1:3" ht="28">
      <c r="A1" s="57" t="s">
        <v>151</v>
      </c>
    </row>
    <row r="2" spans="1:3">
      <c r="B2" s="37" t="s">
        <v>152</v>
      </c>
      <c r="C2" s="37" t="s">
        <v>153</v>
      </c>
    </row>
    <row r="3" spans="1:3">
      <c r="A3" s="37" t="s">
        <v>99</v>
      </c>
      <c r="B3" s="8">
        <v>0.31</v>
      </c>
      <c r="C3" s="7">
        <v>0.15</v>
      </c>
    </row>
    <row r="4" spans="1:3">
      <c r="A4" s="37" t="s">
        <v>121</v>
      </c>
      <c r="B4">
        <v>0.3</v>
      </c>
      <c r="C4">
        <v>0.08</v>
      </c>
    </row>
    <row r="5" spans="1:3">
      <c r="A5" s="37" t="s">
        <v>154</v>
      </c>
      <c r="B5">
        <v>-0.05</v>
      </c>
    </row>
    <row r="7" spans="1:3">
      <c r="A7" s="37" t="s">
        <v>110</v>
      </c>
      <c r="B7" s="7">
        <v>0.05</v>
      </c>
    </row>
    <row r="9" spans="1:3">
      <c r="A9" s="37" t="s">
        <v>100</v>
      </c>
    </row>
    <row r="10" spans="1:3">
      <c r="A10" s="37" t="s">
        <v>155</v>
      </c>
      <c r="B10" s="8">
        <v>0.375</v>
      </c>
    </row>
    <row r="11" spans="1:3">
      <c r="A11" s="37" t="s">
        <v>156</v>
      </c>
      <c r="B11" s="8">
        <f>1-B10</f>
        <v>0.625</v>
      </c>
    </row>
    <row r="13" spans="1:3">
      <c r="A13" s="37" t="s">
        <v>99</v>
      </c>
      <c r="B13" s="8">
        <f>B10*$B$3+B11*$C$3</f>
        <v>0.21</v>
      </c>
    </row>
    <row r="14" spans="1:3">
      <c r="A14" s="37" t="s">
        <v>115</v>
      </c>
      <c r="B14">
        <f>SQRT(B10^2*$B$4+B11^2*$C$4+2*B10*B11*$B$5)</f>
        <v>0.22360679774997894</v>
      </c>
    </row>
    <row r="16" spans="1:3">
      <c r="A16" s="37" t="s">
        <v>157</v>
      </c>
      <c r="B16" s="37" t="s">
        <v>158</v>
      </c>
    </row>
    <row r="18" spans="1:2">
      <c r="A18" s="37" t="s">
        <v>101</v>
      </c>
    </row>
    <row r="19" spans="1:2">
      <c r="A19" s="37" t="s">
        <v>159</v>
      </c>
    </row>
    <row r="20" spans="1:2">
      <c r="A20" s="37" t="s">
        <v>160</v>
      </c>
    </row>
    <row r="22" spans="1:2">
      <c r="A22" s="37" t="s">
        <v>104</v>
      </c>
    </row>
    <row r="23" spans="1:2">
      <c r="A23" s="37" t="s">
        <v>157</v>
      </c>
      <c r="B23" s="37" t="s">
        <v>161</v>
      </c>
    </row>
    <row r="24" spans="1:2">
      <c r="A24" s="37"/>
      <c r="B24" s="8"/>
    </row>
    <row r="26" spans="1:2">
      <c r="A26" s="37"/>
      <c r="B26" s="8"/>
    </row>
    <row r="27" spans="1:2">
      <c r="A27" s="37"/>
    </row>
  </sheetData>
  <phoneticPr fontId="1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A3BD9-C20C-D249-BB67-710CB17B356B}">
  <dimension ref="A1:C32"/>
  <sheetViews>
    <sheetView topLeftCell="A3" zoomScaleNormal="100" workbookViewId="0">
      <selection activeCell="B31" sqref="B31"/>
    </sheetView>
  </sheetViews>
  <sheetFormatPr baseColWidth="10" defaultRowHeight="13"/>
  <cols>
    <col min="1" max="1" width="39.6640625" bestFit="1" customWidth="1"/>
    <col min="2" max="2" width="22" bestFit="1" customWidth="1"/>
  </cols>
  <sheetData>
    <row r="1" spans="1:3" ht="14" customHeight="1">
      <c r="A1" s="63" t="s">
        <v>162</v>
      </c>
      <c r="B1" s="63"/>
      <c r="C1" s="63"/>
    </row>
    <row r="2" spans="1:3">
      <c r="B2" s="37" t="s">
        <v>119</v>
      </c>
      <c r="C2" s="37" t="s">
        <v>120</v>
      </c>
    </row>
    <row r="3" spans="1:3">
      <c r="A3" s="37" t="s">
        <v>99</v>
      </c>
      <c r="B3" s="7">
        <v>0.19</v>
      </c>
      <c r="C3" s="7">
        <v>0.13</v>
      </c>
    </row>
    <row r="4" spans="1:3">
      <c r="A4" s="37" t="s">
        <v>121</v>
      </c>
      <c r="B4">
        <v>0.09</v>
      </c>
      <c r="C4">
        <v>0.03</v>
      </c>
    </row>
    <row r="5" spans="1:3">
      <c r="A5" s="37" t="s">
        <v>115</v>
      </c>
      <c r="B5" s="7">
        <v>0.3</v>
      </c>
      <c r="C5" s="8">
        <v>0.17319999999999999</v>
      </c>
    </row>
    <row r="6" spans="1:3">
      <c r="A6" s="37" t="s">
        <v>154</v>
      </c>
      <c r="B6">
        <v>0.01</v>
      </c>
    </row>
    <row r="8" spans="1:3">
      <c r="A8" s="37" t="s">
        <v>110</v>
      </c>
      <c r="B8" s="7">
        <v>0.03</v>
      </c>
    </row>
    <row r="10" spans="1:3">
      <c r="A10" s="37" t="s">
        <v>100</v>
      </c>
    </row>
    <row r="11" spans="1:3">
      <c r="A11" s="37" t="s">
        <v>123</v>
      </c>
      <c r="B11" s="7">
        <v>0.33928571431111004</v>
      </c>
    </row>
    <row r="12" spans="1:3">
      <c r="A12" s="37" t="s">
        <v>124</v>
      </c>
      <c r="B12" s="7">
        <f>1-B11</f>
        <v>0.6607142856888899</v>
      </c>
    </row>
    <row r="14" spans="1:3">
      <c r="A14" s="37" t="s">
        <v>99</v>
      </c>
      <c r="B14" s="8">
        <f>B11*$B$3+B12*$C$3</f>
        <v>0.15035714285866658</v>
      </c>
    </row>
    <row r="15" spans="1:3">
      <c r="A15" s="37" t="s">
        <v>115</v>
      </c>
      <c r="B15" s="55">
        <f>SQRT(B11^2*$B$4+B12^2*$C$4+2*B11*B12*$B$6)</f>
        <v>0.16715277748549565</v>
      </c>
    </row>
    <row r="17" spans="1:2">
      <c r="A17" s="37" t="s">
        <v>129</v>
      </c>
      <c r="B17" s="65">
        <f>(B14-B8)/B15</f>
        <v>0.72004273377455741</v>
      </c>
    </row>
    <row r="19" spans="1:2">
      <c r="A19" s="37" t="s">
        <v>163</v>
      </c>
      <c r="B19" s="37" t="s">
        <v>164</v>
      </c>
    </row>
    <row r="21" spans="1:2">
      <c r="A21" s="37" t="s">
        <v>101</v>
      </c>
    </row>
    <row r="22" spans="1:2">
      <c r="A22" s="37" t="s">
        <v>165</v>
      </c>
    </row>
    <row r="23" spans="1:2">
      <c r="A23" s="37" t="s">
        <v>123</v>
      </c>
      <c r="B23" s="7">
        <v>1.0000000000000004</v>
      </c>
    </row>
    <row r="24" spans="1:2">
      <c r="A24" s="37" t="s">
        <v>124</v>
      </c>
      <c r="B24" s="7">
        <f>1-B23</f>
        <v>0</v>
      </c>
    </row>
    <row r="26" spans="1:2">
      <c r="A26" s="37" t="s">
        <v>99</v>
      </c>
      <c r="B26" s="8">
        <f>B23*$B$3+B24*$C$3</f>
        <v>0.19000000000000009</v>
      </c>
    </row>
    <row r="27" spans="1:2">
      <c r="A27" s="37"/>
      <c r="B27" s="55"/>
    </row>
    <row r="28" spans="1:2">
      <c r="A28" s="54" t="s">
        <v>166</v>
      </c>
    </row>
    <row r="29" spans="1:2">
      <c r="A29" s="54" t="s">
        <v>113</v>
      </c>
      <c r="B29" s="7">
        <v>-0.32937685458257648</v>
      </c>
    </row>
    <row r="30" spans="1:2">
      <c r="A30" s="37" t="s">
        <v>167</v>
      </c>
      <c r="B30" s="7">
        <f>1-B29</f>
        <v>1.3293768545825766</v>
      </c>
    </row>
    <row r="32" spans="1:2">
      <c r="A32" s="37" t="s">
        <v>99</v>
      </c>
      <c r="B32" s="56">
        <f>B29*B8+B30*B14</f>
        <v>0.19</v>
      </c>
    </row>
  </sheetData>
  <mergeCells count="1">
    <mergeCell ref="A1:C1"/>
  </mergeCells>
  <phoneticPr fontId="1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22"/>
  <sheetViews>
    <sheetView topLeftCell="A4" zoomScaleNormal="100" workbookViewId="0">
      <selection activeCell="A23" sqref="A23"/>
    </sheetView>
  </sheetViews>
  <sheetFormatPr baseColWidth="10" defaultColWidth="8.83203125" defaultRowHeight="13"/>
  <cols>
    <col min="1" max="1" width="23.33203125" bestFit="1" customWidth="1"/>
    <col min="2" max="2" width="10.5" bestFit="1" customWidth="1"/>
    <col min="3" max="3" width="11.33203125" customWidth="1"/>
    <col min="4" max="4" width="12.1640625" bestFit="1" customWidth="1"/>
  </cols>
  <sheetData>
    <row r="1" spans="1:4" ht="18">
      <c r="A1" s="61" t="s">
        <v>89</v>
      </c>
      <c r="B1" s="61"/>
      <c r="C1" s="61"/>
      <c r="D1" s="61"/>
    </row>
    <row r="2" spans="1:4">
      <c r="A2" t="s">
        <v>61</v>
      </c>
      <c r="B2" s="35">
        <v>1000</v>
      </c>
    </row>
    <row r="3" spans="1:4" ht="15">
      <c r="A3" t="s">
        <v>62</v>
      </c>
      <c r="B3" s="7">
        <v>0.06</v>
      </c>
    </row>
    <row r="4" spans="1:4" ht="15">
      <c r="A4" t="s">
        <v>63</v>
      </c>
      <c r="B4" s="7">
        <v>0.15</v>
      </c>
    </row>
    <row r="5" spans="1:4" ht="15">
      <c r="A5" s="23" t="s">
        <v>64</v>
      </c>
      <c r="B5" s="7">
        <v>0.2</v>
      </c>
    </row>
    <row r="7" spans="1:4">
      <c r="A7" s="1" t="s">
        <v>75</v>
      </c>
    </row>
    <row r="8" spans="1:4" ht="28">
      <c r="A8" s="1"/>
      <c r="C8" s="33" t="s">
        <v>68</v>
      </c>
    </row>
    <row r="9" spans="1:4">
      <c r="A9" t="s">
        <v>65</v>
      </c>
      <c r="B9" s="36">
        <v>500</v>
      </c>
      <c r="C9">
        <f>B9/$B$2</f>
        <v>0.5</v>
      </c>
    </row>
    <row r="10" spans="1:4">
      <c r="A10" t="s">
        <v>66</v>
      </c>
      <c r="B10" s="36">
        <f>$B$2-B9</f>
        <v>500</v>
      </c>
      <c r="C10">
        <f>B10/$B$2</f>
        <v>0.5</v>
      </c>
    </row>
    <row r="11" spans="1:4">
      <c r="A11" t="s">
        <v>67</v>
      </c>
      <c r="B11" s="46">
        <f>C9*B3+C10*B4</f>
        <v>0.105</v>
      </c>
    </row>
    <row r="12" spans="1:4">
      <c r="A12" t="s">
        <v>11</v>
      </c>
      <c r="B12" s="46">
        <f>C10*B5</f>
        <v>0.1</v>
      </c>
    </row>
    <row r="13" spans="1:4">
      <c r="B13" s="36"/>
    </row>
    <row r="14" spans="1:4">
      <c r="A14" s="1" t="s">
        <v>74</v>
      </c>
    </row>
    <row r="15" spans="1:4" ht="28">
      <c r="A15" s="1"/>
      <c r="C15" s="33" t="s">
        <v>68</v>
      </c>
    </row>
    <row r="16" spans="1:4">
      <c r="A16" t="s">
        <v>65</v>
      </c>
      <c r="B16" s="36">
        <f>-1000</f>
        <v>-1000</v>
      </c>
      <c r="C16">
        <f>B16/$B$2</f>
        <v>-1</v>
      </c>
    </row>
    <row r="17" spans="1:3">
      <c r="A17" t="s">
        <v>66</v>
      </c>
      <c r="B17" s="36">
        <f>$B$2-B16</f>
        <v>2000</v>
      </c>
      <c r="C17">
        <f>B17/$B$2</f>
        <v>2</v>
      </c>
    </row>
    <row r="18" spans="1:3">
      <c r="A18" t="s">
        <v>67</v>
      </c>
      <c r="B18" s="46">
        <f>C16*B3+C17*B4</f>
        <v>0.24</v>
      </c>
    </row>
    <row r="19" spans="1:3">
      <c r="A19" t="s">
        <v>11</v>
      </c>
      <c r="B19" s="46">
        <f>C17*B5</f>
        <v>0.4</v>
      </c>
    </row>
    <row r="21" spans="1:3">
      <c r="A21" s="1" t="s">
        <v>85</v>
      </c>
    </row>
    <row r="22" spans="1:3">
      <c r="A22" s="37" t="s">
        <v>168</v>
      </c>
    </row>
  </sheetData>
  <mergeCells count="1">
    <mergeCell ref="A1:D1"/>
  </mergeCells>
  <phoneticPr fontId="11" type="noConversion"/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370BB-7624-3048-856F-5080A6BB473D}">
  <dimension ref="A1:D52"/>
  <sheetViews>
    <sheetView zoomScaleNormal="100" workbookViewId="0">
      <selection activeCell="B11" sqref="B11"/>
    </sheetView>
  </sheetViews>
  <sheetFormatPr baseColWidth="10" defaultRowHeight="13"/>
  <cols>
    <col min="1" max="1" width="22.5" bestFit="1" customWidth="1"/>
    <col min="2" max="3" width="22" bestFit="1" customWidth="1"/>
  </cols>
  <sheetData>
    <row r="1" spans="1:4">
      <c r="A1" s="60" t="s">
        <v>169</v>
      </c>
      <c r="B1" s="60"/>
      <c r="C1" s="60"/>
      <c r="D1" s="60"/>
    </row>
    <row r="2" spans="1:4" ht="28">
      <c r="B2" s="57" t="s">
        <v>170</v>
      </c>
      <c r="C2" s="57" t="s">
        <v>171</v>
      </c>
      <c r="D2" s="57" t="s">
        <v>172</v>
      </c>
    </row>
    <row r="3" spans="1:4">
      <c r="A3" s="37" t="s">
        <v>99</v>
      </c>
      <c r="B3" s="8">
        <v>0.3</v>
      </c>
      <c r="C3" s="8">
        <v>0.16250000000000001</v>
      </c>
      <c r="D3" s="7">
        <v>0.1</v>
      </c>
    </row>
    <row r="4" spans="1:4">
      <c r="A4" s="37" t="s">
        <v>121</v>
      </c>
      <c r="B4">
        <v>0.2858</v>
      </c>
      <c r="C4">
        <v>0.1</v>
      </c>
    </row>
    <row r="5" spans="1:4">
      <c r="A5" s="37" t="s">
        <v>173</v>
      </c>
      <c r="B5" s="8">
        <v>0.53459999999999996</v>
      </c>
      <c r="C5" s="8">
        <v>0.31619999999999998</v>
      </c>
    </row>
    <row r="7" spans="1:4">
      <c r="A7" s="37" t="s">
        <v>145</v>
      </c>
      <c r="B7">
        <v>3.4299999999999997E-2</v>
      </c>
    </row>
    <row r="8" spans="1:4">
      <c r="A8" s="37" t="s">
        <v>174</v>
      </c>
      <c r="B8">
        <v>0.2026</v>
      </c>
    </row>
    <row r="10" spans="1:4">
      <c r="A10" s="37" t="s">
        <v>100</v>
      </c>
    </row>
    <row r="11" spans="1:4">
      <c r="A11" s="37" t="s">
        <v>176</v>
      </c>
      <c r="B11" s="7">
        <v>0.61874648267739674</v>
      </c>
    </row>
    <row r="12" spans="1:4">
      <c r="A12" s="37" t="s">
        <v>178</v>
      </c>
      <c r="B12" s="7">
        <f>1-B11</f>
        <v>0.38125351732260326</v>
      </c>
    </row>
    <row r="14" spans="1:4">
      <c r="A14" s="37" t="s">
        <v>99</v>
      </c>
      <c r="B14" s="58">
        <f>B11*B3+B12*C3</f>
        <v>0.24757764136814203</v>
      </c>
    </row>
    <row r="15" spans="1:4">
      <c r="A15" s="37" t="s">
        <v>173</v>
      </c>
      <c r="B15" s="55">
        <f>SQRT(B11^2*B4+B12^2*C4+2*B11*B12*B7)</f>
        <v>0.37434722802885323</v>
      </c>
    </row>
    <row r="16" spans="1:4">
      <c r="A16" s="37" t="s">
        <v>129</v>
      </c>
      <c r="B16" s="65">
        <f>(B14-D3)/B15</f>
        <v>0.39422661721103308</v>
      </c>
    </row>
    <row r="18" spans="1:3">
      <c r="A18" s="37" t="s">
        <v>176</v>
      </c>
      <c r="B18" s="66">
        <f>B15</f>
        <v>0.37434722802885323</v>
      </c>
      <c r="C18" s="58">
        <f>B14</f>
        <v>0.24757764136814203</v>
      </c>
    </row>
    <row r="19" spans="1:3">
      <c r="A19" s="7">
        <v>0</v>
      </c>
      <c r="B19">
        <f t="dataTable" ref="B19:C29" dt2D="0" dtr="0" r1="B11"/>
        <v>0.31622776601683794</v>
      </c>
      <c r="C19">
        <v>0.16250000000000001</v>
      </c>
    </row>
    <row r="20" spans="1:3">
      <c r="A20" s="47">
        <v>0.1</v>
      </c>
      <c r="B20">
        <v>0.30005332859343525</v>
      </c>
      <c r="C20">
        <v>0.17625000000000002</v>
      </c>
    </row>
    <row r="21" spans="1:3">
      <c r="A21" s="7">
        <v>0.2</v>
      </c>
      <c r="B21">
        <v>0.29395237709533839</v>
      </c>
      <c r="C21">
        <v>0.19</v>
      </c>
    </row>
    <row r="22" spans="1:3">
      <c r="A22" s="47">
        <v>0.3</v>
      </c>
      <c r="B22">
        <v>0.2985431292125143</v>
      </c>
      <c r="C22">
        <v>0.20374999999999999</v>
      </c>
    </row>
    <row r="23" spans="1:3">
      <c r="A23" s="7">
        <v>0.4</v>
      </c>
      <c r="B23">
        <v>0.3133560275469422</v>
      </c>
      <c r="C23">
        <v>0.2175</v>
      </c>
    </row>
    <row r="24" spans="1:3">
      <c r="A24" s="47">
        <v>0.5</v>
      </c>
      <c r="B24">
        <v>0.33704599092705434</v>
      </c>
      <c r="C24">
        <v>0.23125000000000001</v>
      </c>
    </row>
    <row r="25" spans="1:3">
      <c r="A25" s="7">
        <v>0.6</v>
      </c>
      <c r="B25">
        <v>0.3679021609069455</v>
      </c>
      <c r="C25">
        <v>0.245</v>
      </c>
    </row>
    <row r="26" spans="1:3">
      <c r="A26" s="47">
        <v>0.7</v>
      </c>
      <c r="B26">
        <v>0.40428702675203415</v>
      </c>
      <c r="C26">
        <v>0.25874999999999998</v>
      </c>
    </row>
    <row r="27" spans="1:3">
      <c r="A27" s="7">
        <v>0.8</v>
      </c>
      <c r="B27">
        <v>0.44484604078265105</v>
      </c>
      <c r="C27">
        <v>0.27249999999999996</v>
      </c>
    </row>
    <row r="28" spans="1:3">
      <c r="A28" s="47">
        <v>0.9</v>
      </c>
      <c r="B28">
        <v>0.48854068407861384</v>
      </c>
      <c r="C28">
        <v>0.28625</v>
      </c>
    </row>
    <row r="29" spans="1:3">
      <c r="A29" s="7">
        <v>1</v>
      </c>
      <c r="B29">
        <v>0.5346026561849464</v>
      </c>
      <c r="C29">
        <v>0.3</v>
      </c>
    </row>
    <row r="30" spans="1:3">
      <c r="A30" s="7"/>
    </row>
    <row r="31" spans="1:3">
      <c r="A31" s="47" t="s">
        <v>179</v>
      </c>
      <c r="B31" s="7">
        <v>0.5</v>
      </c>
    </row>
    <row r="32" spans="1:3">
      <c r="A32" s="37" t="s">
        <v>180</v>
      </c>
      <c r="B32" s="7">
        <f>1-B31</f>
        <v>0.5</v>
      </c>
    </row>
    <row r="34" spans="1:3">
      <c r="A34" s="37" t="s">
        <v>99</v>
      </c>
      <c r="B34" s="64">
        <f>B31*D3+B32*B14</f>
        <v>0.17378882068407103</v>
      </c>
    </row>
    <row r="35" spans="1:3">
      <c r="A35" s="37" t="s">
        <v>173</v>
      </c>
      <c r="B35" s="64">
        <f>B32*B15</f>
        <v>0.18717361401442661</v>
      </c>
    </row>
    <row r="37" spans="1:3">
      <c r="A37" s="47" t="s">
        <v>179</v>
      </c>
      <c r="B37" s="64">
        <f>B35</f>
        <v>0.18717361401442661</v>
      </c>
      <c r="C37" s="64">
        <f>B34</f>
        <v>0.17378882068407103</v>
      </c>
    </row>
    <row r="38" spans="1:3">
      <c r="A38" s="7">
        <v>0</v>
      </c>
      <c r="B38">
        <f t="dataTable" ref="B38:C48" dt2D="0" dtr="0" r1="B31"/>
        <v>0.37434722802885323</v>
      </c>
      <c r="C38">
        <v>0.24757764136814203</v>
      </c>
    </row>
    <row r="39" spans="1:3">
      <c r="A39" s="7">
        <v>0.1</v>
      </c>
      <c r="B39">
        <v>0.33691250522596794</v>
      </c>
      <c r="C39">
        <v>0.23281987723132785</v>
      </c>
    </row>
    <row r="40" spans="1:3">
      <c r="A40" s="7">
        <v>0.2</v>
      </c>
      <c r="B40">
        <v>0.29947778242308259</v>
      </c>
      <c r="C40">
        <v>0.21806211309451362</v>
      </c>
    </row>
    <row r="41" spans="1:3">
      <c r="A41" s="7">
        <v>0.3</v>
      </c>
      <c r="B41">
        <v>0.26204305962019725</v>
      </c>
      <c r="C41">
        <v>0.20330434895769942</v>
      </c>
    </row>
    <row r="42" spans="1:3">
      <c r="A42" s="7">
        <v>0.4</v>
      </c>
      <c r="B42">
        <v>0.22460833681731193</v>
      </c>
      <c r="C42">
        <v>0.18854658482088521</v>
      </c>
    </row>
    <row r="43" spans="1:3">
      <c r="A43" s="7">
        <v>0.5</v>
      </c>
      <c r="B43">
        <v>0.18717361401442661</v>
      </c>
      <c r="C43">
        <v>0.17378882068407103</v>
      </c>
    </row>
    <row r="44" spans="1:3">
      <c r="A44" s="7">
        <v>0.6</v>
      </c>
      <c r="B44">
        <v>0.1497388912115413</v>
      </c>
      <c r="C44">
        <v>0.1590310565472568</v>
      </c>
    </row>
    <row r="45" spans="1:3">
      <c r="A45" s="7">
        <v>0.7</v>
      </c>
      <c r="B45">
        <v>0.11230416840865598</v>
      </c>
      <c r="C45">
        <v>0.14427329241044262</v>
      </c>
    </row>
    <row r="46" spans="1:3">
      <c r="A46" s="7">
        <v>0.8</v>
      </c>
      <c r="B46">
        <v>7.4869445605770635E-2</v>
      </c>
      <c r="C46">
        <v>0.12951552827362842</v>
      </c>
    </row>
    <row r="47" spans="1:3">
      <c r="A47" s="7">
        <v>0.9</v>
      </c>
      <c r="B47">
        <v>3.7434722802885317E-2</v>
      </c>
      <c r="C47">
        <v>0.11475776413681421</v>
      </c>
    </row>
    <row r="48" spans="1:3">
      <c r="A48" s="7">
        <v>1</v>
      </c>
      <c r="B48">
        <v>0</v>
      </c>
      <c r="C48">
        <v>0.1</v>
      </c>
    </row>
    <row r="50" spans="1:2">
      <c r="A50" s="37" t="s">
        <v>101</v>
      </c>
    </row>
    <row r="51" spans="1:2">
      <c r="A51" s="37" t="s">
        <v>99</v>
      </c>
      <c r="B51">
        <f>C42</f>
        <v>0.18854658482088521</v>
      </c>
    </row>
    <row r="52" spans="1:2">
      <c r="A52" s="37" t="s">
        <v>121</v>
      </c>
      <c r="B52">
        <f>B42^2</f>
        <v>5.0448904967839041E-2</v>
      </c>
    </row>
  </sheetData>
  <mergeCells count="1">
    <mergeCell ref="A1:D1"/>
  </mergeCells>
  <phoneticPr fontId="11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BEAB7-6AA8-9442-9BEA-75CE4FEBBE8D}">
  <dimension ref="A1:B10"/>
  <sheetViews>
    <sheetView zoomScaleNormal="100" workbookViewId="0">
      <selection activeCell="B10" sqref="B10"/>
    </sheetView>
  </sheetViews>
  <sheetFormatPr baseColWidth="10" defaultRowHeight="13"/>
  <cols>
    <col min="1" max="1" width="23.33203125" bestFit="1" customWidth="1"/>
  </cols>
  <sheetData>
    <row r="1" spans="1:2">
      <c r="A1" s="37" t="s">
        <v>100</v>
      </c>
    </row>
    <row r="2" spans="1:2">
      <c r="A2" s="37" t="s">
        <v>179</v>
      </c>
      <c r="B2" s="7">
        <v>-0.2</v>
      </c>
    </row>
    <row r="3" spans="1:2">
      <c r="A3" s="37" t="s">
        <v>180</v>
      </c>
      <c r="B3" s="7">
        <v>1.2</v>
      </c>
    </row>
    <row r="5" spans="1:2">
      <c r="A5" s="37" t="s">
        <v>99</v>
      </c>
      <c r="B5" s="8">
        <f>B2*'Exercise 14 template'!$D$3+B3*'Exercise 14 template'!$B$14</f>
        <v>0.27709316964177039</v>
      </c>
    </row>
    <row r="6" spans="1:2">
      <c r="A6" s="37" t="s">
        <v>115</v>
      </c>
      <c r="B6" s="67">
        <f>B3*'Exercise 14 template'!$B$15</f>
        <v>0.44921667363462386</v>
      </c>
    </row>
    <row r="8" spans="1:2">
      <c r="A8" s="37" t="s">
        <v>101</v>
      </c>
    </row>
    <row r="9" spans="1:2">
      <c r="A9" s="37" t="s">
        <v>175</v>
      </c>
      <c r="B9" s="47">
        <f>'Exercise 14 template'!B11</f>
        <v>0.61874648267739674</v>
      </c>
    </row>
    <row r="10" spans="1:2">
      <c r="A10" s="37" t="s">
        <v>177</v>
      </c>
      <c r="B10" s="47">
        <f>1-B9</f>
        <v>0.38125351732260326</v>
      </c>
    </row>
  </sheetData>
  <phoneticPr fontId="1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30"/>
  <sheetViews>
    <sheetView topLeftCell="A4" zoomScaleNormal="100" workbookViewId="0">
      <selection activeCell="A31" sqref="A31"/>
    </sheetView>
  </sheetViews>
  <sheetFormatPr baseColWidth="10" defaultColWidth="8.83203125" defaultRowHeight="13"/>
  <cols>
    <col min="1" max="1" width="20.1640625" customWidth="1"/>
  </cols>
  <sheetData>
    <row r="1" spans="1:3">
      <c r="B1" s="2" t="s">
        <v>55</v>
      </c>
      <c r="C1" s="2" t="s">
        <v>56</v>
      </c>
    </row>
    <row r="2" spans="1:3">
      <c r="A2" t="s">
        <v>1</v>
      </c>
      <c r="B2" s="7">
        <v>0.2</v>
      </c>
      <c r="C2" s="7">
        <v>0.14000000000000001</v>
      </c>
    </row>
    <row r="3" spans="1:3">
      <c r="A3" t="s">
        <v>54</v>
      </c>
      <c r="B3" s="7">
        <v>0.35</v>
      </c>
      <c r="C3" s="7">
        <v>0.2</v>
      </c>
    </row>
    <row r="4" spans="1:3">
      <c r="A4" t="s">
        <v>31</v>
      </c>
      <c r="B4">
        <v>0.4</v>
      </c>
    </row>
    <row r="6" spans="1:3" ht="16">
      <c r="A6" s="34" t="s">
        <v>57</v>
      </c>
    </row>
    <row r="7" spans="1:3">
      <c r="A7" s="1" t="s">
        <v>58</v>
      </c>
      <c r="B7" s="1" t="s">
        <v>44</v>
      </c>
      <c r="C7" s="1" t="s">
        <v>59</v>
      </c>
    </row>
    <row r="8" spans="1:3">
      <c r="A8" s="9">
        <v>0</v>
      </c>
      <c r="B8" s="68">
        <f>SQRT(A8^2*$B$3^2+(1-A8)^2*$C$3^2+2*A8*(1-A8)*$B$4*$B$3*$C$3)</f>
        <v>0.2</v>
      </c>
      <c r="C8" s="38">
        <f>A8*$B$2+(1-A8)*$C$2</f>
        <v>0.14000000000000001</v>
      </c>
    </row>
    <row r="9" spans="1:3">
      <c r="A9" s="9">
        <v>0.1</v>
      </c>
      <c r="B9" s="68">
        <f t="shared" ref="B9:B18" si="0">SQRT(A9^2*$B$3^2+(1-A9)^2*$C$3^2+2*A9*(1-A9)*$B$4*$B$3*$C$3)</f>
        <v>0.19663417810746942</v>
      </c>
      <c r="C9" s="38">
        <f t="shared" ref="C9:C18" si="1">A9*$B$2+(1-A9)*$C$2</f>
        <v>0.14600000000000002</v>
      </c>
    </row>
    <row r="10" spans="1:3">
      <c r="A10" s="9">
        <v>0.2</v>
      </c>
      <c r="B10" s="68">
        <f t="shared" si="0"/>
        <v>0.19864541273334257</v>
      </c>
      <c r="C10" s="38">
        <f t="shared" si="1"/>
        <v>0.15200000000000002</v>
      </c>
    </row>
    <row r="11" spans="1:3">
      <c r="A11" s="9">
        <v>0.3</v>
      </c>
      <c r="B11" s="68">
        <f t="shared" si="0"/>
        <v>0.2058761763779384</v>
      </c>
      <c r="C11" s="38">
        <f t="shared" si="1"/>
        <v>0.158</v>
      </c>
    </row>
    <row r="12" spans="1:3">
      <c r="A12" s="9">
        <v>0.4</v>
      </c>
      <c r="B12" s="68">
        <f t="shared" si="0"/>
        <v>0.2178072542409917</v>
      </c>
      <c r="C12" s="38">
        <f t="shared" si="1"/>
        <v>0.16400000000000003</v>
      </c>
    </row>
    <row r="13" spans="1:3">
      <c r="A13" s="9">
        <v>0.5</v>
      </c>
      <c r="B13" s="68">
        <f t="shared" si="0"/>
        <v>0.23371991785040486</v>
      </c>
      <c r="C13" s="38">
        <f t="shared" si="1"/>
        <v>0.17</v>
      </c>
    </row>
    <row r="14" spans="1:3">
      <c r="A14" s="9">
        <v>0.6</v>
      </c>
      <c r="B14" s="68">
        <f t="shared" si="0"/>
        <v>0.25286359959472221</v>
      </c>
      <c r="C14" s="38">
        <f t="shared" si="1"/>
        <v>0.17599999999999999</v>
      </c>
    </row>
    <row r="15" spans="1:3">
      <c r="A15" s="9">
        <v>0.7</v>
      </c>
      <c r="B15" s="68">
        <f t="shared" si="0"/>
        <v>0.27456328960733262</v>
      </c>
      <c r="C15" s="38">
        <f t="shared" si="1"/>
        <v>0.182</v>
      </c>
    </row>
    <row r="16" spans="1:3">
      <c r="A16" s="9">
        <v>0.8</v>
      </c>
      <c r="B16" s="68">
        <f t="shared" si="0"/>
        <v>0.29826163011691598</v>
      </c>
      <c r="C16" s="38">
        <f t="shared" si="1"/>
        <v>0.18800000000000003</v>
      </c>
    </row>
    <row r="17" spans="1:3">
      <c r="A17" s="9">
        <v>0.9</v>
      </c>
      <c r="B17" s="68">
        <f t="shared" si="0"/>
        <v>0.32351970573676031</v>
      </c>
      <c r="C17" s="38">
        <f t="shared" si="1"/>
        <v>0.19400000000000001</v>
      </c>
    </row>
    <row r="18" spans="1:3">
      <c r="A18" s="9">
        <v>1</v>
      </c>
      <c r="B18" s="68">
        <f t="shared" si="0"/>
        <v>0.35</v>
      </c>
      <c r="C18" s="38">
        <f t="shared" si="1"/>
        <v>0.2</v>
      </c>
    </row>
    <row r="20" spans="1:3">
      <c r="A20" s="37" t="s">
        <v>181</v>
      </c>
    </row>
    <row r="21" spans="1:3">
      <c r="A21" s="37" t="s">
        <v>182</v>
      </c>
      <c r="B21" s="7">
        <v>0.06</v>
      </c>
    </row>
    <row r="23" spans="1:3">
      <c r="A23" s="37" t="s">
        <v>184</v>
      </c>
      <c r="B23" s="7">
        <v>0.36363636363848012</v>
      </c>
    </row>
    <row r="24" spans="1:3">
      <c r="A24" s="37" t="s">
        <v>183</v>
      </c>
      <c r="B24" s="7">
        <f>1-B23</f>
        <v>0.63636363636151994</v>
      </c>
    </row>
    <row r="26" spans="1:3">
      <c r="A26" s="37" t="s">
        <v>185</v>
      </c>
      <c r="B26" s="8">
        <f>B23*B2+B24*C2</f>
        <v>0.16181818181830881</v>
      </c>
    </row>
    <row r="27" spans="1:3">
      <c r="A27" s="37" t="s">
        <v>186</v>
      </c>
      <c r="B27">
        <f>SQRT(B23^2*B3^2+B24^2*C3^2+2*B23*B24*B4*B3*C3)</f>
        <v>0.21296800675439395</v>
      </c>
    </row>
    <row r="28" spans="1:3">
      <c r="A28" s="37" t="s">
        <v>187</v>
      </c>
      <c r="B28">
        <f>(B26-B21)/B27</f>
        <v>0.47809144373375745</v>
      </c>
    </row>
    <row r="30" spans="1:3">
      <c r="A30" s="37" t="s">
        <v>188</v>
      </c>
    </row>
  </sheetData>
  <phoneticPr fontId="2" type="noConversion"/>
  <printOptions headings="1" gridLines="1"/>
  <pageMargins left="0.74803149606299213" right="0.74803149606299213" top="0.98425196850393704" bottom="0.98425196850393704" header="0.51181102362204722" footer="0.51181102362204722"/>
  <pageSetup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9"/>
  <sheetViews>
    <sheetView zoomScaleNormal="100" workbookViewId="0">
      <selection activeCell="B10" sqref="B10"/>
    </sheetView>
  </sheetViews>
  <sheetFormatPr baseColWidth="10" defaultColWidth="8.83203125" defaultRowHeight="13"/>
  <cols>
    <col min="1" max="1" width="14.6640625" bestFit="1" customWidth="1"/>
    <col min="2" max="3" width="8.83203125" customWidth="1"/>
  </cols>
  <sheetData>
    <row r="1" spans="1:3" ht="18">
      <c r="A1" s="61" t="s">
        <v>93</v>
      </c>
      <c r="B1" s="61"/>
      <c r="C1" s="61"/>
    </row>
    <row r="2" spans="1:3">
      <c r="B2" t="s">
        <v>91</v>
      </c>
      <c r="C2" t="s">
        <v>92</v>
      </c>
    </row>
    <row r="3" spans="1:3">
      <c r="A3" t="s">
        <v>90</v>
      </c>
      <c r="B3">
        <v>1.8</v>
      </c>
      <c r="C3">
        <v>2.6</v>
      </c>
    </row>
    <row r="5" spans="1:3">
      <c r="A5" t="s">
        <v>38</v>
      </c>
    </row>
    <row r="6" spans="1:3">
      <c r="A6" t="s">
        <v>39</v>
      </c>
      <c r="B6">
        <v>0.2</v>
      </c>
    </row>
    <row r="7" spans="1:3">
      <c r="A7" t="s">
        <v>40</v>
      </c>
      <c r="B7">
        <f>1-B6</f>
        <v>0.8</v>
      </c>
      <c r="C7" t="str">
        <f ca="1">getformula(B7)</f>
        <v>&lt;-- =1-B6</v>
      </c>
    </row>
    <row r="9" spans="1:3">
      <c r="A9" t="s">
        <v>41</v>
      </c>
      <c r="B9" s="39">
        <f>B6*B3+B7*C3</f>
        <v>2.44</v>
      </c>
    </row>
  </sheetData>
  <mergeCells count="1">
    <mergeCell ref="A1:C1"/>
  </mergeCells>
  <phoneticPr fontId="11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21"/>
  <sheetViews>
    <sheetView zoomScaleNormal="100" workbookViewId="0">
      <selection activeCell="F21" sqref="F21"/>
    </sheetView>
  </sheetViews>
  <sheetFormatPr baseColWidth="10" defaultColWidth="8.83203125" defaultRowHeight="13"/>
  <cols>
    <col min="1" max="1" width="23.33203125" bestFit="1" customWidth="1"/>
    <col min="2" max="2" width="22" bestFit="1" customWidth="1"/>
  </cols>
  <sheetData>
    <row r="1" spans="1:3">
      <c r="B1" s="2" t="s">
        <v>69</v>
      </c>
      <c r="C1" s="2" t="s">
        <v>70</v>
      </c>
    </row>
    <row r="2" spans="1:3">
      <c r="A2" t="s">
        <v>60</v>
      </c>
      <c r="B2" s="7">
        <v>0.2</v>
      </c>
      <c r="C2" s="7">
        <v>0.13</v>
      </c>
    </row>
    <row r="3" spans="1:3">
      <c r="A3" t="s">
        <v>72</v>
      </c>
      <c r="B3" s="7">
        <v>0.4</v>
      </c>
      <c r="C3" s="7">
        <v>0.2</v>
      </c>
    </row>
    <row r="4" spans="1:3" ht="15">
      <c r="A4" t="s">
        <v>71</v>
      </c>
      <c r="B4">
        <v>0.5</v>
      </c>
    </row>
    <row r="6" spans="1:3">
      <c r="A6" s="1" t="s">
        <v>88</v>
      </c>
    </row>
    <row r="7" spans="1:3">
      <c r="A7" s="5" t="s">
        <v>48</v>
      </c>
      <c r="B7" s="7">
        <v>0.75</v>
      </c>
    </row>
    <row r="8" spans="1:3">
      <c r="A8" s="5" t="s">
        <v>73</v>
      </c>
      <c r="B8" s="7">
        <f>1-B7</f>
        <v>0.25</v>
      </c>
      <c r="C8" t="str">
        <f ca="1">getformula(B8)</f>
        <v>&lt;-- =1-B7</v>
      </c>
    </row>
    <row r="10" spans="1:3">
      <c r="A10" t="s">
        <v>67</v>
      </c>
      <c r="B10" s="38">
        <f>B7*B2+B8*C2</f>
        <v>0.18250000000000002</v>
      </c>
    </row>
    <row r="11" spans="1:3">
      <c r="A11" t="s">
        <v>10</v>
      </c>
      <c r="B11" s="39">
        <f>B7^2*B3^2+B8^2*C3^2+2*B7*B8*B4*B3*C3</f>
        <v>0.10750000000000003</v>
      </c>
    </row>
    <row r="12" spans="1:3">
      <c r="A12" t="s">
        <v>11</v>
      </c>
      <c r="B12" s="46">
        <f>SQRT(B11)</f>
        <v>0.32787192621510008</v>
      </c>
    </row>
    <row r="14" spans="1:3">
      <c r="A14" s="1" t="s">
        <v>74</v>
      </c>
    </row>
    <row r="15" spans="1:3" s="37" customFormat="1">
      <c r="A15" s="37" t="s">
        <v>26</v>
      </c>
      <c r="B15" s="47">
        <v>0.03</v>
      </c>
    </row>
    <row r="16" spans="1:3" s="37" customFormat="1" ht="15">
      <c r="A16" t="s">
        <v>63</v>
      </c>
      <c r="B16" s="47">
        <v>0.1</v>
      </c>
    </row>
    <row r="17" spans="1:6" s="37" customFormat="1" ht="15">
      <c r="A17" s="23" t="s">
        <v>64</v>
      </c>
      <c r="B17" s="47">
        <v>0.2</v>
      </c>
    </row>
    <row r="18" spans="1:6">
      <c r="A18" s="1"/>
      <c r="B18" s="1" t="str">
        <f>B1</f>
        <v>Asset A</v>
      </c>
      <c r="C18" s="1" t="str">
        <f>C1</f>
        <v>Asset B</v>
      </c>
    </row>
    <row r="19" spans="1:6">
      <c r="A19" t="s">
        <v>90</v>
      </c>
      <c r="B19" s="48">
        <f>(B2-$B$15)/($B$16-$B$15)</f>
        <v>2.4285714285714284</v>
      </c>
      <c r="C19" s="48">
        <f>(C2-$B$15)/($B$16-$B$15)</f>
        <v>1.4285714285714286</v>
      </c>
    </row>
    <row r="20" spans="1:6">
      <c r="A20" t="s">
        <v>41</v>
      </c>
      <c r="B20" s="70">
        <f>B19*B7+C19*B8</f>
        <v>2.1785714285714284</v>
      </c>
    </row>
    <row r="21" spans="1:6">
      <c r="A21" t="s">
        <v>94</v>
      </c>
      <c r="B21" s="69">
        <f>(B10-B15)/(B16-B15)</f>
        <v>2.1785714285714288</v>
      </c>
      <c r="F21" s="71"/>
    </row>
  </sheetData>
  <phoneticPr fontId="11" type="noConversion"/>
  <printOptions headings="1" gridLines="1"/>
  <pageMargins left="0.74803149606299213" right="0.74803149606299213" top="0.98425196850393704" bottom="0.98425196850393704" header="0.51181102362204722" footer="0.51181102362204722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188D9-B953-D748-8465-63D554BBBBDE}">
  <dimension ref="A1:C5"/>
  <sheetViews>
    <sheetView zoomScaleNormal="100" workbookViewId="0">
      <selection activeCell="E5" sqref="E5"/>
    </sheetView>
  </sheetViews>
  <sheetFormatPr baseColWidth="10" defaultRowHeight="13"/>
  <sheetData>
    <row r="1" spans="1:3">
      <c r="A1" s="37"/>
      <c r="B1" s="37" t="s">
        <v>191</v>
      </c>
      <c r="C1" s="37" t="s">
        <v>192</v>
      </c>
    </row>
    <row r="2" spans="1:3">
      <c r="A2" s="37" t="s">
        <v>189</v>
      </c>
      <c r="B2">
        <v>1.3</v>
      </c>
      <c r="C2" s="7">
        <v>0.75</v>
      </c>
    </row>
    <row r="3" spans="1:3">
      <c r="A3" s="37" t="s">
        <v>190</v>
      </c>
      <c r="B3">
        <v>3.3</v>
      </c>
      <c r="C3" s="7">
        <f>1-C2</f>
        <v>0.25</v>
      </c>
    </row>
    <row r="5" spans="1:3">
      <c r="A5" s="37" t="s">
        <v>193</v>
      </c>
      <c r="B5">
        <f>SUMPRODUCT(B2:B3,C2:C3)</f>
        <v>1.8</v>
      </c>
    </row>
  </sheetData>
  <phoneticPr fontId="1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29C4D-0724-8A47-AD47-034F0B1D8690}">
  <dimension ref="A1:B5"/>
  <sheetViews>
    <sheetView zoomScaleNormal="100" workbookViewId="0">
      <selection sqref="A1:B3"/>
    </sheetView>
  </sheetViews>
  <sheetFormatPr baseColWidth="10" defaultRowHeight="13"/>
  <sheetData>
    <row r="1" spans="1:2">
      <c r="A1" s="37" t="s">
        <v>194</v>
      </c>
      <c r="B1">
        <v>0.18</v>
      </c>
    </row>
    <row r="2" spans="1:2">
      <c r="A2" s="37" t="s">
        <v>195</v>
      </c>
      <c r="B2">
        <v>1.05</v>
      </c>
    </row>
    <row r="3" spans="1:2">
      <c r="A3" s="37" t="s">
        <v>196</v>
      </c>
      <c r="B3">
        <v>7.0000000000000007E-2</v>
      </c>
    </row>
    <row r="5" spans="1:2">
      <c r="A5" s="37" t="s">
        <v>197</v>
      </c>
      <c r="B5">
        <f>B3+B2*(B1-B3)</f>
        <v>0.1855</v>
      </c>
    </row>
  </sheetData>
  <phoneticPr fontId="1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FAA1F-641D-D642-87FD-E4FF8F4C45FC}">
  <dimension ref="A1:B5"/>
  <sheetViews>
    <sheetView zoomScaleNormal="100" workbookViewId="0">
      <selection sqref="A1:B5"/>
    </sheetView>
  </sheetViews>
  <sheetFormatPr baseColWidth="10" defaultRowHeight="13"/>
  <sheetData>
    <row r="1" spans="1:2">
      <c r="A1" s="37" t="s">
        <v>194</v>
      </c>
      <c r="B1">
        <v>0.22</v>
      </c>
    </row>
    <row r="2" spans="1:2">
      <c r="A2" s="37" t="s">
        <v>198</v>
      </c>
      <c r="B2">
        <v>0.33</v>
      </c>
    </row>
    <row r="3" spans="1:2">
      <c r="A3" s="37" t="s">
        <v>196</v>
      </c>
      <c r="B3">
        <v>0.09</v>
      </c>
    </row>
    <row r="5" spans="1:2">
      <c r="A5" s="37" t="s">
        <v>195</v>
      </c>
      <c r="B5">
        <f>(B2-B3)/(B1-B3)</f>
        <v>1.8461538461538463</v>
      </c>
    </row>
  </sheetData>
  <phoneticPr fontId="1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6188F-CFFA-1945-AE60-16F0206982E8}">
  <dimension ref="A1:B5"/>
  <sheetViews>
    <sheetView workbookViewId="0">
      <selection sqref="A1:B5"/>
    </sheetView>
  </sheetViews>
  <sheetFormatPr baseColWidth="10" defaultRowHeight="13"/>
  <sheetData>
    <row r="1" spans="1:2">
      <c r="A1" s="37" t="s">
        <v>194</v>
      </c>
      <c r="B1">
        <v>0.25</v>
      </c>
    </row>
    <row r="2" spans="1:2">
      <c r="A2" s="37" t="s">
        <v>198</v>
      </c>
      <c r="B2">
        <v>0.22</v>
      </c>
    </row>
    <row r="3" spans="1:2">
      <c r="A3" s="37" t="s">
        <v>195</v>
      </c>
      <c r="B3">
        <v>0.85</v>
      </c>
    </row>
    <row r="5" spans="1:2">
      <c r="A5" s="37" t="s">
        <v>196</v>
      </c>
      <c r="B5">
        <f>(B2-B3*B1)/(1-B3)</f>
        <v>5.0000000000000037E-2</v>
      </c>
    </row>
  </sheetData>
  <phoneticPr fontId="1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99521-183B-604D-B25E-4CAAE705C8E9}">
  <dimension ref="A1:D14"/>
  <sheetViews>
    <sheetView workbookViewId="0">
      <selection sqref="A1:B7"/>
    </sheetView>
  </sheetViews>
  <sheetFormatPr baseColWidth="10" defaultRowHeight="13"/>
  <sheetData>
    <row r="1" spans="1:4">
      <c r="A1" s="37" t="s">
        <v>194</v>
      </c>
      <c r="B1">
        <v>0.2</v>
      </c>
    </row>
    <row r="2" spans="1:4">
      <c r="A2" s="37" t="s">
        <v>199</v>
      </c>
      <c r="B2">
        <v>0.1</v>
      </c>
    </row>
    <row r="3" spans="1:4">
      <c r="A3" s="37" t="s">
        <v>196</v>
      </c>
      <c r="B3">
        <v>0.06</v>
      </c>
    </row>
    <row r="4" spans="1:4">
      <c r="A4" s="37" t="s">
        <v>200</v>
      </c>
      <c r="B4">
        <v>0.15</v>
      </c>
    </row>
    <row r="5" spans="1:4">
      <c r="A5" s="37" t="s">
        <v>195</v>
      </c>
      <c r="B5">
        <f>B2/B4</f>
        <v>0.66666666666666674</v>
      </c>
    </row>
    <row r="7" spans="1:4">
      <c r="A7" s="37" t="s">
        <v>198</v>
      </c>
      <c r="B7">
        <f>B3+B5*(B1-B3)</f>
        <v>0.15333333333333335</v>
      </c>
    </row>
    <row r="10" spans="1:4">
      <c r="D10" s="37"/>
    </row>
    <row r="11" spans="1:4">
      <c r="D11" s="37"/>
    </row>
    <row r="12" spans="1:4">
      <c r="D12" s="37"/>
    </row>
    <row r="14" spans="1:4">
      <c r="D14" s="37"/>
    </row>
  </sheetData>
  <phoneticPr fontId="1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C88AB-569C-6F47-B474-1EB9D52BCFAD}">
  <dimension ref="A1:B7"/>
  <sheetViews>
    <sheetView zoomScaleNormal="100" workbookViewId="0">
      <selection sqref="A1:B7"/>
    </sheetView>
  </sheetViews>
  <sheetFormatPr baseColWidth="10" defaultRowHeight="13"/>
  <sheetData>
    <row r="1" spans="1:2">
      <c r="A1" s="37" t="s">
        <v>198</v>
      </c>
      <c r="B1">
        <v>0.15</v>
      </c>
    </row>
    <row r="2" spans="1:2">
      <c r="A2" s="37" t="s">
        <v>199</v>
      </c>
      <c r="B2">
        <v>6.7000000000000004E-2</v>
      </c>
    </row>
    <row r="3" spans="1:2">
      <c r="A3" s="37" t="s">
        <v>196</v>
      </c>
      <c r="B3">
        <v>0.02</v>
      </c>
    </row>
    <row r="4" spans="1:2">
      <c r="A4" s="37" t="s">
        <v>200</v>
      </c>
      <c r="B4">
        <v>8.8999999999999996E-2</v>
      </c>
    </row>
    <row r="5" spans="1:2">
      <c r="A5" s="37" t="s">
        <v>195</v>
      </c>
      <c r="B5">
        <f>B2/B4</f>
        <v>0.75280898876404501</v>
      </c>
    </row>
    <row r="7" spans="1:2">
      <c r="A7" s="37" t="s">
        <v>194</v>
      </c>
      <c r="B7">
        <f>(B1-B3)/B5+B3</f>
        <v>0.19268656716417909</v>
      </c>
    </row>
  </sheetData>
  <phoneticPr fontId="1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A5A4F-466C-2742-AB78-7C7D35FB6066}">
  <dimension ref="A1:B7"/>
  <sheetViews>
    <sheetView workbookViewId="0">
      <selection activeCell="B7" sqref="B7"/>
    </sheetView>
  </sheetViews>
  <sheetFormatPr baseColWidth="10" defaultRowHeight="13"/>
  <sheetData>
    <row r="1" spans="1:2">
      <c r="A1" s="37" t="s">
        <v>194</v>
      </c>
      <c r="B1">
        <v>0.22</v>
      </c>
    </row>
    <row r="2" spans="1:2">
      <c r="A2" s="37" t="s">
        <v>199</v>
      </c>
      <c r="B2">
        <v>0.04</v>
      </c>
    </row>
    <row r="3" spans="1:2">
      <c r="A3" s="37" t="s">
        <v>198</v>
      </c>
      <c r="B3">
        <v>0.12</v>
      </c>
    </row>
    <row r="4" spans="1:2">
      <c r="A4" s="37" t="s">
        <v>200</v>
      </c>
      <c r="B4">
        <v>0.09</v>
      </c>
    </row>
    <row r="5" spans="1:2">
      <c r="A5" s="37" t="s">
        <v>195</v>
      </c>
      <c r="B5">
        <f>B2/B4</f>
        <v>0.44444444444444448</v>
      </c>
    </row>
    <row r="7" spans="1:2">
      <c r="A7" s="37" t="s">
        <v>196</v>
      </c>
      <c r="B7" s="72">
        <f>(B3-B5*B1)/(1-B5)</f>
        <v>3.999999999999998E-2</v>
      </c>
    </row>
  </sheetData>
  <phoneticPr fontId="1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35"/>
  <sheetViews>
    <sheetView topLeftCell="A14" zoomScaleNormal="100" workbookViewId="0">
      <selection activeCell="A36" sqref="A36"/>
    </sheetView>
  </sheetViews>
  <sheetFormatPr baseColWidth="10" defaultColWidth="9.1640625" defaultRowHeight="13"/>
  <cols>
    <col min="1" max="4" width="9.1640625" style="5"/>
    <col min="5" max="5" width="8.6640625" customWidth="1"/>
    <col min="6" max="16384" width="9.1640625" style="5"/>
  </cols>
  <sheetData>
    <row r="1" spans="1:5" ht="28">
      <c r="A1" s="27" t="s">
        <v>49</v>
      </c>
      <c r="B1" s="27" t="s">
        <v>50</v>
      </c>
      <c r="C1" s="27" t="s">
        <v>52</v>
      </c>
      <c r="D1" s="27" t="s">
        <v>51</v>
      </c>
      <c r="E1" s="5"/>
    </row>
    <row r="2" spans="1:5">
      <c r="A2" s="32">
        <v>1</v>
      </c>
      <c r="B2" s="30">
        <v>0.11900000000000001</v>
      </c>
      <c r="C2" s="30">
        <v>0.14400000000000002</v>
      </c>
      <c r="D2" s="30">
        <v>1.212</v>
      </c>
      <c r="E2" s="5"/>
    </row>
    <row r="3" spans="1:5">
      <c r="A3" s="32">
        <v>2</v>
      </c>
      <c r="B3" s="30">
        <v>4.0000000000000001E-3</v>
      </c>
      <c r="C3" s="30">
        <v>-0.222</v>
      </c>
      <c r="D3" s="30">
        <v>-0.33899999999999997</v>
      </c>
      <c r="E3" s="5"/>
    </row>
    <row r="4" spans="1:5">
      <c r="A4" s="32">
        <v>3</v>
      </c>
      <c r="B4" s="30">
        <v>0.26899999999999996</v>
      </c>
      <c r="C4" s="30">
        <v>0.47499999999999998</v>
      </c>
      <c r="D4" s="30">
        <v>3.7000000000000005E-2</v>
      </c>
      <c r="E4" s="5"/>
    </row>
    <row r="5" spans="1:5">
      <c r="A5" s="32">
        <v>4</v>
      </c>
      <c r="B5" s="30">
        <v>-8.5999999999999993E-2</v>
      </c>
      <c r="C5" s="30">
        <v>7.6999999999999999E-2</v>
      </c>
      <c r="D5" s="30">
        <v>3.1E-2</v>
      </c>
      <c r="E5" s="5"/>
    </row>
    <row r="6" spans="1:5">
      <c r="A6" s="32">
        <v>5</v>
      </c>
      <c r="B6" s="30">
        <v>0.22800000000000001</v>
      </c>
      <c r="C6" s="30">
        <v>0.42799999999999999</v>
      </c>
      <c r="D6" s="30">
        <v>0.17199999999999999</v>
      </c>
      <c r="E6" s="5"/>
    </row>
    <row r="7" spans="1:5">
      <c r="A7" s="32">
        <v>6</v>
      </c>
      <c r="B7" s="30">
        <v>0.16500000000000001</v>
      </c>
      <c r="C7" s="30">
        <v>0.307</v>
      </c>
      <c r="D7" s="30">
        <v>-0.16899999999999998</v>
      </c>
      <c r="E7" s="5"/>
    </row>
    <row r="8" spans="1:5">
      <c r="A8" s="32">
        <v>7</v>
      </c>
      <c r="B8" s="30">
        <v>0.125</v>
      </c>
      <c r="C8" s="30">
        <v>0.114</v>
      </c>
      <c r="D8" s="30">
        <v>-0.32799999999999996</v>
      </c>
      <c r="E8" s="5"/>
    </row>
    <row r="9" spans="1:5">
      <c r="A9" s="32">
        <v>8</v>
      </c>
      <c r="B9" s="30">
        <v>-0.10060000000000001</v>
      </c>
      <c r="C9" s="30">
        <v>-0.32500000000000001</v>
      </c>
      <c r="D9" s="30">
        <v>-0.30399999999999999</v>
      </c>
      <c r="E9" s="5"/>
    </row>
    <row r="10" spans="1:5">
      <c r="A10" s="32">
        <v>9</v>
      </c>
      <c r="B10" s="30">
        <v>0.23899999999999999</v>
      </c>
      <c r="C10" s="30">
        <v>0.30499999999999999</v>
      </c>
      <c r="D10" s="30">
        <v>1.1399999999999999</v>
      </c>
      <c r="E10" s="5"/>
    </row>
    <row r="11" spans="1:5">
      <c r="A11" s="32">
        <v>10</v>
      </c>
      <c r="B11" s="30">
        <v>0.111</v>
      </c>
      <c r="C11" s="30">
        <v>1.8000000000000002E-2</v>
      </c>
      <c r="D11" s="30">
        <v>-3.7000000000000005E-2</v>
      </c>
      <c r="E11" s="5"/>
    </row>
    <row r="12" spans="1:5">
      <c r="A12" s="32">
        <v>11</v>
      </c>
      <c r="B12" s="30">
        <v>-8.5000000000000006E-2</v>
      </c>
      <c r="C12" s="30">
        <v>-6.2E-2</v>
      </c>
      <c r="D12" s="30">
        <v>-0.33</v>
      </c>
      <c r="E12" s="5"/>
    </row>
    <row r="13" spans="1:5">
      <c r="A13" s="32">
        <v>12</v>
      </c>
      <c r="B13" s="30">
        <v>3.9E-2</v>
      </c>
      <c r="C13" s="30">
        <v>0.223</v>
      </c>
      <c r="D13" s="30">
        <v>-0.33200000000000002</v>
      </c>
      <c r="E13" s="5"/>
    </row>
    <row r="14" spans="1:5">
      <c r="A14" s="32">
        <v>13</v>
      </c>
      <c r="B14" s="30">
        <v>0.14300000000000002</v>
      </c>
      <c r="C14" s="30">
        <v>4.2999999999999997E-2</v>
      </c>
      <c r="D14" s="30">
        <v>0.21600000000000003</v>
      </c>
      <c r="E14" s="5"/>
    </row>
    <row r="15" spans="1:5">
      <c r="A15" s="32">
        <v>14</v>
      </c>
      <c r="B15" s="30">
        <v>0.191</v>
      </c>
      <c r="C15" s="30">
        <v>6.5000000000000002E-2</v>
      </c>
      <c r="D15" s="30">
        <v>0.17800000000000002</v>
      </c>
      <c r="E15" s="5"/>
    </row>
    <row r="16" spans="1:5">
      <c r="A16" s="32">
        <v>15</v>
      </c>
      <c r="B16" s="30">
        <v>-0.14699999999999999</v>
      </c>
      <c r="C16" s="30">
        <v>-0.37799999999999995</v>
      </c>
      <c r="D16" s="30">
        <v>7.4999999999999997E-2</v>
      </c>
      <c r="E16" s="5"/>
    </row>
    <row r="17" spans="1:5">
      <c r="A17" s="32">
        <v>16</v>
      </c>
      <c r="B17" s="30">
        <v>-0.26500000000000001</v>
      </c>
      <c r="C17" s="30">
        <v>-0.27600000000000002</v>
      </c>
      <c r="D17" s="30">
        <v>-0.623</v>
      </c>
      <c r="E17" s="5"/>
    </row>
    <row r="18" spans="1:5">
      <c r="A18" s="32">
        <v>17</v>
      </c>
      <c r="B18" s="30">
        <v>0.373</v>
      </c>
      <c r="C18" s="30">
        <v>0.97099999999999997</v>
      </c>
      <c r="D18" s="30">
        <v>0.65400000000000003</v>
      </c>
      <c r="E18" s="5"/>
    </row>
    <row r="19" spans="1:5">
      <c r="A19" s="32">
        <v>18</v>
      </c>
      <c r="B19" s="30">
        <v>0.23800000000000002</v>
      </c>
      <c r="C19" s="30">
        <v>0.45850000000000002</v>
      </c>
      <c r="D19" s="30">
        <v>-0.2802</v>
      </c>
      <c r="E19" s="5"/>
    </row>
    <row r="20" spans="1:5">
      <c r="A20" s="32">
        <v>19</v>
      </c>
      <c r="B20" s="30">
        <v>-7.1500000000000008E-2</v>
      </c>
      <c r="C20" s="30">
        <v>-0.1125</v>
      </c>
      <c r="D20" s="30">
        <v>-6.3299999999999995E-2</v>
      </c>
      <c r="E20" s="5"/>
    </row>
    <row r="21" spans="1:5">
      <c r="A21" s="32">
        <v>20</v>
      </c>
      <c r="B21" s="30">
        <v>0.1216</v>
      </c>
      <c r="C21" s="30">
        <v>-4.7E-2</v>
      </c>
      <c r="D21" s="30">
        <v>0.26669999999999999</v>
      </c>
      <c r="E21" s="5"/>
    </row>
    <row r="22" spans="1:5">
      <c r="E22" s="5"/>
    </row>
    <row r="23" spans="1:5">
      <c r="A23" s="37" t="s">
        <v>100</v>
      </c>
    </row>
    <row r="24" spans="1:5">
      <c r="A24" s="37" t="s">
        <v>202</v>
      </c>
      <c r="B24" s="5">
        <f>_xlfn.VAR.S(B2:B21)</f>
        <v>2.6938245131578942E-2</v>
      </c>
    </row>
    <row r="25" spans="1:5">
      <c r="A25" s="37" t="s">
        <v>201</v>
      </c>
      <c r="B25" s="5">
        <f>_xlfn.COVARIANCE.S(B2:B21,C2:C21)</f>
        <v>4.5511126315789484E-2</v>
      </c>
    </row>
    <row r="26" spans="1:5">
      <c r="A26" s="37" t="s">
        <v>203</v>
      </c>
      <c r="B26" s="5">
        <f>_xlfn.COVARIANCE.S(B2:B21,D2:D21)</f>
        <v>4.068320868421052E-2</v>
      </c>
    </row>
    <row r="28" spans="1:5">
      <c r="A28" s="37" t="s">
        <v>204</v>
      </c>
      <c r="B28" s="5">
        <f>B26/B24</f>
        <v>1.5102397533876009</v>
      </c>
    </row>
    <row r="29" spans="1:5">
      <c r="A29" s="37" t="s">
        <v>205</v>
      </c>
      <c r="B29" s="5">
        <f>B25/B24</f>
        <v>1.6894614364629892</v>
      </c>
    </row>
    <row r="31" spans="1:5">
      <c r="A31" s="37" t="s">
        <v>101</v>
      </c>
    </row>
    <row r="32" spans="1:5">
      <c r="A32" s="37" t="s">
        <v>206</v>
      </c>
      <c r="B32" s="5">
        <f>RSQ(C2:C21,B2:B21)</f>
        <v>0.73253942565641117</v>
      </c>
    </row>
    <row r="33" spans="1:2">
      <c r="A33" s="37" t="s">
        <v>207</v>
      </c>
      <c r="B33" s="5">
        <f>RSQ(D2:D21,B2:B21)</f>
        <v>0.2684438145379604</v>
      </c>
    </row>
    <row r="35" spans="1:2">
      <c r="A35" s="37" t="s">
        <v>208</v>
      </c>
    </row>
  </sheetData>
  <phoneticPr fontId="11" type="noConversion"/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34"/>
  <sheetViews>
    <sheetView topLeftCell="A13" zoomScaleNormal="100" workbookViewId="0">
      <selection activeCell="D30" sqref="D30"/>
    </sheetView>
  </sheetViews>
  <sheetFormatPr baseColWidth="10" defaultColWidth="9.1640625" defaultRowHeight="13"/>
  <cols>
    <col min="1" max="1" width="23.83203125" style="5" bestFit="1" customWidth="1"/>
    <col min="2" max="3" width="10.83203125" style="5" customWidth="1"/>
    <col min="4" max="4" width="23" style="5" customWidth="1"/>
    <col min="5" max="16384" width="9.1640625" style="5"/>
  </cols>
  <sheetData>
    <row r="1" spans="1:4" ht="14">
      <c r="A1" s="24"/>
      <c r="B1" s="27" t="s">
        <v>42</v>
      </c>
      <c r="C1" s="27" t="s">
        <v>43</v>
      </c>
    </row>
    <row r="2" spans="1:4" ht="14">
      <c r="A2" s="24" t="s">
        <v>1</v>
      </c>
      <c r="B2" s="25">
        <v>0.08</v>
      </c>
      <c r="C2" s="25">
        <v>0.25</v>
      </c>
    </row>
    <row r="3" spans="1:4" ht="14">
      <c r="A3" s="24" t="s">
        <v>45</v>
      </c>
      <c r="B3" s="31">
        <v>0.02</v>
      </c>
      <c r="C3" s="31">
        <v>0.09</v>
      </c>
    </row>
    <row r="4" spans="1:4" ht="14">
      <c r="A4" s="24" t="s">
        <v>2</v>
      </c>
      <c r="B4" s="25">
        <f>SQRT(B3)</f>
        <v>0.1414213562373095</v>
      </c>
      <c r="C4" s="25">
        <f>SQRT(C3)</f>
        <v>0.3</v>
      </c>
      <c r="D4" s="5" t="str">
        <f ca="1">getformula(C4)</f>
        <v>&lt;-- =SQRT(C3)</v>
      </c>
    </row>
    <row r="5" spans="1:4">
      <c r="A5" s="24"/>
      <c r="B5" s="24"/>
      <c r="C5" s="24"/>
    </row>
    <row r="6" spans="1:4" ht="14">
      <c r="A6" s="24" t="s">
        <v>30</v>
      </c>
      <c r="B6" s="26">
        <v>-3.5000000000000003E-2</v>
      </c>
      <c r="C6" s="24"/>
    </row>
    <row r="7" spans="1:4" ht="14">
      <c r="A7" s="24" t="s">
        <v>53</v>
      </c>
      <c r="B7" s="26">
        <f>B6/(B4*C4)</f>
        <v>-0.82495791138430563</v>
      </c>
      <c r="C7" s="5" t="str">
        <f ca="1">getformula(B7)</f>
        <v>&lt;-- =B6/(B4*C4)</v>
      </c>
    </row>
    <row r="9" spans="1:4" ht="14">
      <c r="A9" s="24" t="s">
        <v>95</v>
      </c>
      <c r="B9" s="5" t="s">
        <v>96</v>
      </c>
    </row>
    <row r="10" spans="1:4" ht="14">
      <c r="A10" s="24" t="s">
        <v>47</v>
      </c>
      <c r="B10" s="28">
        <v>0.8</v>
      </c>
    </row>
    <row r="11" spans="1:4" ht="14">
      <c r="A11" s="24" t="s">
        <v>46</v>
      </c>
      <c r="B11" s="28">
        <f>1-B10</f>
        <v>0.19999999999999996</v>
      </c>
      <c r="C11" s="5" t="str">
        <f ca="1">getformula(B11)</f>
        <v>&lt;-- =1-B10</v>
      </c>
    </row>
    <row r="13" spans="1:4" ht="14">
      <c r="A13" s="24" t="s">
        <v>6</v>
      </c>
      <c r="B13" s="29">
        <f>B10*$B$2+B11*$C$2</f>
        <v>0.11399999999999999</v>
      </c>
      <c r="C13" s="5" t="str">
        <f ca="1">getformula(B13)</f>
        <v>&lt;-- =B10*$B$2+B11*$C$2</v>
      </c>
    </row>
    <row r="14" spans="1:4" ht="14">
      <c r="A14" s="24" t="s">
        <v>10</v>
      </c>
      <c r="B14" s="74">
        <f>B10^2*$B$3+B11^2*$C$3+2*B10*B11*$B$6</f>
        <v>5.2000000000000015E-3</v>
      </c>
      <c r="C14" s="5" t="str">
        <f ca="1">getformula(B14)</f>
        <v>&lt;-- =B10^2*$B$3+B11^2*$C$3+2*B10*B11*$B$6</v>
      </c>
    </row>
    <row r="15" spans="1:4" ht="14">
      <c r="A15" s="24" t="s">
        <v>11</v>
      </c>
      <c r="B15" s="30">
        <f>SQRT(B14)</f>
        <v>7.2111025509279794E-2</v>
      </c>
      <c r="C15" s="5" t="str">
        <f ca="1">getformula(B15)</f>
        <v>&lt;-- =SQRT(B14)</v>
      </c>
    </row>
    <row r="17" spans="1:2" ht="14">
      <c r="A17" s="73" t="s">
        <v>100</v>
      </c>
    </row>
    <row r="18" spans="1:2" ht="14">
      <c r="A18" s="24" t="s">
        <v>47</v>
      </c>
      <c r="B18" s="28">
        <v>0.5888887807099894</v>
      </c>
    </row>
    <row r="19" spans="1:2" ht="14">
      <c r="A19" s="24" t="s">
        <v>46</v>
      </c>
      <c r="B19" s="28">
        <f>1-B18</f>
        <v>0.4111112192900106</v>
      </c>
    </row>
    <row r="21" spans="1:2" ht="14">
      <c r="A21" s="24" t="s">
        <v>6</v>
      </c>
      <c r="B21" s="29">
        <f>B18*$B$2+B19*$C$2</f>
        <v>0.14988890727930182</v>
      </c>
    </row>
    <row r="22" spans="1:2" ht="14">
      <c r="A22" s="24" t="s">
        <v>10</v>
      </c>
      <c r="B22" s="74">
        <f>B18^2*$B$3+B19^2*$C$3+2*B18*B19*$B$6</f>
        <v>5.2000041108002833E-3</v>
      </c>
    </row>
    <row r="23" spans="1:2" ht="14">
      <c r="A23" s="24" t="s">
        <v>11</v>
      </c>
      <c r="B23" s="30">
        <f>SQRT(B22)</f>
        <v>7.2111054012545694E-2</v>
      </c>
    </row>
    <row r="25" spans="1:2" ht="14">
      <c r="A25" s="73" t="s">
        <v>101</v>
      </c>
    </row>
    <row r="26" spans="1:2" ht="14">
      <c r="A26" s="73" t="s">
        <v>110</v>
      </c>
      <c r="B26" s="28">
        <v>0.05</v>
      </c>
    </row>
    <row r="27" spans="1:2" ht="14">
      <c r="A27" s="24" t="s">
        <v>47</v>
      </c>
      <c r="B27" s="28">
        <v>0.65762711794096707</v>
      </c>
    </row>
    <row r="28" spans="1:2" ht="14">
      <c r="A28" s="24" t="s">
        <v>46</v>
      </c>
      <c r="B28" s="28">
        <f>1-B27</f>
        <v>0.34237288205903293</v>
      </c>
    </row>
    <row r="30" spans="1:2" ht="14">
      <c r="A30" s="24" t="s">
        <v>6</v>
      </c>
      <c r="B30" s="29">
        <f>B27*$B$2+B28*$C$2</f>
        <v>0.13820338995003562</v>
      </c>
    </row>
    <row r="31" spans="1:2" ht="14">
      <c r="A31" s="24" t="s">
        <v>10</v>
      </c>
      <c r="B31" s="74">
        <f>B27^2*$B$3+B28^2*$C$3+2*B27*B28*$B$6</f>
        <v>3.4384372399999009E-3</v>
      </c>
    </row>
    <row r="32" spans="1:2" ht="14">
      <c r="A32" s="24" t="s">
        <v>11</v>
      </c>
      <c r="B32" s="30">
        <f>SQRT(B31)</f>
        <v>5.8638189262629016E-2</v>
      </c>
    </row>
    <row r="34" spans="1:2" ht="14">
      <c r="A34" s="73" t="s">
        <v>129</v>
      </c>
      <c r="B34" s="75">
        <f>(B30-B26)/B32</f>
        <v>1.5041970268725358</v>
      </c>
    </row>
  </sheetData>
  <phoneticPr fontId="11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F10"/>
  <sheetViews>
    <sheetView zoomScaleNormal="100" workbookViewId="0">
      <selection activeCell="C11" sqref="C11"/>
    </sheetView>
  </sheetViews>
  <sheetFormatPr baseColWidth="10" defaultColWidth="8.83203125" defaultRowHeight="13"/>
  <cols>
    <col min="1" max="1" width="25.1640625" customWidth="1"/>
    <col min="4" max="4" width="33.6640625" customWidth="1"/>
  </cols>
  <sheetData>
    <row r="1" spans="1:6" ht="18">
      <c r="A1" s="61" t="s">
        <v>35</v>
      </c>
      <c r="B1" s="61"/>
      <c r="C1" s="61"/>
      <c r="D1" s="61"/>
    </row>
    <row r="2" spans="1:6" ht="28">
      <c r="B2" s="3" t="s">
        <v>37</v>
      </c>
      <c r="C2" s="3" t="s">
        <v>36</v>
      </c>
    </row>
    <row r="3" spans="1:6">
      <c r="A3" t="s">
        <v>1</v>
      </c>
      <c r="B3" s="7">
        <v>0.15</v>
      </c>
      <c r="C3" s="7">
        <v>0.25</v>
      </c>
    </row>
    <row r="4" spans="1:6">
      <c r="A4" t="s">
        <v>24</v>
      </c>
      <c r="B4" s="7">
        <v>0.25</v>
      </c>
      <c r="C4" s="7">
        <v>0.4</v>
      </c>
    </row>
    <row r="5" spans="1:6">
      <c r="A5" t="s">
        <v>30</v>
      </c>
      <c r="B5">
        <f>0.5*B4*C4</f>
        <v>0.05</v>
      </c>
    </row>
    <row r="6" spans="1:6">
      <c r="A6" s="37" t="s">
        <v>192</v>
      </c>
      <c r="B6" s="7">
        <v>0.4</v>
      </c>
      <c r="C6" s="7">
        <v>0.6</v>
      </c>
      <c r="E6" s="7"/>
      <c r="F6" s="7"/>
    </row>
    <row r="8" spans="1:6">
      <c r="A8" s="37" t="s">
        <v>209</v>
      </c>
      <c r="B8">
        <f>SUMPRODUCT(B6:C6,B6:C6,B4:C4,B4:C4)</f>
        <v>6.7599999999999993E-2</v>
      </c>
    </row>
    <row r="9" spans="1:6">
      <c r="A9" s="37" t="s">
        <v>210</v>
      </c>
      <c r="B9">
        <f>B6*B4^2+C6*B5</f>
        <v>5.5E-2</v>
      </c>
      <c r="C9">
        <f>C6*C4^2+B6*B5</f>
        <v>0.11600000000000002</v>
      </c>
    </row>
    <row r="10" spans="1:6">
      <c r="A10" s="37" t="s">
        <v>191</v>
      </c>
      <c r="B10">
        <f>B9/$B$8</f>
        <v>0.81360946745562135</v>
      </c>
      <c r="C10">
        <f>C9/$B$8</f>
        <v>1.7159763313609473</v>
      </c>
    </row>
  </sheetData>
  <mergeCells count="1">
    <mergeCell ref="A1:D1"/>
  </mergeCells>
  <phoneticPr fontId="11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8503E-DB0A-6C4A-96DA-CCC90D52AA21}">
  <dimension ref="A1:E10"/>
  <sheetViews>
    <sheetView tabSelected="1" zoomScaleNormal="100" workbookViewId="0">
      <selection activeCell="N27" sqref="N27"/>
    </sheetView>
  </sheetViews>
  <sheetFormatPr baseColWidth="10" defaultRowHeight="13"/>
  <sheetData>
    <row r="1" spans="1:5">
      <c r="B1" s="37" t="s">
        <v>192</v>
      </c>
      <c r="C1" s="37" t="s">
        <v>121</v>
      </c>
      <c r="D1" s="37" t="s">
        <v>210</v>
      </c>
      <c r="E1" s="37" t="s">
        <v>191</v>
      </c>
    </row>
    <row r="2" spans="1:5">
      <c r="A2" s="37" t="s">
        <v>152</v>
      </c>
      <c r="B2" s="76">
        <v>0.33333333333333331</v>
      </c>
      <c r="C2">
        <v>0.1</v>
      </c>
      <c r="D2">
        <f>B2*C2+B3*B6+B4*B8</f>
        <v>7.3333333333333334E-2</v>
      </c>
      <c r="E2">
        <f>D2/$B$10</f>
        <v>1.5714285714285716</v>
      </c>
    </row>
    <row r="3" spans="1:5">
      <c r="A3" s="37" t="s">
        <v>211</v>
      </c>
      <c r="B3" s="76">
        <v>0.33333333333333331</v>
      </c>
      <c r="C3">
        <v>0.08</v>
      </c>
      <c r="D3">
        <f>C3*B3+B2*B6+B4*B7</f>
        <v>1.9999999999999997E-2</v>
      </c>
      <c r="E3">
        <f t="shared" ref="E3:E4" si="0">D3/$B$10</f>
        <v>0.42857142857142855</v>
      </c>
    </row>
    <row r="4" spans="1:5">
      <c r="A4" s="37" t="s">
        <v>189</v>
      </c>
      <c r="B4" s="76">
        <v>0.33333333333333331</v>
      </c>
      <c r="C4">
        <v>0.2</v>
      </c>
      <c r="D4">
        <f>C4*B4+B3*B7+B2*B8</f>
        <v>4.6666666666666662E-2</v>
      </c>
      <c r="E4">
        <f t="shared" si="0"/>
        <v>1</v>
      </c>
    </row>
    <row r="5" spans="1:5">
      <c r="B5" s="37" t="s">
        <v>199</v>
      </c>
    </row>
    <row r="6" spans="1:5">
      <c r="A6" s="37" t="s">
        <v>212</v>
      </c>
      <c r="B6" s="76">
        <v>0.08</v>
      </c>
    </row>
    <row r="7" spans="1:5">
      <c r="A7" s="37" t="s">
        <v>213</v>
      </c>
      <c r="B7" s="76">
        <v>-0.1</v>
      </c>
    </row>
    <row r="8" spans="1:5">
      <c r="A8" s="37" t="s">
        <v>214</v>
      </c>
      <c r="B8" s="76">
        <v>0.04</v>
      </c>
    </row>
    <row r="10" spans="1:5">
      <c r="A10" s="37" t="s">
        <v>202</v>
      </c>
      <c r="B10">
        <f>B2^2*C2+B3^2*C3+B4^2*C4+2*B2*B3*B6+2*B3*B4*B7+2*B4*B2*B8</f>
        <v>4.6666666666666662E-2</v>
      </c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Exercise 1 template</vt:lpstr>
      <vt:lpstr>Exercise 2 template</vt:lpstr>
      <vt:lpstr>Exercise 3 template</vt:lpstr>
      <vt:lpstr>Exercise 4 template</vt:lpstr>
      <vt:lpstr>Exercise 5 template</vt:lpstr>
      <vt:lpstr>Exercise 6 template</vt:lpstr>
      <vt:lpstr>Exercise 7 template</vt:lpstr>
      <vt:lpstr>Exercise 8 template</vt:lpstr>
      <vt:lpstr>Exercise 9 template</vt:lpstr>
      <vt:lpstr>Exercise 10 template</vt:lpstr>
      <vt:lpstr>Exercise 11 template</vt:lpstr>
      <vt:lpstr>Exercise 12 template</vt:lpstr>
      <vt:lpstr>Exercise 13 template</vt:lpstr>
      <vt:lpstr>Exercise 14 template</vt:lpstr>
      <vt:lpstr>Exercise 15 template</vt:lpstr>
      <vt:lpstr>Exercise 16 template</vt:lpstr>
      <vt:lpstr>Exercise 17 template</vt:lpstr>
      <vt:lpstr>Exercise 18 template</vt:lpstr>
      <vt:lpstr>Exercise 19 template</vt:lpstr>
      <vt:lpstr>Exercise 20 template</vt:lpstr>
      <vt:lpstr>Exercise 21 template</vt:lpstr>
      <vt:lpstr>Exercise 22 template</vt:lpstr>
      <vt:lpstr>Exercise 23 template</vt:lpstr>
      <vt:lpstr>Exercise 24 template</vt:lpstr>
      <vt:lpstr>Exercise 25 template</vt:lpstr>
      <vt:lpstr>Exercise 26 template</vt:lpstr>
      <vt:lpstr>Exercise 27 template</vt:lpstr>
      <vt:lpstr>Exercise 28 template</vt:lpstr>
      <vt:lpstr>Exercise 29 template</vt:lpstr>
    </vt:vector>
  </TitlesOfParts>
  <Company>Tel-Aviv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cp:lastPrinted>2015-04-21T19:32:45Z</cp:lastPrinted>
  <dcterms:created xsi:type="dcterms:W3CDTF">2003-07-31T06:52:10Z</dcterms:created>
  <dcterms:modified xsi:type="dcterms:W3CDTF">2023-11-15T17:50:59Z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Ch11_IM_exercises.xlsm</vt:lpwstr>
  </property>
</Properties>
</file>