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6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88FBC82D-5533-774A-ABC1-8BC85D08617E}" xr6:coauthVersionLast="47" xr6:coauthVersionMax="47" xr10:uidLastSave="{00000000-0000-0000-0000-000000000000}"/>
  <bookViews>
    <workbookView xWindow="0" yWindow="500" windowWidth="28800" windowHeight="16060" activeTab="6" xr2:uid="{00000000-000D-0000-FFFF-FFFF00000000}"/>
  </bookViews>
  <sheets>
    <sheet name="Exercise 1 template" sheetId="10" r:id="rId1"/>
    <sheet name="Exercise 2 template" sheetId="11" r:id="rId2"/>
    <sheet name="Exercise 3 template" sheetId="12" r:id="rId3"/>
    <sheet name="Exercise 4 template" sheetId="13" r:id="rId4"/>
    <sheet name="Exercise 5 template" sheetId="14" r:id="rId5"/>
    <sheet name="Exercise 6 template" sheetId="7" r:id="rId6"/>
    <sheet name="Exercise 7 template" sheetId="9" r:id="rId7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9" l="1"/>
  <c r="F3" i="9" s="1"/>
  <c r="E5" i="9"/>
  <c r="E6" i="9"/>
  <c r="E7" i="9"/>
  <c r="E8" i="9"/>
  <c r="E9" i="9"/>
  <c r="E10" i="9"/>
  <c r="E4" i="9"/>
  <c r="D4" i="9"/>
  <c r="D7" i="7"/>
  <c r="D8" i="7"/>
  <c r="D9" i="7"/>
  <c r="E9" i="7" s="1"/>
  <c r="D10" i="7"/>
  <c r="E10" i="7" s="1"/>
  <c r="D6" i="7"/>
  <c r="E6" i="7" s="1"/>
  <c r="E5" i="7"/>
  <c r="E7" i="7"/>
  <c r="E8" i="7"/>
  <c r="B2" i="7"/>
  <c r="B13" i="14"/>
  <c r="B25" i="13"/>
  <c r="B12" i="13"/>
  <c r="B14" i="12"/>
  <c r="B11" i="12"/>
  <c r="B8" i="12"/>
  <c r="B5" i="12"/>
  <c r="B13" i="9"/>
  <c r="B12" i="9"/>
  <c r="D10" i="9"/>
  <c r="D9" i="9"/>
  <c r="D8" i="9"/>
  <c r="D7" i="9"/>
  <c r="D6" i="9"/>
  <c r="D5" i="9"/>
  <c r="B12" i="7"/>
  <c r="C12" i="7"/>
  <c r="C12" i="9"/>
  <c r="C13" i="9"/>
  <c r="F7" i="9" l="1"/>
  <c r="F6" i="9"/>
  <c r="F8" i="9"/>
  <c r="F10" i="9"/>
  <c r="F9" i="9"/>
  <c r="F5" i="9"/>
  <c r="F4" i="9"/>
  <c r="E12" i="7"/>
  <c r="F11" i="9" l="1"/>
</calcChain>
</file>

<file path=xl/sharedStrings.xml><?xml version="1.0" encoding="utf-8"?>
<sst xmlns="http://schemas.openxmlformats.org/spreadsheetml/2006/main" count="41" uniqueCount="33">
  <si>
    <t>Date</t>
  </si>
  <si>
    <t>IRR</t>
  </si>
  <si>
    <t>Discount rate</t>
  </si>
  <si>
    <t>NPV</t>
  </si>
  <si>
    <t>Daily interest rate</t>
  </si>
  <si>
    <t>Cash flow</t>
  </si>
  <si>
    <t>Days
between dates</t>
  </si>
  <si>
    <t>Present value
based on days from initial date</t>
  </si>
  <si>
    <t>&lt;-- =sum(E5:E10)</t>
  </si>
  <si>
    <t>IRR vs. XIRR</t>
  </si>
  <si>
    <t>Days</t>
  </si>
  <si>
    <t>XIRR</t>
  </si>
  <si>
    <t>born</t>
    <phoneticPr fontId="5" type="noConversion"/>
  </si>
  <si>
    <t>today</t>
    <phoneticPr fontId="5" type="noConversion"/>
  </si>
  <si>
    <t>Section a.</t>
    <phoneticPr fontId="5" type="noConversion"/>
  </si>
  <si>
    <t>age in days</t>
    <phoneticPr fontId="5" type="noConversion"/>
  </si>
  <si>
    <t>Section b.</t>
    <phoneticPr fontId="5" type="noConversion"/>
  </si>
  <si>
    <t>age in years</t>
    <phoneticPr fontId="5" type="noConversion"/>
  </si>
  <si>
    <t>Section c.</t>
    <phoneticPr fontId="5" type="noConversion"/>
  </si>
  <si>
    <t>day of the week</t>
    <phoneticPr fontId="5" type="noConversion"/>
  </si>
  <si>
    <t>Section d.</t>
    <phoneticPr fontId="5" type="noConversion"/>
  </si>
  <si>
    <t>age in month</t>
    <phoneticPr fontId="5" type="noConversion"/>
  </si>
  <si>
    <t>Date</t>
    <phoneticPr fontId="5" type="noConversion"/>
  </si>
  <si>
    <t>Bond cash flow</t>
    <phoneticPr fontId="5" type="noConversion"/>
  </si>
  <si>
    <t>XIRR</t>
    <phoneticPr fontId="5" type="noConversion"/>
  </si>
  <si>
    <t>DR</t>
    <phoneticPr fontId="5" type="noConversion"/>
  </si>
  <si>
    <t>Project cash flow</t>
    <phoneticPr fontId="5" type="noConversion"/>
  </si>
  <si>
    <t>XNPV</t>
    <phoneticPr fontId="5" type="noConversion"/>
  </si>
  <si>
    <t>Days between start</t>
    <phoneticPr fontId="5" type="noConversion"/>
  </si>
  <si>
    <t>PV</t>
    <phoneticPr fontId="5" type="noConversion"/>
  </si>
  <si>
    <t>XIRR daily</t>
    <phoneticPr fontId="5" type="noConversion"/>
  </si>
  <si>
    <t>answer</t>
    <phoneticPr fontId="5" type="noConversion"/>
  </si>
  <si>
    <t>because no all years have 365 days per year, some years have 366 per year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</si>
</sst>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8" formatCode="0.000%"/>
    <numFmt numFmtId="179" formatCode="0.00000%"/>
    <numFmt numFmtId="181" formatCode="0.000000%"/>
    <numFmt numFmtId="186" formatCode="#,##0.00000000"/>
    <numFmt numFmtId="188" formatCode="0.00000000"/>
  </numFmts>
  <fonts count="6">
    <font>
      <sz val="11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theme="1"/>
      <name val="Arial"/>
      <family val="2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1" fillId="0" borderId="0" xfId="1"/>
    <xf numFmtId="9" fontId="1" fillId="0" borderId="0" xfId="1" applyNumberFormat="1"/>
    <xf numFmtId="0" fontId="2" fillId="0" borderId="0" xfId="1" applyFont="1" applyAlignment="1">
      <alignment horizontal="center"/>
    </xf>
    <xf numFmtId="0" fontId="2" fillId="0" borderId="0" xfId="1" applyFont="1" applyAlignment="1">
      <alignment horizontal="center" wrapText="1"/>
    </xf>
    <xf numFmtId="15" fontId="1" fillId="0" borderId="0" xfId="1" applyNumberFormat="1" applyAlignment="1">
      <alignment horizontal="center"/>
    </xf>
    <xf numFmtId="3" fontId="1" fillId="0" borderId="0" xfId="1" applyNumberFormat="1"/>
    <xf numFmtId="0" fontId="1" fillId="0" borderId="0" xfId="1" applyAlignment="1">
      <alignment horizontal="center"/>
    </xf>
    <xf numFmtId="0" fontId="1" fillId="2" borderId="0" xfId="1" applyFill="1"/>
    <xf numFmtId="0" fontId="1" fillId="0" borderId="0" xfId="1" quotePrefix="1"/>
    <xf numFmtId="178" fontId="0" fillId="2" borderId="0" xfId="2" applyNumberFormat="1" applyFont="1" applyFill="1"/>
    <xf numFmtId="179" fontId="1" fillId="0" borderId="0" xfId="2" applyNumberFormat="1"/>
    <xf numFmtId="0" fontId="3" fillId="0" borderId="0" xfId="1" applyFont="1" applyAlignment="1">
      <alignment horizontal="center"/>
    </xf>
    <xf numFmtId="15" fontId="0" fillId="0" borderId="0" xfId="0" applyNumberFormat="1"/>
    <xf numFmtId="18" fontId="0" fillId="0" borderId="0" xfId="0" applyNumberFormat="1"/>
    <xf numFmtId="179" fontId="0" fillId="0" borderId="0" xfId="3" applyNumberFormat="1" applyFont="1" applyAlignment="1"/>
    <xf numFmtId="181" fontId="0" fillId="0" borderId="0" xfId="3" applyNumberFormat="1" applyFont="1" applyAlignment="1"/>
    <xf numFmtId="9" fontId="0" fillId="0" borderId="0" xfId="0" applyNumberFormat="1"/>
    <xf numFmtId="0" fontId="0" fillId="0" borderId="0" xfId="0" applyAlignment="1">
      <alignment wrapText="1"/>
    </xf>
    <xf numFmtId="3" fontId="0" fillId="0" borderId="0" xfId="0" applyNumberFormat="1"/>
    <xf numFmtId="181" fontId="1" fillId="0" borderId="0" xfId="1" applyNumberFormat="1" applyAlignment="1">
      <alignment horizontal="center"/>
    </xf>
    <xf numFmtId="186" fontId="1" fillId="2" borderId="0" xfId="1" applyNumberFormat="1" applyFill="1" applyAlignment="1">
      <alignment horizontal="center"/>
    </xf>
    <xf numFmtId="188" fontId="1" fillId="2" borderId="0" xfId="1" applyNumberFormat="1" applyFill="1"/>
    <xf numFmtId="179" fontId="1" fillId="0" borderId="0" xfId="3" applyNumberFormat="1" applyFont="1" applyAlignment="1"/>
  </cellXfs>
  <cellStyles count="4">
    <cellStyle name="Normal 2" xfId="1" xr:uid="{00000000-0005-0000-0000-000001000000}"/>
    <cellStyle name="Percent 2" xfId="2" xr:uid="{00000000-0005-0000-0000-000002000000}"/>
    <cellStyle name="百分比" xfId="3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8D0C4-B24C-2F49-9B9D-FCE0F2AA4500}">
  <dimension ref="A1:A8"/>
  <sheetViews>
    <sheetView zoomScaleNormal="100" workbookViewId="0">
      <selection activeCell="B8" sqref="B8"/>
    </sheetView>
  </sheetViews>
  <sheetFormatPr baseColWidth="10" defaultRowHeight="14"/>
  <sheetData>
    <row r="1" spans="1:1">
      <c r="A1" s="13">
        <v>42035</v>
      </c>
    </row>
    <row r="2" spans="1:1">
      <c r="A2" s="13">
        <v>42400</v>
      </c>
    </row>
    <row r="3" spans="1:1">
      <c r="A3" s="13">
        <v>42766</v>
      </c>
    </row>
    <row r="4" spans="1:1">
      <c r="A4" s="13">
        <v>43131</v>
      </c>
    </row>
    <row r="5" spans="1:1">
      <c r="A5" s="13">
        <v>43496</v>
      </c>
    </row>
    <row r="6" spans="1:1">
      <c r="A6" s="13">
        <v>43861</v>
      </c>
    </row>
    <row r="7" spans="1:1">
      <c r="A7" s="13">
        <v>44227</v>
      </c>
    </row>
    <row r="8" spans="1:1">
      <c r="A8" s="13">
        <v>44592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D2FD7-7D12-9642-8608-143F29E6E07F}">
  <dimension ref="A1:A13"/>
  <sheetViews>
    <sheetView zoomScaleNormal="100" workbookViewId="0">
      <selection sqref="A1:A13"/>
    </sheetView>
  </sheetViews>
  <sheetFormatPr baseColWidth="10" defaultRowHeight="14"/>
  <sheetData>
    <row r="1" spans="1:1">
      <c r="A1" s="14">
        <v>4.1666666666666664E-2</v>
      </c>
    </row>
    <row r="2" spans="1:1">
      <c r="A2" s="14">
        <v>8.3333333333333329E-2</v>
      </c>
    </row>
    <row r="3" spans="1:1">
      <c r="A3" s="14">
        <v>0.125</v>
      </c>
    </row>
    <row r="4" spans="1:1">
      <c r="A4" s="14">
        <v>0.16666666666666699</v>
      </c>
    </row>
    <row r="5" spans="1:1">
      <c r="A5" s="14">
        <v>0.20833333333333401</v>
      </c>
    </row>
    <row r="6" spans="1:1">
      <c r="A6" s="14">
        <v>0.25</v>
      </c>
    </row>
    <row r="7" spans="1:1">
      <c r="A7" s="14">
        <v>0.29166666666666702</v>
      </c>
    </row>
    <row r="8" spans="1:1">
      <c r="A8" s="14">
        <v>0.33333333333333398</v>
      </c>
    </row>
    <row r="9" spans="1:1">
      <c r="A9" s="14">
        <v>0.375</v>
      </c>
    </row>
    <row r="10" spans="1:1">
      <c r="A10" s="14">
        <v>0.41666666666666702</v>
      </c>
    </row>
    <row r="11" spans="1:1">
      <c r="A11" s="14">
        <v>0.45833333333333398</v>
      </c>
    </row>
    <row r="12" spans="1:1">
      <c r="A12" s="14">
        <v>0.5</v>
      </c>
    </row>
    <row r="13" spans="1:1">
      <c r="A13" s="14">
        <v>0.54166666666666696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D71-7D40-404B-BABF-A5CE70A35AA7}">
  <dimension ref="A1:B14"/>
  <sheetViews>
    <sheetView zoomScaleNormal="100" workbookViewId="0">
      <selection activeCell="B15" sqref="B15"/>
    </sheetView>
  </sheetViews>
  <sheetFormatPr baseColWidth="10" defaultRowHeight="14"/>
  <cols>
    <col min="1" max="1" width="15" bestFit="1" customWidth="1"/>
  </cols>
  <sheetData>
    <row r="1" spans="1:2">
      <c r="A1" t="s">
        <v>12</v>
      </c>
      <c r="B1" s="13">
        <v>23422</v>
      </c>
    </row>
    <row r="2" spans="1:2">
      <c r="A2" t="s">
        <v>13</v>
      </c>
      <c r="B2" s="13">
        <v>42658</v>
      </c>
    </row>
    <row r="4" spans="1:2">
      <c r="A4" t="s">
        <v>14</v>
      </c>
    </row>
    <row r="5" spans="1:2">
      <c r="A5" t="s">
        <v>15</v>
      </c>
      <c r="B5">
        <f>B2-B1</f>
        <v>19236</v>
      </c>
    </row>
    <row r="7" spans="1:2">
      <c r="A7" t="s">
        <v>16</v>
      </c>
    </row>
    <row r="8" spans="1:2">
      <c r="A8" t="s">
        <v>17</v>
      </c>
      <c r="B8">
        <f>B5/365</f>
        <v>52.701369863013696</v>
      </c>
    </row>
    <row r="10" spans="1:2">
      <c r="A10" t="s">
        <v>18</v>
      </c>
    </row>
    <row r="11" spans="1:2">
      <c r="A11" t="s">
        <v>19</v>
      </c>
      <c r="B11">
        <f>WEEKDAY(B1)</f>
        <v>7</v>
      </c>
    </row>
    <row r="13" spans="1:2">
      <c r="A13" t="s">
        <v>20</v>
      </c>
    </row>
    <row r="14" spans="1:2">
      <c r="A14" t="s">
        <v>21</v>
      </c>
      <c r="B14">
        <f>DATEDIF(B1,B2,"M")</f>
        <v>632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CF781-54A3-8146-B4DA-FD993D7E21BD}">
  <dimension ref="A1:B25"/>
  <sheetViews>
    <sheetView zoomScaleNormal="100" workbookViewId="0">
      <selection activeCell="E17" sqref="E17"/>
    </sheetView>
  </sheetViews>
  <sheetFormatPr baseColWidth="10" defaultRowHeight="14"/>
  <cols>
    <col min="2" max="2" width="14.5" bestFit="1" customWidth="1"/>
  </cols>
  <sheetData>
    <row r="1" spans="1:2">
      <c r="A1" t="s">
        <v>22</v>
      </c>
      <c r="B1" t="s">
        <v>23</v>
      </c>
    </row>
    <row r="2" spans="1:2">
      <c r="A2" s="13">
        <v>42781</v>
      </c>
      <c r="B2">
        <v>-923</v>
      </c>
    </row>
    <row r="3" spans="1:2">
      <c r="A3" s="13">
        <v>42870</v>
      </c>
      <c r="B3">
        <v>30</v>
      </c>
    </row>
    <row r="4" spans="1:2">
      <c r="A4" s="13">
        <v>43054</v>
      </c>
      <c r="B4">
        <v>30</v>
      </c>
    </row>
    <row r="5" spans="1:2">
      <c r="A5" s="13">
        <v>43235</v>
      </c>
      <c r="B5">
        <v>30</v>
      </c>
    </row>
    <row r="6" spans="1:2">
      <c r="A6" s="13">
        <v>43419</v>
      </c>
      <c r="B6">
        <v>30</v>
      </c>
    </row>
    <row r="7" spans="1:2">
      <c r="A7" s="13">
        <v>43600</v>
      </c>
      <c r="B7">
        <v>30</v>
      </c>
    </row>
    <row r="8" spans="1:2">
      <c r="A8" s="13">
        <v>43784</v>
      </c>
      <c r="B8">
        <v>30</v>
      </c>
    </row>
    <row r="9" spans="1:2">
      <c r="A9" s="13">
        <v>43966</v>
      </c>
      <c r="B9">
        <v>1030</v>
      </c>
    </row>
    <row r="11" spans="1:2">
      <c r="A11" t="s">
        <v>14</v>
      </c>
    </row>
    <row r="12" spans="1:2">
      <c r="A12" t="s">
        <v>24</v>
      </c>
      <c r="B12" s="15">
        <f>XIRR(B2:B9,A2:A9)</f>
        <v>9.5712789893150338E-2</v>
      </c>
    </row>
    <row r="14" spans="1:2">
      <c r="A14" t="s">
        <v>16</v>
      </c>
    </row>
    <row r="15" spans="1:2">
      <c r="A15" t="s">
        <v>22</v>
      </c>
      <c r="B15" t="s">
        <v>23</v>
      </c>
    </row>
    <row r="16" spans="1:2">
      <c r="A16" s="13">
        <v>42794</v>
      </c>
      <c r="B16">
        <v>-951</v>
      </c>
    </row>
    <row r="17" spans="1:2">
      <c r="A17" s="13">
        <v>42870</v>
      </c>
      <c r="B17">
        <v>30</v>
      </c>
    </row>
    <row r="18" spans="1:2">
      <c r="A18" s="13">
        <v>43054</v>
      </c>
      <c r="B18">
        <v>30</v>
      </c>
    </row>
    <row r="19" spans="1:2">
      <c r="A19" s="13">
        <v>43235</v>
      </c>
      <c r="B19">
        <v>30</v>
      </c>
    </row>
    <row r="20" spans="1:2">
      <c r="A20" s="13">
        <v>43419</v>
      </c>
      <c r="B20">
        <v>30</v>
      </c>
    </row>
    <row r="21" spans="1:2">
      <c r="A21" s="13">
        <v>43600</v>
      </c>
      <c r="B21">
        <v>30</v>
      </c>
    </row>
    <row r="22" spans="1:2">
      <c r="A22" s="13">
        <v>43784</v>
      </c>
      <c r="B22">
        <v>30</v>
      </c>
    </row>
    <row r="23" spans="1:2">
      <c r="A23" s="13">
        <v>43966</v>
      </c>
      <c r="B23">
        <v>1030</v>
      </c>
    </row>
    <row r="25" spans="1:2">
      <c r="A25" t="s">
        <v>24</v>
      </c>
      <c r="B25" s="16">
        <f>XIRR(B16:B23,A16:A23)</f>
        <v>8.5709777474403392E-2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F2657-9011-614C-AD84-A5C6111EAE2C}">
  <dimension ref="A1:B13"/>
  <sheetViews>
    <sheetView zoomScaleNormal="100" workbookViewId="0">
      <selection activeCell="E12" sqref="E12"/>
    </sheetView>
  </sheetViews>
  <sheetFormatPr baseColWidth="10" defaultRowHeight="14"/>
  <cols>
    <col min="2" max="2" width="15.33203125" bestFit="1" customWidth="1"/>
  </cols>
  <sheetData>
    <row r="1" spans="1:2">
      <c r="A1" t="s">
        <v>25</v>
      </c>
      <c r="B1" s="17">
        <v>0.13</v>
      </c>
    </row>
    <row r="3" spans="1:2" ht="15">
      <c r="A3" t="s">
        <v>22</v>
      </c>
      <c r="B3" s="18" t="s">
        <v>26</v>
      </c>
    </row>
    <row r="4" spans="1:2">
      <c r="A4" s="13">
        <v>42309</v>
      </c>
      <c r="B4" s="19">
        <v>-1000</v>
      </c>
    </row>
    <row r="5" spans="1:2">
      <c r="A5" s="13">
        <v>42382</v>
      </c>
      <c r="B5">
        <v>-523</v>
      </c>
    </row>
    <row r="6" spans="1:2">
      <c r="A6" s="13">
        <v>42569</v>
      </c>
      <c r="B6" s="19">
        <v>-1500</v>
      </c>
    </row>
    <row r="7" spans="1:2">
      <c r="A7" s="13">
        <v>42735</v>
      </c>
      <c r="B7" s="19">
        <v>1500</v>
      </c>
    </row>
    <row r="8" spans="1:2">
      <c r="A8" s="13">
        <v>42872</v>
      </c>
      <c r="B8" s="19">
        <v>2200</v>
      </c>
    </row>
    <row r="9" spans="1:2">
      <c r="A9" s="13">
        <v>43088</v>
      </c>
      <c r="B9" s="19">
        <v>1200</v>
      </c>
    </row>
    <row r="10" spans="1:2">
      <c r="A10" s="13">
        <v>43334</v>
      </c>
      <c r="B10" s="19">
        <v>-435</v>
      </c>
    </row>
    <row r="11" spans="1:2">
      <c r="A11" s="13">
        <v>43480</v>
      </c>
      <c r="B11" s="19">
        <v>2000</v>
      </c>
    </row>
    <row r="13" spans="1:2">
      <c r="A13" t="s">
        <v>27</v>
      </c>
      <c r="B13">
        <f>XNPV(B1,B4:B11,A4:A11)</f>
        <v>2204.4287932544898</v>
      </c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2"/>
  <sheetViews>
    <sheetView zoomScaleNormal="100" workbookViewId="0">
      <selection activeCell="D4" sqref="D4"/>
    </sheetView>
  </sheetViews>
  <sheetFormatPr baseColWidth="10" defaultColWidth="8.83203125" defaultRowHeight="13"/>
  <cols>
    <col min="1" max="1" width="16.1640625" style="1" customWidth="1"/>
    <col min="2" max="2" width="14.1640625" style="1" bestFit="1" customWidth="1"/>
    <col min="3" max="3" width="24.5" style="1" customWidth="1"/>
    <col min="4" max="4" width="12.5" style="1" customWidth="1"/>
    <col min="5" max="5" width="15.33203125" style="1" customWidth="1"/>
    <col min="6" max="6" width="16.1640625" style="1" customWidth="1"/>
    <col min="7" max="256" width="9" style="1"/>
    <col min="257" max="257" width="16.1640625" style="1" customWidth="1"/>
    <col min="258" max="258" width="9" style="1"/>
    <col min="259" max="259" width="24.5" style="1" customWidth="1"/>
    <col min="260" max="260" width="12.5" style="1" customWidth="1"/>
    <col min="261" max="261" width="15.33203125" style="1" customWidth="1"/>
    <col min="262" max="262" width="16.1640625" style="1" customWidth="1"/>
    <col min="263" max="512" width="9" style="1"/>
    <col min="513" max="513" width="16.1640625" style="1" customWidth="1"/>
    <col min="514" max="514" width="9" style="1"/>
    <col min="515" max="515" width="24.5" style="1" customWidth="1"/>
    <col min="516" max="516" width="12.5" style="1" customWidth="1"/>
    <col min="517" max="517" width="15.33203125" style="1" customWidth="1"/>
    <col min="518" max="518" width="16.1640625" style="1" customWidth="1"/>
    <col min="519" max="768" width="9" style="1"/>
    <col min="769" max="769" width="16.1640625" style="1" customWidth="1"/>
    <col min="770" max="770" width="9" style="1"/>
    <col min="771" max="771" width="24.5" style="1" customWidth="1"/>
    <col min="772" max="772" width="12.5" style="1" customWidth="1"/>
    <col min="773" max="773" width="15.33203125" style="1" customWidth="1"/>
    <col min="774" max="774" width="16.1640625" style="1" customWidth="1"/>
    <col min="775" max="1024" width="9" style="1"/>
    <col min="1025" max="1025" width="16.1640625" style="1" customWidth="1"/>
    <col min="1026" max="1026" width="9" style="1"/>
    <col min="1027" max="1027" width="24.5" style="1" customWidth="1"/>
    <col min="1028" max="1028" width="12.5" style="1" customWidth="1"/>
    <col min="1029" max="1029" width="15.33203125" style="1" customWidth="1"/>
    <col min="1030" max="1030" width="16.1640625" style="1" customWidth="1"/>
    <col min="1031" max="1280" width="9" style="1"/>
    <col min="1281" max="1281" width="16.1640625" style="1" customWidth="1"/>
    <col min="1282" max="1282" width="9" style="1"/>
    <col min="1283" max="1283" width="24.5" style="1" customWidth="1"/>
    <col min="1284" max="1284" width="12.5" style="1" customWidth="1"/>
    <col min="1285" max="1285" width="15.33203125" style="1" customWidth="1"/>
    <col min="1286" max="1286" width="16.1640625" style="1" customWidth="1"/>
    <col min="1287" max="1536" width="9" style="1"/>
    <col min="1537" max="1537" width="16.1640625" style="1" customWidth="1"/>
    <col min="1538" max="1538" width="9" style="1"/>
    <col min="1539" max="1539" width="24.5" style="1" customWidth="1"/>
    <col min="1540" max="1540" width="12.5" style="1" customWidth="1"/>
    <col min="1541" max="1541" width="15.33203125" style="1" customWidth="1"/>
    <col min="1542" max="1542" width="16.1640625" style="1" customWidth="1"/>
    <col min="1543" max="1792" width="9" style="1"/>
    <col min="1793" max="1793" width="16.1640625" style="1" customWidth="1"/>
    <col min="1794" max="1794" width="9" style="1"/>
    <col min="1795" max="1795" width="24.5" style="1" customWidth="1"/>
    <col min="1796" max="1796" width="12.5" style="1" customWidth="1"/>
    <col min="1797" max="1797" width="15.33203125" style="1" customWidth="1"/>
    <col min="1798" max="1798" width="16.1640625" style="1" customWidth="1"/>
    <col min="1799" max="2048" width="9" style="1"/>
    <col min="2049" max="2049" width="16.1640625" style="1" customWidth="1"/>
    <col min="2050" max="2050" width="9" style="1"/>
    <col min="2051" max="2051" width="24.5" style="1" customWidth="1"/>
    <col min="2052" max="2052" width="12.5" style="1" customWidth="1"/>
    <col min="2053" max="2053" width="15.33203125" style="1" customWidth="1"/>
    <col min="2054" max="2054" width="16.1640625" style="1" customWidth="1"/>
    <col min="2055" max="2304" width="9" style="1"/>
    <col min="2305" max="2305" width="16.1640625" style="1" customWidth="1"/>
    <col min="2306" max="2306" width="9" style="1"/>
    <col min="2307" max="2307" width="24.5" style="1" customWidth="1"/>
    <col min="2308" max="2308" width="12.5" style="1" customWidth="1"/>
    <col min="2309" max="2309" width="15.33203125" style="1" customWidth="1"/>
    <col min="2310" max="2310" width="16.1640625" style="1" customWidth="1"/>
    <col min="2311" max="2560" width="9" style="1"/>
    <col min="2561" max="2561" width="16.1640625" style="1" customWidth="1"/>
    <col min="2562" max="2562" width="9" style="1"/>
    <col min="2563" max="2563" width="24.5" style="1" customWidth="1"/>
    <col min="2564" max="2564" width="12.5" style="1" customWidth="1"/>
    <col min="2565" max="2565" width="15.33203125" style="1" customWidth="1"/>
    <col min="2566" max="2566" width="16.1640625" style="1" customWidth="1"/>
    <col min="2567" max="2816" width="9" style="1"/>
    <col min="2817" max="2817" width="16.1640625" style="1" customWidth="1"/>
    <col min="2818" max="2818" width="9" style="1"/>
    <col min="2819" max="2819" width="24.5" style="1" customWidth="1"/>
    <col min="2820" max="2820" width="12.5" style="1" customWidth="1"/>
    <col min="2821" max="2821" width="15.33203125" style="1" customWidth="1"/>
    <col min="2822" max="2822" width="16.1640625" style="1" customWidth="1"/>
    <col min="2823" max="3072" width="9" style="1"/>
    <col min="3073" max="3073" width="16.1640625" style="1" customWidth="1"/>
    <col min="3074" max="3074" width="9" style="1"/>
    <col min="3075" max="3075" width="24.5" style="1" customWidth="1"/>
    <col min="3076" max="3076" width="12.5" style="1" customWidth="1"/>
    <col min="3077" max="3077" width="15.33203125" style="1" customWidth="1"/>
    <col min="3078" max="3078" width="16.1640625" style="1" customWidth="1"/>
    <col min="3079" max="3328" width="9" style="1"/>
    <col min="3329" max="3329" width="16.1640625" style="1" customWidth="1"/>
    <col min="3330" max="3330" width="9" style="1"/>
    <col min="3331" max="3331" width="24.5" style="1" customWidth="1"/>
    <col min="3332" max="3332" width="12.5" style="1" customWidth="1"/>
    <col min="3333" max="3333" width="15.33203125" style="1" customWidth="1"/>
    <col min="3334" max="3334" width="16.1640625" style="1" customWidth="1"/>
    <col min="3335" max="3584" width="9" style="1"/>
    <col min="3585" max="3585" width="16.1640625" style="1" customWidth="1"/>
    <col min="3586" max="3586" width="9" style="1"/>
    <col min="3587" max="3587" width="24.5" style="1" customWidth="1"/>
    <col min="3588" max="3588" width="12.5" style="1" customWidth="1"/>
    <col min="3589" max="3589" width="15.33203125" style="1" customWidth="1"/>
    <col min="3590" max="3590" width="16.1640625" style="1" customWidth="1"/>
    <col min="3591" max="3840" width="9" style="1"/>
    <col min="3841" max="3841" width="16.1640625" style="1" customWidth="1"/>
    <col min="3842" max="3842" width="9" style="1"/>
    <col min="3843" max="3843" width="24.5" style="1" customWidth="1"/>
    <col min="3844" max="3844" width="12.5" style="1" customWidth="1"/>
    <col min="3845" max="3845" width="15.33203125" style="1" customWidth="1"/>
    <col min="3846" max="3846" width="16.1640625" style="1" customWidth="1"/>
    <col min="3847" max="4096" width="9" style="1"/>
    <col min="4097" max="4097" width="16.1640625" style="1" customWidth="1"/>
    <col min="4098" max="4098" width="9" style="1"/>
    <col min="4099" max="4099" width="24.5" style="1" customWidth="1"/>
    <col min="4100" max="4100" width="12.5" style="1" customWidth="1"/>
    <col min="4101" max="4101" width="15.33203125" style="1" customWidth="1"/>
    <col min="4102" max="4102" width="16.1640625" style="1" customWidth="1"/>
    <col min="4103" max="4352" width="9" style="1"/>
    <col min="4353" max="4353" width="16.1640625" style="1" customWidth="1"/>
    <col min="4354" max="4354" width="9" style="1"/>
    <col min="4355" max="4355" width="24.5" style="1" customWidth="1"/>
    <col min="4356" max="4356" width="12.5" style="1" customWidth="1"/>
    <col min="4357" max="4357" width="15.33203125" style="1" customWidth="1"/>
    <col min="4358" max="4358" width="16.1640625" style="1" customWidth="1"/>
    <col min="4359" max="4608" width="9" style="1"/>
    <col min="4609" max="4609" width="16.1640625" style="1" customWidth="1"/>
    <col min="4610" max="4610" width="9" style="1"/>
    <col min="4611" max="4611" width="24.5" style="1" customWidth="1"/>
    <col min="4612" max="4612" width="12.5" style="1" customWidth="1"/>
    <col min="4613" max="4613" width="15.33203125" style="1" customWidth="1"/>
    <col min="4614" max="4614" width="16.1640625" style="1" customWidth="1"/>
    <col min="4615" max="4864" width="9" style="1"/>
    <col min="4865" max="4865" width="16.1640625" style="1" customWidth="1"/>
    <col min="4866" max="4866" width="9" style="1"/>
    <col min="4867" max="4867" width="24.5" style="1" customWidth="1"/>
    <col min="4868" max="4868" width="12.5" style="1" customWidth="1"/>
    <col min="4869" max="4869" width="15.33203125" style="1" customWidth="1"/>
    <col min="4870" max="4870" width="16.1640625" style="1" customWidth="1"/>
    <col min="4871" max="5120" width="9" style="1"/>
    <col min="5121" max="5121" width="16.1640625" style="1" customWidth="1"/>
    <col min="5122" max="5122" width="9" style="1"/>
    <col min="5123" max="5123" width="24.5" style="1" customWidth="1"/>
    <col min="5124" max="5124" width="12.5" style="1" customWidth="1"/>
    <col min="5125" max="5125" width="15.33203125" style="1" customWidth="1"/>
    <col min="5126" max="5126" width="16.1640625" style="1" customWidth="1"/>
    <col min="5127" max="5376" width="9" style="1"/>
    <col min="5377" max="5377" width="16.1640625" style="1" customWidth="1"/>
    <col min="5378" max="5378" width="9" style="1"/>
    <col min="5379" max="5379" width="24.5" style="1" customWidth="1"/>
    <col min="5380" max="5380" width="12.5" style="1" customWidth="1"/>
    <col min="5381" max="5381" width="15.33203125" style="1" customWidth="1"/>
    <col min="5382" max="5382" width="16.1640625" style="1" customWidth="1"/>
    <col min="5383" max="5632" width="9" style="1"/>
    <col min="5633" max="5633" width="16.1640625" style="1" customWidth="1"/>
    <col min="5634" max="5634" width="9" style="1"/>
    <col min="5635" max="5635" width="24.5" style="1" customWidth="1"/>
    <col min="5636" max="5636" width="12.5" style="1" customWidth="1"/>
    <col min="5637" max="5637" width="15.33203125" style="1" customWidth="1"/>
    <col min="5638" max="5638" width="16.1640625" style="1" customWidth="1"/>
    <col min="5639" max="5888" width="9" style="1"/>
    <col min="5889" max="5889" width="16.1640625" style="1" customWidth="1"/>
    <col min="5890" max="5890" width="9" style="1"/>
    <col min="5891" max="5891" width="24.5" style="1" customWidth="1"/>
    <col min="5892" max="5892" width="12.5" style="1" customWidth="1"/>
    <col min="5893" max="5893" width="15.33203125" style="1" customWidth="1"/>
    <col min="5894" max="5894" width="16.1640625" style="1" customWidth="1"/>
    <col min="5895" max="6144" width="9" style="1"/>
    <col min="6145" max="6145" width="16.1640625" style="1" customWidth="1"/>
    <col min="6146" max="6146" width="9" style="1"/>
    <col min="6147" max="6147" width="24.5" style="1" customWidth="1"/>
    <col min="6148" max="6148" width="12.5" style="1" customWidth="1"/>
    <col min="6149" max="6149" width="15.33203125" style="1" customWidth="1"/>
    <col min="6150" max="6150" width="16.1640625" style="1" customWidth="1"/>
    <col min="6151" max="6400" width="9" style="1"/>
    <col min="6401" max="6401" width="16.1640625" style="1" customWidth="1"/>
    <col min="6402" max="6402" width="9" style="1"/>
    <col min="6403" max="6403" width="24.5" style="1" customWidth="1"/>
    <col min="6404" max="6404" width="12.5" style="1" customWidth="1"/>
    <col min="6405" max="6405" width="15.33203125" style="1" customWidth="1"/>
    <col min="6406" max="6406" width="16.1640625" style="1" customWidth="1"/>
    <col min="6407" max="6656" width="9" style="1"/>
    <col min="6657" max="6657" width="16.1640625" style="1" customWidth="1"/>
    <col min="6658" max="6658" width="9" style="1"/>
    <col min="6659" max="6659" width="24.5" style="1" customWidth="1"/>
    <col min="6660" max="6660" width="12.5" style="1" customWidth="1"/>
    <col min="6661" max="6661" width="15.33203125" style="1" customWidth="1"/>
    <col min="6662" max="6662" width="16.1640625" style="1" customWidth="1"/>
    <col min="6663" max="6912" width="9" style="1"/>
    <col min="6913" max="6913" width="16.1640625" style="1" customWidth="1"/>
    <col min="6914" max="6914" width="9" style="1"/>
    <col min="6915" max="6915" width="24.5" style="1" customWidth="1"/>
    <col min="6916" max="6916" width="12.5" style="1" customWidth="1"/>
    <col min="6917" max="6917" width="15.33203125" style="1" customWidth="1"/>
    <col min="6918" max="6918" width="16.1640625" style="1" customWidth="1"/>
    <col min="6919" max="7168" width="9" style="1"/>
    <col min="7169" max="7169" width="16.1640625" style="1" customWidth="1"/>
    <col min="7170" max="7170" width="9" style="1"/>
    <col min="7171" max="7171" width="24.5" style="1" customWidth="1"/>
    <col min="7172" max="7172" width="12.5" style="1" customWidth="1"/>
    <col min="7173" max="7173" width="15.33203125" style="1" customWidth="1"/>
    <col min="7174" max="7174" width="16.1640625" style="1" customWidth="1"/>
    <col min="7175" max="7424" width="9" style="1"/>
    <col min="7425" max="7425" width="16.1640625" style="1" customWidth="1"/>
    <col min="7426" max="7426" width="9" style="1"/>
    <col min="7427" max="7427" width="24.5" style="1" customWidth="1"/>
    <col min="7428" max="7428" width="12.5" style="1" customWidth="1"/>
    <col min="7429" max="7429" width="15.33203125" style="1" customWidth="1"/>
    <col min="7430" max="7430" width="16.1640625" style="1" customWidth="1"/>
    <col min="7431" max="7680" width="9" style="1"/>
    <col min="7681" max="7681" width="16.1640625" style="1" customWidth="1"/>
    <col min="7682" max="7682" width="9" style="1"/>
    <col min="7683" max="7683" width="24.5" style="1" customWidth="1"/>
    <col min="7684" max="7684" width="12.5" style="1" customWidth="1"/>
    <col min="7685" max="7685" width="15.33203125" style="1" customWidth="1"/>
    <col min="7686" max="7686" width="16.1640625" style="1" customWidth="1"/>
    <col min="7687" max="7936" width="9" style="1"/>
    <col min="7937" max="7937" width="16.1640625" style="1" customWidth="1"/>
    <col min="7938" max="7938" width="9" style="1"/>
    <col min="7939" max="7939" width="24.5" style="1" customWidth="1"/>
    <col min="7940" max="7940" width="12.5" style="1" customWidth="1"/>
    <col min="7941" max="7941" width="15.33203125" style="1" customWidth="1"/>
    <col min="7942" max="7942" width="16.1640625" style="1" customWidth="1"/>
    <col min="7943" max="8192" width="9" style="1"/>
    <col min="8193" max="8193" width="16.1640625" style="1" customWidth="1"/>
    <col min="8194" max="8194" width="9" style="1"/>
    <col min="8195" max="8195" width="24.5" style="1" customWidth="1"/>
    <col min="8196" max="8196" width="12.5" style="1" customWidth="1"/>
    <col min="8197" max="8197" width="15.33203125" style="1" customWidth="1"/>
    <col min="8198" max="8198" width="16.1640625" style="1" customWidth="1"/>
    <col min="8199" max="8448" width="9" style="1"/>
    <col min="8449" max="8449" width="16.1640625" style="1" customWidth="1"/>
    <col min="8450" max="8450" width="9" style="1"/>
    <col min="8451" max="8451" width="24.5" style="1" customWidth="1"/>
    <col min="8452" max="8452" width="12.5" style="1" customWidth="1"/>
    <col min="8453" max="8453" width="15.33203125" style="1" customWidth="1"/>
    <col min="8454" max="8454" width="16.1640625" style="1" customWidth="1"/>
    <col min="8455" max="8704" width="9" style="1"/>
    <col min="8705" max="8705" width="16.1640625" style="1" customWidth="1"/>
    <col min="8706" max="8706" width="9" style="1"/>
    <col min="8707" max="8707" width="24.5" style="1" customWidth="1"/>
    <col min="8708" max="8708" width="12.5" style="1" customWidth="1"/>
    <col min="8709" max="8709" width="15.33203125" style="1" customWidth="1"/>
    <col min="8710" max="8710" width="16.1640625" style="1" customWidth="1"/>
    <col min="8711" max="8960" width="9" style="1"/>
    <col min="8961" max="8961" width="16.1640625" style="1" customWidth="1"/>
    <col min="8962" max="8962" width="9" style="1"/>
    <col min="8963" max="8963" width="24.5" style="1" customWidth="1"/>
    <col min="8964" max="8964" width="12.5" style="1" customWidth="1"/>
    <col min="8965" max="8965" width="15.33203125" style="1" customWidth="1"/>
    <col min="8966" max="8966" width="16.1640625" style="1" customWidth="1"/>
    <col min="8967" max="9216" width="9" style="1"/>
    <col min="9217" max="9217" width="16.1640625" style="1" customWidth="1"/>
    <col min="9218" max="9218" width="9" style="1"/>
    <col min="9219" max="9219" width="24.5" style="1" customWidth="1"/>
    <col min="9220" max="9220" width="12.5" style="1" customWidth="1"/>
    <col min="9221" max="9221" width="15.33203125" style="1" customWidth="1"/>
    <col min="9222" max="9222" width="16.1640625" style="1" customWidth="1"/>
    <col min="9223" max="9472" width="9" style="1"/>
    <col min="9473" max="9473" width="16.1640625" style="1" customWidth="1"/>
    <col min="9474" max="9474" width="9" style="1"/>
    <col min="9475" max="9475" width="24.5" style="1" customWidth="1"/>
    <col min="9476" max="9476" width="12.5" style="1" customWidth="1"/>
    <col min="9477" max="9477" width="15.33203125" style="1" customWidth="1"/>
    <col min="9478" max="9478" width="16.1640625" style="1" customWidth="1"/>
    <col min="9479" max="9728" width="9" style="1"/>
    <col min="9729" max="9729" width="16.1640625" style="1" customWidth="1"/>
    <col min="9730" max="9730" width="9" style="1"/>
    <col min="9731" max="9731" width="24.5" style="1" customWidth="1"/>
    <col min="9732" max="9732" width="12.5" style="1" customWidth="1"/>
    <col min="9733" max="9733" width="15.33203125" style="1" customWidth="1"/>
    <col min="9734" max="9734" width="16.1640625" style="1" customWidth="1"/>
    <col min="9735" max="9984" width="9" style="1"/>
    <col min="9985" max="9985" width="16.1640625" style="1" customWidth="1"/>
    <col min="9986" max="9986" width="9" style="1"/>
    <col min="9987" max="9987" width="24.5" style="1" customWidth="1"/>
    <col min="9988" max="9988" width="12.5" style="1" customWidth="1"/>
    <col min="9989" max="9989" width="15.33203125" style="1" customWidth="1"/>
    <col min="9990" max="9990" width="16.1640625" style="1" customWidth="1"/>
    <col min="9991" max="10240" width="9" style="1"/>
    <col min="10241" max="10241" width="16.1640625" style="1" customWidth="1"/>
    <col min="10242" max="10242" width="9" style="1"/>
    <col min="10243" max="10243" width="24.5" style="1" customWidth="1"/>
    <col min="10244" max="10244" width="12.5" style="1" customWidth="1"/>
    <col min="10245" max="10245" width="15.33203125" style="1" customWidth="1"/>
    <col min="10246" max="10246" width="16.1640625" style="1" customWidth="1"/>
    <col min="10247" max="10496" width="9" style="1"/>
    <col min="10497" max="10497" width="16.1640625" style="1" customWidth="1"/>
    <col min="10498" max="10498" width="9" style="1"/>
    <col min="10499" max="10499" width="24.5" style="1" customWidth="1"/>
    <col min="10500" max="10500" width="12.5" style="1" customWidth="1"/>
    <col min="10501" max="10501" width="15.33203125" style="1" customWidth="1"/>
    <col min="10502" max="10502" width="16.1640625" style="1" customWidth="1"/>
    <col min="10503" max="10752" width="9" style="1"/>
    <col min="10753" max="10753" width="16.1640625" style="1" customWidth="1"/>
    <col min="10754" max="10754" width="9" style="1"/>
    <col min="10755" max="10755" width="24.5" style="1" customWidth="1"/>
    <col min="10756" max="10756" width="12.5" style="1" customWidth="1"/>
    <col min="10757" max="10757" width="15.33203125" style="1" customWidth="1"/>
    <col min="10758" max="10758" width="16.1640625" style="1" customWidth="1"/>
    <col min="10759" max="11008" width="9" style="1"/>
    <col min="11009" max="11009" width="16.1640625" style="1" customWidth="1"/>
    <col min="11010" max="11010" width="9" style="1"/>
    <col min="11011" max="11011" width="24.5" style="1" customWidth="1"/>
    <col min="11012" max="11012" width="12.5" style="1" customWidth="1"/>
    <col min="11013" max="11013" width="15.33203125" style="1" customWidth="1"/>
    <col min="11014" max="11014" width="16.1640625" style="1" customWidth="1"/>
    <col min="11015" max="11264" width="9" style="1"/>
    <col min="11265" max="11265" width="16.1640625" style="1" customWidth="1"/>
    <col min="11266" max="11266" width="9" style="1"/>
    <col min="11267" max="11267" width="24.5" style="1" customWidth="1"/>
    <col min="11268" max="11268" width="12.5" style="1" customWidth="1"/>
    <col min="11269" max="11269" width="15.33203125" style="1" customWidth="1"/>
    <col min="11270" max="11270" width="16.1640625" style="1" customWidth="1"/>
    <col min="11271" max="11520" width="9" style="1"/>
    <col min="11521" max="11521" width="16.1640625" style="1" customWidth="1"/>
    <col min="11522" max="11522" width="9" style="1"/>
    <col min="11523" max="11523" width="24.5" style="1" customWidth="1"/>
    <col min="11524" max="11524" width="12.5" style="1" customWidth="1"/>
    <col min="11525" max="11525" width="15.33203125" style="1" customWidth="1"/>
    <col min="11526" max="11526" width="16.1640625" style="1" customWidth="1"/>
    <col min="11527" max="11776" width="9" style="1"/>
    <col min="11777" max="11777" width="16.1640625" style="1" customWidth="1"/>
    <col min="11778" max="11778" width="9" style="1"/>
    <col min="11779" max="11779" width="24.5" style="1" customWidth="1"/>
    <col min="11780" max="11780" width="12.5" style="1" customWidth="1"/>
    <col min="11781" max="11781" width="15.33203125" style="1" customWidth="1"/>
    <col min="11782" max="11782" width="16.1640625" style="1" customWidth="1"/>
    <col min="11783" max="12032" width="9" style="1"/>
    <col min="12033" max="12033" width="16.1640625" style="1" customWidth="1"/>
    <col min="12034" max="12034" width="9" style="1"/>
    <col min="12035" max="12035" width="24.5" style="1" customWidth="1"/>
    <col min="12036" max="12036" width="12.5" style="1" customWidth="1"/>
    <col min="12037" max="12037" width="15.33203125" style="1" customWidth="1"/>
    <col min="12038" max="12038" width="16.1640625" style="1" customWidth="1"/>
    <col min="12039" max="12288" width="9" style="1"/>
    <col min="12289" max="12289" width="16.1640625" style="1" customWidth="1"/>
    <col min="12290" max="12290" width="9" style="1"/>
    <col min="12291" max="12291" width="24.5" style="1" customWidth="1"/>
    <col min="12292" max="12292" width="12.5" style="1" customWidth="1"/>
    <col min="12293" max="12293" width="15.33203125" style="1" customWidth="1"/>
    <col min="12294" max="12294" width="16.1640625" style="1" customWidth="1"/>
    <col min="12295" max="12544" width="9" style="1"/>
    <col min="12545" max="12545" width="16.1640625" style="1" customWidth="1"/>
    <col min="12546" max="12546" width="9" style="1"/>
    <col min="12547" max="12547" width="24.5" style="1" customWidth="1"/>
    <col min="12548" max="12548" width="12.5" style="1" customWidth="1"/>
    <col min="12549" max="12549" width="15.33203125" style="1" customWidth="1"/>
    <col min="12550" max="12550" width="16.1640625" style="1" customWidth="1"/>
    <col min="12551" max="12800" width="9" style="1"/>
    <col min="12801" max="12801" width="16.1640625" style="1" customWidth="1"/>
    <col min="12802" max="12802" width="9" style="1"/>
    <col min="12803" max="12803" width="24.5" style="1" customWidth="1"/>
    <col min="12804" max="12804" width="12.5" style="1" customWidth="1"/>
    <col min="12805" max="12805" width="15.33203125" style="1" customWidth="1"/>
    <col min="12806" max="12806" width="16.1640625" style="1" customWidth="1"/>
    <col min="12807" max="13056" width="9" style="1"/>
    <col min="13057" max="13057" width="16.1640625" style="1" customWidth="1"/>
    <col min="13058" max="13058" width="9" style="1"/>
    <col min="13059" max="13059" width="24.5" style="1" customWidth="1"/>
    <col min="13060" max="13060" width="12.5" style="1" customWidth="1"/>
    <col min="13061" max="13061" width="15.33203125" style="1" customWidth="1"/>
    <col min="13062" max="13062" width="16.1640625" style="1" customWidth="1"/>
    <col min="13063" max="13312" width="9" style="1"/>
    <col min="13313" max="13313" width="16.1640625" style="1" customWidth="1"/>
    <col min="13314" max="13314" width="9" style="1"/>
    <col min="13315" max="13315" width="24.5" style="1" customWidth="1"/>
    <col min="13316" max="13316" width="12.5" style="1" customWidth="1"/>
    <col min="13317" max="13317" width="15.33203125" style="1" customWidth="1"/>
    <col min="13318" max="13318" width="16.1640625" style="1" customWidth="1"/>
    <col min="13319" max="13568" width="9" style="1"/>
    <col min="13569" max="13569" width="16.1640625" style="1" customWidth="1"/>
    <col min="13570" max="13570" width="9" style="1"/>
    <col min="13571" max="13571" width="24.5" style="1" customWidth="1"/>
    <col min="13572" max="13572" width="12.5" style="1" customWidth="1"/>
    <col min="13573" max="13573" width="15.33203125" style="1" customWidth="1"/>
    <col min="13574" max="13574" width="16.1640625" style="1" customWidth="1"/>
    <col min="13575" max="13824" width="9" style="1"/>
    <col min="13825" max="13825" width="16.1640625" style="1" customWidth="1"/>
    <col min="13826" max="13826" width="9" style="1"/>
    <col min="13827" max="13827" width="24.5" style="1" customWidth="1"/>
    <col min="13828" max="13828" width="12.5" style="1" customWidth="1"/>
    <col min="13829" max="13829" width="15.33203125" style="1" customWidth="1"/>
    <col min="13830" max="13830" width="16.1640625" style="1" customWidth="1"/>
    <col min="13831" max="14080" width="9" style="1"/>
    <col min="14081" max="14081" width="16.1640625" style="1" customWidth="1"/>
    <col min="14082" max="14082" width="9" style="1"/>
    <col min="14083" max="14083" width="24.5" style="1" customWidth="1"/>
    <col min="14084" max="14084" width="12.5" style="1" customWidth="1"/>
    <col min="14085" max="14085" width="15.33203125" style="1" customWidth="1"/>
    <col min="14086" max="14086" width="16.1640625" style="1" customWidth="1"/>
    <col min="14087" max="14336" width="9" style="1"/>
    <col min="14337" max="14337" width="16.1640625" style="1" customWidth="1"/>
    <col min="14338" max="14338" width="9" style="1"/>
    <col min="14339" max="14339" width="24.5" style="1" customWidth="1"/>
    <col min="14340" max="14340" width="12.5" style="1" customWidth="1"/>
    <col min="14341" max="14341" width="15.33203125" style="1" customWidth="1"/>
    <col min="14342" max="14342" width="16.1640625" style="1" customWidth="1"/>
    <col min="14343" max="14592" width="9" style="1"/>
    <col min="14593" max="14593" width="16.1640625" style="1" customWidth="1"/>
    <col min="14594" max="14594" width="9" style="1"/>
    <col min="14595" max="14595" width="24.5" style="1" customWidth="1"/>
    <col min="14596" max="14596" width="12.5" style="1" customWidth="1"/>
    <col min="14597" max="14597" width="15.33203125" style="1" customWidth="1"/>
    <col min="14598" max="14598" width="16.1640625" style="1" customWidth="1"/>
    <col min="14599" max="14848" width="9" style="1"/>
    <col min="14849" max="14849" width="16.1640625" style="1" customWidth="1"/>
    <col min="14850" max="14850" width="9" style="1"/>
    <col min="14851" max="14851" width="24.5" style="1" customWidth="1"/>
    <col min="14852" max="14852" width="12.5" style="1" customWidth="1"/>
    <col min="14853" max="14853" width="15.33203125" style="1" customWidth="1"/>
    <col min="14854" max="14854" width="16.1640625" style="1" customWidth="1"/>
    <col min="14855" max="15104" width="9" style="1"/>
    <col min="15105" max="15105" width="16.1640625" style="1" customWidth="1"/>
    <col min="15106" max="15106" width="9" style="1"/>
    <col min="15107" max="15107" width="24.5" style="1" customWidth="1"/>
    <col min="15108" max="15108" width="12.5" style="1" customWidth="1"/>
    <col min="15109" max="15109" width="15.33203125" style="1" customWidth="1"/>
    <col min="15110" max="15110" width="16.1640625" style="1" customWidth="1"/>
    <col min="15111" max="15360" width="9" style="1"/>
    <col min="15361" max="15361" width="16.1640625" style="1" customWidth="1"/>
    <col min="15362" max="15362" width="9" style="1"/>
    <col min="15363" max="15363" width="24.5" style="1" customWidth="1"/>
    <col min="15364" max="15364" width="12.5" style="1" customWidth="1"/>
    <col min="15365" max="15365" width="15.33203125" style="1" customWidth="1"/>
    <col min="15366" max="15366" width="16.1640625" style="1" customWidth="1"/>
    <col min="15367" max="15616" width="9" style="1"/>
    <col min="15617" max="15617" width="16.1640625" style="1" customWidth="1"/>
    <col min="15618" max="15618" width="9" style="1"/>
    <col min="15619" max="15619" width="24.5" style="1" customWidth="1"/>
    <col min="15620" max="15620" width="12.5" style="1" customWidth="1"/>
    <col min="15621" max="15621" width="15.33203125" style="1" customWidth="1"/>
    <col min="15622" max="15622" width="16.1640625" style="1" customWidth="1"/>
    <col min="15623" max="15872" width="9" style="1"/>
    <col min="15873" max="15873" width="16.1640625" style="1" customWidth="1"/>
    <col min="15874" max="15874" width="9" style="1"/>
    <col min="15875" max="15875" width="24.5" style="1" customWidth="1"/>
    <col min="15876" max="15876" width="12.5" style="1" customWidth="1"/>
    <col min="15877" max="15877" width="15.33203125" style="1" customWidth="1"/>
    <col min="15878" max="15878" width="16.1640625" style="1" customWidth="1"/>
    <col min="15879" max="16128" width="9" style="1"/>
    <col min="16129" max="16129" width="16.1640625" style="1" customWidth="1"/>
    <col min="16130" max="16130" width="9" style="1"/>
    <col min="16131" max="16131" width="24.5" style="1" customWidth="1"/>
    <col min="16132" max="16132" width="12.5" style="1" customWidth="1"/>
    <col min="16133" max="16133" width="15.33203125" style="1" customWidth="1"/>
    <col min="16134" max="16134" width="16.1640625" style="1" customWidth="1"/>
    <col min="16135" max="16384" width="9" style="1"/>
  </cols>
  <sheetData>
    <row r="1" spans="1:6">
      <c r="A1" s="1" t="s">
        <v>2</v>
      </c>
      <c r="B1" s="2">
        <v>0.08</v>
      </c>
    </row>
    <row r="2" spans="1:6">
      <c r="A2" s="1" t="s">
        <v>4</v>
      </c>
      <c r="B2" s="20">
        <f>(1+B1)^(1/365)-1</f>
        <v>2.1087439837685906E-4</v>
      </c>
    </row>
    <row r="4" spans="1:6" s="3" customFormat="1" ht="42">
      <c r="A4" s="3" t="s">
        <v>0</v>
      </c>
      <c r="B4" s="3" t="s">
        <v>5</v>
      </c>
      <c r="D4" s="4" t="s">
        <v>6</v>
      </c>
      <c r="E4" s="4" t="s">
        <v>7</v>
      </c>
    </row>
    <row r="5" spans="1:6">
      <c r="A5" s="5">
        <v>44635</v>
      </c>
      <c r="B5" s="6">
        <v>-1500</v>
      </c>
      <c r="E5" s="7">
        <f>B5/(1+$B$2)^D5</f>
        <v>-1500</v>
      </c>
    </row>
    <row r="6" spans="1:6">
      <c r="A6" s="5">
        <v>45034</v>
      </c>
      <c r="B6" s="1">
        <v>250</v>
      </c>
      <c r="D6" s="7">
        <f>A6-$A$5</f>
        <v>399</v>
      </c>
      <c r="E6" s="7">
        <f>B6/(1+$B$2)^D6</f>
        <v>229.82793104160194</v>
      </c>
    </row>
    <row r="7" spans="1:6">
      <c r="A7" s="5">
        <v>45099</v>
      </c>
      <c r="B7" s="1">
        <v>155</v>
      </c>
      <c r="D7" s="7">
        <f t="shared" ref="D7:D10" si="0">A7-$A$5</f>
        <v>464</v>
      </c>
      <c r="E7" s="7">
        <f t="shared" ref="E6:E10" si="1">B7/(1+$B$2)^D7</f>
        <v>140.55371251543573</v>
      </c>
    </row>
    <row r="8" spans="1:6">
      <c r="A8" s="5">
        <v>45611</v>
      </c>
      <c r="B8" s="1">
        <v>610</v>
      </c>
      <c r="D8" s="7">
        <f t="shared" si="0"/>
        <v>976</v>
      </c>
      <c r="E8" s="7">
        <f t="shared" si="1"/>
        <v>496.54158769085012</v>
      </c>
    </row>
    <row r="9" spans="1:6">
      <c r="A9" s="5">
        <v>45704</v>
      </c>
      <c r="B9" s="1">
        <v>222</v>
      </c>
      <c r="D9" s="7">
        <f t="shared" si="0"/>
        <v>1069</v>
      </c>
      <c r="E9" s="7">
        <f t="shared" si="1"/>
        <v>177.19953514261871</v>
      </c>
    </row>
    <row r="10" spans="1:6">
      <c r="A10" s="5">
        <v>45949</v>
      </c>
      <c r="B10" s="1">
        <v>100</v>
      </c>
      <c r="D10" s="7">
        <f t="shared" si="0"/>
        <v>1314</v>
      </c>
      <c r="E10" s="7">
        <f t="shared" si="1"/>
        <v>75.800920615526465</v>
      </c>
    </row>
    <row r="11" spans="1:6">
      <c r="E11" s="7"/>
    </row>
    <row r="12" spans="1:6">
      <c r="A12" s="8" t="s">
        <v>3</v>
      </c>
      <c r="B12" s="22">
        <f>XNPV(B1,B5:B10,A5:A10)</f>
        <v>-380.07631299404545</v>
      </c>
      <c r="C12" s="1" t="str">
        <f ca="1">getformula(B12)</f>
        <v>&lt;-- =XNPV(B1,B5:B10,A5:A10)</v>
      </c>
      <c r="E12" s="21">
        <f>SUM(E5:E10)</f>
        <v>-380.07631299396701</v>
      </c>
      <c r="F12" s="9" t="s">
        <v>8</v>
      </c>
    </row>
  </sheetData>
  <phoneticPr fontId="5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21"/>
  <sheetViews>
    <sheetView tabSelected="1" zoomScaleNormal="100" workbookViewId="0">
      <selection activeCell="B16" sqref="B16"/>
    </sheetView>
  </sheetViews>
  <sheetFormatPr baseColWidth="10" defaultColWidth="8.83203125" defaultRowHeight="13"/>
  <cols>
    <col min="1" max="1" width="12" style="1" customWidth="1"/>
    <col min="2" max="2" width="9.1640625" style="1" customWidth="1"/>
    <col min="3" max="3" width="23.6640625" style="1" bestFit="1" customWidth="1"/>
    <col min="4" max="4" width="8.5" style="1" bestFit="1" customWidth="1"/>
    <col min="5" max="5" width="17.33203125" style="1" bestFit="1" customWidth="1"/>
    <col min="6" max="6" width="13.1640625" style="1" bestFit="1" customWidth="1"/>
    <col min="7" max="256" width="9" style="1"/>
    <col min="257" max="257" width="12" style="1" customWidth="1"/>
    <col min="258" max="258" width="9.1640625" style="1" customWidth="1"/>
    <col min="259" max="259" width="23.6640625" style="1" bestFit="1" customWidth="1"/>
    <col min="260" max="260" width="8.5" style="1" bestFit="1" customWidth="1"/>
    <col min="261" max="261" width="9" style="1"/>
    <col min="262" max="262" width="8.1640625" style="1" bestFit="1" customWidth="1"/>
    <col min="263" max="512" width="9" style="1"/>
    <col min="513" max="513" width="12" style="1" customWidth="1"/>
    <col min="514" max="514" width="9.1640625" style="1" customWidth="1"/>
    <col min="515" max="515" width="23.6640625" style="1" bestFit="1" customWidth="1"/>
    <col min="516" max="516" width="8.5" style="1" bestFit="1" customWidth="1"/>
    <col min="517" max="517" width="9" style="1"/>
    <col min="518" max="518" width="8.1640625" style="1" bestFit="1" customWidth="1"/>
    <col min="519" max="768" width="9" style="1"/>
    <col min="769" max="769" width="12" style="1" customWidth="1"/>
    <col min="770" max="770" width="9.1640625" style="1" customWidth="1"/>
    <col min="771" max="771" width="23.6640625" style="1" bestFit="1" customWidth="1"/>
    <col min="772" max="772" width="8.5" style="1" bestFit="1" customWidth="1"/>
    <col min="773" max="773" width="9" style="1"/>
    <col min="774" max="774" width="8.1640625" style="1" bestFit="1" customWidth="1"/>
    <col min="775" max="1024" width="9" style="1"/>
    <col min="1025" max="1025" width="12" style="1" customWidth="1"/>
    <col min="1026" max="1026" width="9.1640625" style="1" customWidth="1"/>
    <col min="1027" max="1027" width="23.6640625" style="1" bestFit="1" customWidth="1"/>
    <col min="1028" max="1028" width="8.5" style="1" bestFit="1" customWidth="1"/>
    <col min="1029" max="1029" width="9" style="1"/>
    <col min="1030" max="1030" width="8.1640625" style="1" bestFit="1" customWidth="1"/>
    <col min="1031" max="1280" width="9" style="1"/>
    <col min="1281" max="1281" width="12" style="1" customWidth="1"/>
    <col min="1282" max="1282" width="9.1640625" style="1" customWidth="1"/>
    <col min="1283" max="1283" width="23.6640625" style="1" bestFit="1" customWidth="1"/>
    <col min="1284" max="1284" width="8.5" style="1" bestFit="1" customWidth="1"/>
    <col min="1285" max="1285" width="9" style="1"/>
    <col min="1286" max="1286" width="8.1640625" style="1" bestFit="1" customWidth="1"/>
    <col min="1287" max="1536" width="9" style="1"/>
    <col min="1537" max="1537" width="12" style="1" customWidth="1"/>
    <col min="1538" max="1538" width="9.1640625" style="1" customWidth="1"/>
    <col min="1539" max="1539" width="23.6640625" style="1" bestFit="1" customWidth="1"/>
    <col min="1540" max="1540" width="8.5" style="1" bestFit="1" customWidth="1"/>
    <col min="1541" max="1541" width="9" style="1"/>
    <col min="1542" max="1542" width="8.1640625" style="1" bestFit="1" customWidth="1"/>
    <col min="1543" max="1792" width="9" style="1"/>
    <col min="1793" max="1793" width="12" style="1" customWidth="1"/>
    <col min="1794" max="1794" width="9.1640625" style="1" customWidth="1"/>
    <col min="1795" max="1795" width="23.6640625" style="1" bestFit="1" customWidth="1"/>
    <col min="1796" max="1796" width="8.5" style="1" bestFit="1" customWidth="1"/>
    <col min="1797" max="1797" width="9" style="1"/>
    <col min="1798" max="1798" width="8.1640625" style="1" bestFit="1" customWidth="1"/>
    <col min="1799" max="2048" width="9" style="1"/>
    <col min="2049" max="2049" width="12" style="1" customWidth="1"/>
    <col min="2050" max="2050" width="9.1640625" style="1" customWidth="1"/>
    <col min="2051" max="2051" width="23.6640625" style="1" bestFit="1" customWidth="1"/>
    <col min="2052" max="2052" width="8.5" style="1" bestFit="1" customWidth="1"/>
    <col min="2053" max="2053" width="9" style="1"/>
    <col min="2054" max="2054" width="8.1640625" style="1" bestFit="1" customWidth="1"/>
    <col min="2055" max="2304" width="9" style="1"/>
    <col min="2305" max="2305" width="12" style="1" customWidth="1"/>
    <col min="2306" max="2306" width="9.1640625" style="1" customWidth="1"/>
    <col min="2307" max="2307" width="23.6640625" style="1" bestFit="1" customWidth="1"/>
    <col min="2308" max="2308" width="8.5" style="1" bestFit="1" customWidth="1"/>
    <col min="2309" max="2309" width="9" style="1"/>
    <col min="2310" max="2310" width="8.1640625" style="1" bestFit="1" customWidth="1"/>
    <col min="2311" max="2560" width="9" style="1"/>
    <col min="2561" max="2561" width="12" style="1" customWidth="1"/>
    <col min="2562" max="2562" width="9.1640625" style="1" customWidth="1"/>
    <col min="2563" max="2563" width="23.6640625" style="1" bestFit="1" customWidth="1"/>
    <col min="2564" max="2564" width="8.5" style="1" bestFit="1" customWidth="1"/>
    <col min="2565" max="2565" width="9" style="1"/>
    <col min="2566" max="2566" width="8.1640625" style="1" bestFit="1" customWidth="1"/>
    <col min="2567" max="2816" width="9" style="1"/>
    <col min="2817" max="2817" width="12" style="1" customWidth="1"/>
    <col min="2818" max="2818" width="9.1640625" style="1" customWidth="1"/>
    <col min="2819" max="2819" width="23.6640625" style="1" bestFit="1" customWidth="1"/>
    <col min="2820" max="2820" width="8.5" style="1" bestFit="1" customWidth="1"/>
    <col min="2821" max="2821" width="9" style="1"/>
    <col min="2822" max="2822" width="8.1640625" style="1" bestFit="1" customWidth="1"/>
    <col min="2823" max="3072" width="9" style="1"/>
    <col min="3073" max="3073" width="12" style="1" customWidth="1"/>
    <col min="3074" max="3074" width="9.1640625" style="1" customWidth="1"/>
    <col min="3075" max="3075" width="23.6640625" style="1" bestFit="1" customWidth="1"/>
    <col min="3076" max="3076" width="8.5" style="1" bestFit="1" customWidth="1"/>
    <col min="3077" max="3077" width="9" style="1"/>
    <col min="3078" max="3078" width="8.1640625" style="1" bestFit="1" customWidth="1"/>
    <col min="3079" max="3328" width="9" style="1"/>
    <col min="3329" max="3329" width="12" style="1" customWidth="1"/>
    <col min="3330" max="3330" width="9.1640625" style="1" customWidth="1"/>
    <col min="3331" max="3331" width="23.6640625" style="1" bestFit="1" customWidth="1"/>
    <col min="3332" max="3332" width="8.5" style="1" bestFit="1" customWidth="1"/>
    <col min="3333" max="3333" width="9" style="1"/>
    <col min="3334" max="3334" width="8.1640625" style="1" bestFit="1" customWidth="1"/>
    <col min="3335" max="3584" width="9" style="1"/>
    <col min="3585" max="3585" width="12" style="1" customWidth="1"/>
    <col min="3586" max="3586" width="9.1640625" style="1" customWidth="1"/>
    <col min="3587" max="3587" width="23.6640625" style="1" bestFit="1" customWidth="1"/>
    <col min="3588" max="3588" width="8.5" style="1" bestFit="1" customWidth="1"/>
    <col min="3589" max="3589" width="9" style="1"/>
    <col min="3590" max="3590" width="8.1640625" style="1" bestFit="1" customWidth="1"/>
    <col min="3591" max="3840" width="9" style="1"/>
    <col min="3841" max="3841" width="12" style="1" customWidth="1"/>
    <col min="3842" max="3842" width="9.1640625" style="1" customWidth="1"/>
    <col min="3843" max="3843" width="23.6640625" style="1" bestFit="1" customWidth="1"/>
    <col min="3844" max="3844" width="8.5" style="1" bestFit="1" customWidth="1"/>
    <col min="3845" max="3845" width="9" style="1"/>
    <col min="3846" max="3846" width="8.1640625" style="1" bestFit="1" customWidth="1"/>
    <col min="3847" max="4096" width="9" style="1"/>
    <col min="4097" max="4097" width="12" style="1" customWidth="1"/>
    <col min="4098" max="4098" width="9.1640625" style="1" customWidth="1"/>
    <col min="4099" max="4099" width="23.6640625" style="1" bestFit="1" customWidth="1"/>
    <col min="4100" max="4100" width="8.5" style="1" bestFit="1" customWidth="1"/>
    <col min="4101" max="4101" width="9" style="1"/>
    <col min="4102" max="4102" width="8.1640625" style="1" bestFit="1" customWidth="1"/>
    <col min="4103" max="4352" width="9" style="1"/>
    <col min="4353" max="4353" width="12" style="1" customWidth="1"/>
    <col min="4354" max="4354" width="9.1640625" style="1" customWidth="1"/>
    <col min="4355" max="4355" width="23.6640625" style="1" bestFit="1" customWidth="1"/>
    <col min="4356" max="4356" width="8.5" style="1" bestFit="1" customWidth="1"/>
    <col min="4357" max="4357" width="9" style="1"/>
    <col min="4358" max="4358" width="8.1640625" style="1" bestFit="1" customWidth="1"/>
    <col min="4359" max="4608" width="9" style="1"/>
    <col min="4609" max="4609" width="12" style="1" customWidth="1"/>
    <col min="4610" max="4610" width="9.1640625" style="1" customWidth="1"/>
    <col min="4611" max="4611" width="23.6640625" style="1" bestFit="1" customWidth="1"/>
    <col min="4612" max="4612" width="8.5" style="1" bestFit="1" customWidth="1"/>
    <col min="4613" max="4613" width="9" style="1"/>
    <col min="4614" max="4614" width="8.1640625" style="1" bestFit="1" customWidth="1"/>
    <col min="4615" max="4864" width="9" style="1"/>
    <col min="4865" max="4865" width="12" style="1" customWidth="1"/>
    <col min="4866" max="4866" width="9.1640625" style="1" customWidth="1"/>
    <col min="4867" max="4867" width="23.6640625" style="1" bestFit="1" customWidth="1"/>
    <col min="4868" max="4868" width="8.5" style="1" bestFit="1" customWidth="1"/>
    <col min="4869" max="4869" width="9" style="1"/>
    <col min="4870" max="4870" width="8.1640625" style="1" bestFit="1" customWidth="1"/>
    <col min="4871" max="5120" width="9" style="1"/>
    <col min="5121" max="5121" width="12" style="1" customWidth="1"/>
    <col min="5122" max="5122" width="9.1640625" style="1" customWidth="1"/>
    <col min="5123" max="5123" width="23.6640625" style="1" bestFit="1" customWidth="1"/>
    <col min="5124" max="5124" width="8.5" style="1" bestFit="1" customWidth="1"/>
    <col min="5125" max="5125" width="9" style="1"/>
    <col min="5126" max="5126" width="8.1640625" style="1" bestFit="1" customWidth="1"/>
    <col min="5127" max="5376" width="9" style="1"/>
    <col min="5377" max="5377" width="12" style="1" customWidth="1"/>
    <col min="5378" max="5378" width="9.1640625" style="1" customWidth="1"/>
    <col min="5379" max="5379" width="23.6640625" style="1" bestFit="1" customWidth="1"/>
    <col min="5380" max="5380" width="8.5" style="1" bestFit="1" customWidth="1"/>
    <col min="5381" max="5381" width="9" style="1"/>
    <col min="5382" max="5382" width="8.1640625" style="1" bestFit="1" customWidth="1"/>
    <col min="5383" max="5632" width="9" style="1"/>
    <col min="5633" max="5633" width="12" style="1" customWidth="1"/>
    <col min="5634" max="5634" width="9.1640625" style="1" customWidth="1"/>
    <col min="5635" max="5635" width="23.6640625" style="1" bestFit="1" customWidth="1"/>
    <col min="5636" max="5636" width="8.5" style="1" bestFit="1" customWidth="1"/>
    <col min="5637" max="5637" width="9" style="1"/>
    <col min="5638" max="5638" width="8.1640625" style="1" bestFit="1" customWidth="1"/>
    <col min="5639" max="5888" width="9" style="1"/>
    <col min="5889" max="5889" width="12" style="1" customWidth="1"/>
    <col min="5890" max="5890" width="9.1640625" style="1" customWidth="1"/>
    <col min="5891" max="5891" width="23.6640625" style="1" bestFit="1" customWidth="1"/>
    <col min="5892" max="5892" width="8.5" style="1" bestFit="1" customWidth="1"/>
    <col min="5893" max="5893" width="9" style="1"/>
    <col min="5894" max="5894" width="8.1640625" style="1" bestFit="1" customWidth="1"/>
    <col min="5895" max="6144" width="9" style="1"/>
    <col min="6145" max="6145" width="12" style="1" customWidth="1"/>
    <col min="6146" max="6146" width="9.1640625" style="1" customWidth="1"/>
    <col min="6147" max="6147" width="23.6640625" style="1" bestFit="1" customWidth="1"/>
    <col min="6148" max="6148" width="8.5" style="1" bestFit="1" customWidth="1"/>
    <col min="6149" max="6149" width="9" style="1"/>
    <col min="6150" max="6150" width="8.1640625" style="1" bestFit="1" customWidth="1"/>
    <col min="6151" max="6400" width="9" style="1"/>
    <col min="6401" max="6401" width="12" style="1" customWidth="1"/>
    <col min="6402" max="6402" width="9.1640625" style="1" customWidth="1"/>
    <col min="6403" max="6403" width="23.6640625" style="1" bestFit="1" customWidth="1"/>
    <col min="6404" max="6404" width="8.5" style="1" bestFit="1" customWidth="1"/>
    <col min="6405" max="6405" width="9" style="1"/>
    <col min="6406" max="6406" width="8.1640625" style="1" bestFit="1" customWidth="1"/>
    <col min="6407" max="6656" width="9" style="1"/>
    <col min="6657" max="6657" width="12" style="1" customWidth="1"/>
    <col min="6658" max="6658" width="9.1640625" style="1" customWidth="1"/>
    <col min="6659" max="6659" width="23.6640625" style="1" bestFit="1" customWidth="1"/>
    <col min="6660" max="6660" width="8.5" style="1" bestFit="1" customWidth="1"/>
    <col min="6661" max="6661" width="9" style="1"/>
    <col min="6662" max="6662" width="8.1640625" style="1" bestFit="1" customWidth="1"/>
    <col min="6663" max="6912" width="9" style="1"/>
    <col min="6913" max="6913" width="12" style="1" customWidth="1"/>
    <col min="6914" max="6914" width="9.1640625" style="1" customWidth="1"/>
    <col min="6915" max="6915" width="23.6640625" style="1" bestFit="1" customWidth="1"/>
    <col min="6916" max="6916" width="8.5" style="1" bestFit="1" customWidth="1"/>
    <col min="6917" max="6917" width="9" style="1"/>
    <col min="6918" max="6918" width="8.1640625" style="1" bestFit="1" customWidth="1"/>
    <col min="6919" max="7168" width="9" style="1"/>
    <col min="7169" max="7169" width="12" style="1" customWidth="1"/>
    <col min="7170" max="7170" width="9.1640625" style="1" customWidth="1"/>
    <col min="7171" max="7171" width="23.6640625" style="1" bestFit="1" customWidth="1"/>
    <col min="7172" max="7172" width="8.5" style="1" bestFit="1" customWidth="1"/>
    <col min="7173" max="7173" width="9" style="1"/>
    <col min="7174" max="7174" width="8.1640625" style="1" bestFit="1" customWidth="1"/>
    <col min="7175" max="7424" width="9" style="1"/>
    <col min="7425" max="7425" width="12" style="1" customWidth="1"/>
    <col min="7426" max="7426" width="9.1640625" style="1" customWidth="1"/>
    <col min="7427" max="7427" width="23.6640625" style="1" bestFit="1" customWidth="1"/>
    <col min="7428" max="7428" width="8.5" style="1" bestFit="1" customWidth="1"/>
    <col min="7429" max="7429" width="9" style="1"/>
    <col min="7430" max="7430" width="8.1640625" style="1" bestFit="1" customWidth="1"/>
    <col min="7431" max="7680" width="9" style="1"/>
    <col min="7681" max="7681" width="12" style="1" customWidth="1"/>
    <col min="7682" max="7682" width="9.1640625" style="1" customWidth="1"/>
    <col min="7683" max="7683" width="23.6640625" style="1" bestFit="1" customWidth="1"/>
    <col min="7684" max="7684" width="8.5" style="1" bestFit="1" customWidth="1"/>
    <col min="7685" max="7685" width="9" style="1"/>
    <col min="7686" max="7686" width="8.1640625" style="1" bestFit="1" customWidth="1"/>
    <col min="7687" max="7936" width="9" style="1"/>
    <col min="7937" max="7937" width="12" style="1" customWidth="1"/>
    <col min="7938" max="7938" width="9.1640625" style="1" customWidth="1"/>
    <col min="7939" max="7939" width="23.6640625" style="1" bestFit="1" customWidth="1"/>
    <col min="7940" max="7940" width="8.5" style="1" bestFit="1" customWidth="1"/>
    <col min="7941" max="7941" width="9" style="1"/>
    <col min="7942" max="7942" width="8.1640625" style="1" bestFit="1" customWidth="1"/>
    <col min="7943" max="8192" width="9" style="1"/>
    <col min="8193" max="8193" width="12" style="1" customWidth="1"/>
    <col min="8194" max="8194" width="9.1640625" style="1" customWidth="1"/>
    <col min="8195" max="8195" width="23.6640625" style="1" bestFit="1" customWidth="1"/>
    <col min="8196" max="8196" width="8.5" style="1" bestFit="1" customWidth="1"/>
    <col min="8197" max="8197" width="9" style="1"/>
    <col min="8198" max="8198" width="8.1640625" style="1" bestFit="1" customWidth="1"/>
    <col min="8199" max="8448" width="9" style="1"/>
    <col min="8449" max="8449" width="12" style="1" customWidth="1"/>
    <col min="8450" max="8450" width="9.1640625" style="1" customWidth="1"/>
    <col min="8451" max="8451" width="23.6640625" style="1" bestFit="1" customWidth="1"/>
    <col min="8452" max="8452" width="8.5" style="1" bestFit="1" customWidth="1"/>
    <col min="8453" max="8453" width="9" style="1"/>
    <col min="8454" max="8454" width="8.1640625" style="1" bestFit="1" customWidth="1"/>
    <col min="8455" max="8704" width="9" style="1"/>
    <col min="8705" max="8705" width="12" style="1" customWidth="1"/>
    <col min="8706" max="8706" width="9.1640625" style="1" customWidth="1"/>
    <col min="8707" max="8707" width="23.6640625" style="1" bestFit="1" customWidth="1"/>
    <col min="8708" max="8708" width="8.5" style="1" bestFit="1" customWidth="1"/>
    <col min="8709" max="8709" width="9" style="1"/>
    <col min="8710" max="8710" width="8.1640625" style="1" bestFit="1" customWidth="1"/>
    <col min="8711" max="8960" width="9" style="1"/>
    <col min="8961" max="8961" width="12" style="1" customWidth="1"/>
    <col min="8962" max="8962" width="9.1640625" style="1" customWidth="1"/>
    <col min="8963" max="8963" width="23.6640625" style="1" bestFit="1" customWidth="1"/>
    <col min="8964" max="8964" width="8.5" style="1" bestFit="1" customWidth="1"/>
    <col min="8965" max="8965" width="9" style="1"/>
    <col min="8966" max="8966" width="8.1640625" style="1" bestFit="1" customWidth="1"/>
    <col min="8967" max="9216" width="9" style="1"/>
    <col min="9217" max="9217" width="12" style="1" customWidth="1"/>
    <col min="9218" max="9218" width="9.1640625" style="1" customWidth="1"/>
    <col min="9219" max="9219" width="23.6640625" style="1" bestFit="1" customWidth="1"/>
    <col min="9220" max="9220" width="8.5" style="1" bestFit="1" customWidth="1"/>
    <col min="9221" max="9221" width="9" style="1"/>
    <col min="9222" max="9222" width="8.1640625" style="1" bestFit="1" customWidth="1"/>
    <col min="9223" max="9472" width="9" style="1"/>
    <col min="9473" max="9473" width="12" style="1" customWidth="1"/>
    <col min="9474" max="9474" width="9.1640625" style="1" customWidth="1"/>
    <col min="9475" max="9475" width="23.6640625" style="1" bestFit="1" customWidth="1"/>
    <col min="9476" max="9476" width="8.5" style="1" bestFit="1" customWidth="1"/>
    <col min="9477" max="9477" width="9" style="1"/>
    <col min="9478" max="9478" width="8.1640625" style="1" bestFit="1" customWidth="1"/>
    <col min="9479" max="9728" width="9" style="1"/>
    <col min="9729" max="9729" width="12" style="1" customWidth="1"/>
    <col min="9730" max="9730" width="9.1640625" style="1" customWidth="1"/>
    <col min="9731" max="9731" width="23.6640625" style="1" bestFit="1" customWidth="1"/>
    <col min="9732" max="9732" width="8.5" style="1" bestFit="1" customWidth="1"/>
    <col min="9733" max="9733" width="9" style="1"/>
    <col min="9734" max="9734" width="8.1640625" style="1" bestFit="1" customWidth="1"/>
    <col min="9735" max="9984" width="9" style="1"/>
    <col min="9985" max="9985" width="12" style="1" customWidth="1"/>
    <col min="9986" max="9986" width="9.1640625" style="1" customWidth="1"/>
    <col min="9987" max="9987" width="23.6640625" style="1" bestFit="1" customWidth="1"/>
    <col min="9988" max="9988" width="8.5" style="1" bestFit="1" customWidth="1"/>
    <col min="9989" max="9989" width="9" style="1"/>
    <col min="9990" max="9990" width="8.1640625" style="1" bestFit="1" customWidth="1"/>
    <col min="9991" max="10240" width="9" style="1"/>
    <col min="10241" max="10241" width="12" style="1" customWidth="1"/>
    <col min="10242" max="10242" width="9.1640625" style="1" customWidth="1"/>
    <col min="10243" max="10243" width="23.6640625" style="1" bestFit="1" customWidth="1"/>
    <col min="10244" max="10244" width="8.5" style="1" bestFit="1" customWidth="1"/>
    <col min="10245" max="10245" width="9" style="1"/>
    <col min="10246" max="10246" width="8.1640625" style="1" bestFit="1" customWidth="1"/>
    <col min="10247" max="10496" width="9" style="1"/>
    <col min="10497" max="10497" width="12" style="1" customWidth="1"/>
    <col min="10498" max="10498" width="9.1640625" style="1" customWidth="1"/>
    <col min="10499" max="10499" width="23.6640625" style="1" bestFit="1" customWidth="1"/>
    <col min="10500" max="10500" width="8.5" style="1" bestFit="1" customWidth="1"/>
    <col min="10501" max="10501" width="9" style="1"/>
    <col min="10502" max="10502" width="8.1640625" style="1" bestFit="1" customWidth="1"/>
    <col min="10503" max="10752" width="9" style="1"/>
    <col min="10753" max="10753" width="12" style="1" customWidth="1"/>
    <col min="10754" max="10754" width="9.1640625" style="1" customWidth="1"/>
    <col min="10755" max="10755" width="23.6640625" style="1" bestFit="1" customWidth="1"/>
    <col min="10756" max="10756" width="8.5" style="1" bestFit="1" customWidth="1"/>
    <col min="10757" max="10757" width="9" style="1"/>
    <col min="10758" max="10758" width="8.1640625" style="1" bestFit="1" customWidth="1"/>
    <col min="10759" max="11008" width="9" style="1"/>
    <col min="11009" max="11009" width="12" style="1" customWidth="1"/>
    <col min="11010" max="11010" width="9.1640625" style="1" customWidth="1"/>
    <col min="11011" max="11011" width="23.6640625" style="1" bestFit="1" customWidth="1"/>
    <col min="11012" max="11012" width="8.5" style="1" bestFit="1" customWidth="1"/>
    <col min="11013" max="11013" width="9" style="1"/>
    <col min="11014" max="11014" width="8.1640625" style="1" bestFit="1" customWidth="1"/>
    <col min="11015" max="11264" width="9" style="1"/>
    <col min="11265" max="11265" width="12" style="1" customWidth="1"/>
    <col min="11266" max="11266" width="9.1640625" style="1" customWidth="1"/>
    <col min="11267" max="11267" width="23.6640625" style="1" bestFit="1" customWidth="1"/>
    <col min="11268" max="11268" width="8.5" style="1" bestFit="1" customWidth="1"/>
    <col min="11269" max="11269" width="9" style="1"/>
    <col min="11270" max="11270" width="8.1640625" style="1" bestFit="1" customWidth="1"/>
    <col min="11271" max="11520" width="9" style="1"/>
    <col min="11521" max="11521" width="12" style="1" customWidth="1"/>
    <col min="11522" max="11522" width="9.1640625" style="1" customWidth="1"/>
    <col min="11523" max="11523" width="23.6640625" style="1" bestFit="1" customWidth="1"/>
    <col min="11524" max="11524" width="8.5" style="1" bestFit="1" customWidth="1"/>
    <col min="11525" max="11525" width="9" style="1"/>
    <col min="11526" max="11526" width="8.1640625" style="1" bestFit="1" customWidth="1"/>
    <col min="11527" max="11776" width="9" style="1"/>
    <col min="11777" max="11777" width="12" style="1" customWidth="1"/>
    <col min="11778" max="11778" width="9.1640625" style="1" customWidth="1"/>
    <col min="11779" max="11779" width="23.6640625" style="1" bestFit="1" customWidth="1"/>
    <col min="11780" max="11780" width="8.5" style="1" bestFit="1" customWidth="1"/>
    <col min="11781" max="11781" width="9" style="1"/>
    <col min="11782" max="11782" width="8.1640625" style="1" bestFit="1" customWidth="1"/>
    <col min="11783" max="12032" width="9" style="1"/>
    <col min="12033" max="12033" width="12" style="1" customWidth="1"/>
    <col min="12034" max="12034" width="9.1640625" style="1" customWidth="1"/>
    <col min="12035" max="12035" width="23.6640625" style="1" bestFit="1" customWidth="1"/>
    <col min="12036" max="12036" width="8.5" style="1" bestFit="1" customWidth="1"/>
    <col min="12037" max="12037" width="9" style="1"/>
    <col min="12038" max="12038" width="8.1640625" style="1" bestFit="1" customWidth="1"/>
    <col min="12039" max="12288" width="9" style="1"/>
    <col min="12289" max="12289" width="12" style="1" customWidth="1"/>
    <col min="12290" max="12290" width="9.1640625" style="1" customWidth="1"/>
    <col min="12291" max="12291" width="23.6640625" style="1" bestFit="1" customWidth="1"/>
    <col min="12292" max="12292" width="8.5" style="1" bestFit="1" customWidth="1"/>
    <col min="12293" max="12293" width="9" style="1"/>
    <col min="12294" max="12294" width="8.1640625" style="1" bestFit="1" customWidth="1"/>
    <col min="12295" max="12544" width="9" style="1"/>
    <col min="12545" max="12545" width="12" style="1" customWidth="1"/>
    <col min="12546" max="12546" width="9.1640625" style="1" customWidth="1"/>
    <col min="12547" max="12547" width="23.6640625" style="1" bestFit="1" customWidth="1"/>
    <col min="12548" max="12548" width="8.5" style="1" bestFit="1" customWidth="1"/>
    <col min="12549" max="12549" width="9" style="1"/>
    <col min="12550" max="12550" width="8.1640625" style="1" bestFit="1" customWidth="1"/>
    <col min="12551" max="12800" width="9" style="1"/>
    <col min="12801" max="12801" width="12" style="1" customWidth="1"/>
    <col min="12802" max="12802" width="9.1640625" style="1" customWidth="1"/>
    <col min="12803" max="12803" width="23.6640625" style="1" bestFit="1" customWidth="1"/>
    <col min="12804" max="12804" width="8.5" style="1" bestFit="1" customWidth="1"/>
    <col min="12805" max="12805" width="9" style="1"/>
    <col min="12806" max="12806" width="8.1640625" style="1" bestFit="1" customWidth="1"/>
    <col min="12807" max="13056" width="9" style="1"/>
    <col min="13057" max="13057" width="12" style="1" customWidth="1"/>
    <col min="13058" max="13058" width="9.1640625" style="1" customWidth="1"/>
    <col min="13059" max="13059" width="23.6640625" style="1" bestFit="1" customWidth="1"/>
    <col min="13060" max="13060" width="8.5" style="1" bestFit="1" customWidth="1"/>
    <col min="13061" max="13061" width="9" style="1"/>
    <col min="13062" max="13062" width="8.1640625" style="1" bestFit="1" customWidth="1"/>
    <col min="13063" max="13312" width="9" style="1"/>
    <col min="13313" max="13313" width="12" style="1" customWidth="1"/>
    <col min="13314" max="13314" width="9.1640625" style="1" customWidth="1"/>
    <col min="13315" max="13315" width="23.6640625" style="1" bestFit="1" customWidth="1"/>
    <col min="13316" max="13316" width="8.5" style="1" bestFit="1" customWidth="1"/>
    <col min="13317" max="13317" width="9" style="1"/>
    <col min="13318" max="13318" width="8.1640625" style="1" bestFit="1" customWidth="1"/>
    <col min="13319" max="13568" width="9" style="1"/>
    <col min="13569" max="13569" width="12" style="1" customWidth="1"/>
    <col min="13570" max="13570" width="9.1640625" style="1" customWidth="1"/>
    <col min="13571" max="13571" width="23.6640625" style="1" bestFit="1" customWidth="1"/>
    <col min="13572" max="13572" width="8.5" style="1" bestFit="1" customWidth="1"/>
    <col min="13573" max="13573" width="9" style="1"/>
    <col min="13574" max="13574" width="8.1640625" style="1" bestFit="1" customWidth="1"/>
    <col min="13575" max="13824" width="9" style="1"/>
    <col min="13825" max="13825" width="12" style="1" customWidth="1"/>
    <col min="13826" max="13826" width="9.1640625" style="1" customWidth="1"/>
    <col min="13827" max="13827" width="23.6640625" style="1" bestFit="1" customWidth="1"/>
    <col min="13828" max="13828" width="8.5" style="1" bestFit="1" customWidth="1"/>
    <col min="13829" max="13829" width="9" style="1"/>
    <col min="13830" max="13830" width="8.1640625" style="1" bestFit="1" customWidth="1"/>
    <col min="13831" max="14080" width="9" style="1"/>
    <col min="14081" max="14081" width="12" style="1" customWidth="1"/>
    <col min="14082" max="14082" width="9.1640625" style="1" customWidth="1"/>
    <col min="14083" max="14083" width="23.6640625" style="1" bestFit="1" customWidth="1"/>
    <col min="14084" max="14084" width="8.5" style="1" bestFit="1" customWidth="1"/>
    <col min="14085" max="14085" width="9" style="1"/>
    <col min="14086" max="14086" width="8.1640625" style="1" bestFit="1" customWidth="1"/>
    <col min="14087" max="14336" width="9" style="1"/>
    <col min="14337" max="14337" width="12" style="1" customWidth="1"/>
    <col min="14338" max="14338" width="9.1640625" style="1" customWidth="1"/>
    <col min="14339" max="14339" width="23.6640625" style="1" bestFit="1" customWidth="1"/>
    <col min="14340" max="14340" width="8.5" style="1" bestFit="1" customWidth="1"/>
    <col min="14341" max="14341" width="9" style="1"/>
    <col min="14342" max="14342" width="8.1640625" style="1" bestFit="1" customWidth="1"/>
    <col min="14343" max="14592" width="9" style="1"/>
    <col min="14593" max="14593" width="12" style="1" customWidth="1"/>
    <col min="14594" max="14594" width="9.1640625" style="1" customWidth="1"/>
    <col min="14595" max="14595" width="23.6640625" style="1" bestFit="1" customWidth="1"/>
    <col min="14596" max="14596" width="8.5" style="1" bestFit="1" customWidth="1"/>
    <col min="14597" max="14597" width="9" style="1"/>
    <col min="14598" max="14598" width="8.1640625" style="1" bestFit="1" customWidth="1"/>
    <col min="14599" max="14848" width="9" style="1"/>
    <col min="14849" max="14849" width="12" style="1" customWidth="1"/>
    <col min="14850" max="14850" width="9.1640625" style="1" customWidth="1"/>
    <col min="14851" max="14851" width="23.6640625" style="1" bestFit="1" customWidth="1"/>
    <col min="14852" max="14852" width="8.5" style="1" bestFit="1" customWidth="1"/>
    <col min="14853" max="14853" width="9" style="1"/>
    <col min="14854" max="14854" width="8.1640625" style="1" bestFit="1" customWidth="1"/>
    <col min="14855" max="15104" width="9" style="1"/>
    <col min="15105" max="15105" width="12" style="1" customWidth="1"/>
    <col min="15106" max="15106" width="9.1640625" style="1" customWidth="1"/>
    <col min="15107" max="15107" width="23.6640625" style="1" bestFit="1" customWidth="1"/>
    <col min="15108" max="15108" width="8.5" style="1" bestFit="1" customWidth="1"/>
    <col min="15109" max="15109" width="9" style="1"/>
    <col min="15110" max="15110" width="8.1640625" style="1" bestFit="1" customWidth="1"/>
    <col min="15111" max="15360" width="9" style="1"/>
    <col min="15361" max="15361" width="12" style="1" customWidth="1"/>
    <col min="15362" max="15362" width="9.1640625" style="1" customWidth="1"/>
    <col min="15363" max="15363" width="23.6640625" style="1" bestFit="1" customWidth="1"/>
    <col min="15364" max="15364" width="8.5" style="1" bestFit="1" customWidth="1"/>
    <col min="15365" max="15365" width="9" style="1"/>
    <col min="15366" max="15366" width="8.1640625" style="1" bestFit="1" customWidth="1"/>
    <col min="15367" max="15616" width="9" style="1"/>
    <col min="15617" max="15617" width="12" style="1" customWidth="1"/>
    <col min="15618" max="15618" width="9.1640625" style="1" customWidth="1"/>
    <col min="15619" max="15619" width="23.6640625" style="1" bestFit="1" customWidth="1"/>
    <col min="15620" max="15620" width="8.5" style="1" bestFit="1" customWidth="1"/>
    <col min="15621" max="15621" width="9" style="1"/>
    <col min="15622" max="15622" width="8.1640625" style="1" bestFit="1" customWidth="1"/>
    <col min="15623" max="15872" width="9" style="1"/>
    <col min="15873" max="15873" width="12" style="1" customWidth="1"/>
    <col min="15874" max="15874" width="9.1640625" style="1" customWidth="1"/>
    <col min="15875" max="15875" width="23.6640625" style="1" bestFit="1" customWidth="1"/>
    <col min="15876" max="15876" width="8.5" style="1" bestFit="1" customWidth="1"/>
    <col min="15877" max="15877" width="9" style="1"/>
    <col min="15878" max="15878" width="8.1640625" style="1" bestFit="1" customWidth="1"/>
    <col min="15879" max="16128" width="9" style="1"/>
    <col min="16129" max="16129" width="12" style="1" customWidth="1"/>
    <col min="16130" max="16130" width="9.1640625" style="1" customWidth="1"/>
    <col min="16131" max="16131" width="23.6640625" style="1" bestFit="1" customWidth="1"/>
    <col min="16132" max="16132" width="8.5" style="1" bestFit="1" customWidth="1"/>
    <col min="16133" max="16133" width="9" style="1"/>
    <col min="16134" max="16134" width="8.1640625" style="1" bestFit="1" customWidth="1"/>
    <col min="16135" max="16384" width="9" style="1"/>
  </cols>
  <sheetData>
    <row r="1" spans="1:6" ht="18">
      <c r="A1" s="12" t="s">
        <v>9</v>
      </c>
      <c r="B1" s="12"/>
      <c r="C1" s="12"/>
    </row>
    <row r="2" spans="1:6">
      <c r="A2" s="3" t="s">
        <v>0</v>
      </c>
      <c r="B2" s="3" t="s">
        <v>5</v>
      </c>
      <c r="D2" s="1" t="s">
        <v>10</v>
      </c>
      <c r="E2" s="1" t="s">
        <v>28</v>
      </c>
      <c r="F2" s="1" t="s">
        <v>29</v>
      </c>
    </row>
    <row r="3" spans="1:6">
      <c r="A3" s="5">
        <v>38718</v>
      </c>
      <c r="B3" s="6">
        <v>-1000</v>
      </c>
      <c r="F3" s="1">
        <f>B3/(1+$B$14)^E3</f>
        <v>-1000</v>
      </c>
    </row>
    <row r="4" spans="1:6">
      <c r="A4" s="5">
        <v>39083</v>
      </c>
      <c r="B4" s="1">
        <v>250</v>
      </c>
      <c r="D4" s="1">
        <f>A4-A3</f>
        <v>365</v>
      </c>
      <c r="E4" s="1">
        <f>A4-$A$3</f>
        <v>365</v>
      </c>
      <c r="F4" s="1">
        <f t="shared" ref="F4:F10" si="0">B4/(1+$B$14)^E4</f>
        <v>214.92990346877642</v>
      </c>
    </row>
    <row r="5" spans="1:6">
      <c r="A5" s="5">
        <v>39448</v>
      </c>
      <c r="B5" s="1">
        <v>250</v>
      </c>
      <c r="D5" s="1">
        <f t="shared" ref="D4:D10" si="1">A5-A4</f>
        <v>365</v>
      </c>
      <c r="E5" s="1">
        <f t="shared" ref="E5:E10" si="2">A5-$A$3</f>
        <v>730</v>
      </c>
      <c r="F5" s="1">
        <f t="shared" si="0"/>
        <v>184.77945362039023</v>
      </c>
    </row>
    <row r="6" spans="1:6">
      <c r="A6" s="5">
        <v>39814</v>
      </c>
      <c r="B6" s="1">
        <v>250</v>
      </c>
      <c r="D6" s="1">
        <f t="shared" si="1"/>
        <v>366</v>
      </c>
      <c r="E6" s="1">
        <f t="shared" si="2"/>
        <v>1096</v>
      </c>
      <c r="F6" s="1">
        <f t="shared" si="0"/>
        <v>158.7927497477898</v>
      </c>
    </row>
    <row r="7" spans="1:6">
      <c r="A7" s="5">
        <v>40179</v>
      </c>
      <c r="B7" s="1">
        <v>250</v>
      </c>
      <c r="D7" s="1">
        <f t="shared" si="1"/>
        <v>365</v>
      </c>
      <c r="E7" s="1">
        <f t="shared" si="2"/>
        <v>1461</v>
      </c>
      <c r="F7" s="1">
        <f t="shared" si="0"/>
        <v>136.51724149933611</v>
      </c>
    </row>
    <row r="8" spans="1:6">
      <c r="A8" s="5">
        <v>40544</v>
      </c>
      <c r="B8" s="1">
        <v>250</v>
      </c>
      <c r="D8" s="1">
        <f t="shared" si="1"/>
        <v>365</v>
      </c>
      <c r="E8" s="1">
        <f t="shared" si="2"/>
        <v>1826</v>
      </c>
      <c r="F8" s="1">
        <f t="shared" si="0"/>
        <v>117.3665501491038</v>
      </c>
    </row>
    <row r="9" spans="1:6">
      <c r="A9" s="5">
        <v>40909</v>
      </c>
      <c r="B9" s="1">
        <v>250</v>
      </c>
      <c r="D9" s="1">
        <f t="shared" si="1"/>
        <v>365</v>
      </c>
      <c r="E9" s="1">
        <f t="shared" si="2"/>
        <v>2191</v>
      </c>
      <c r="F9" s="1">
        <f t="shared" si="0"/>
        <v>100.90232517604078</v>
      </c>
    </row>
    <row r="10" spans="1:6">
      <c r="A10" s="5">
        <v>41275</v>
      </c>
      <c r="B10" s="1">
        <v>250</v>
      </c>
      <c r="D10" s="1">
        <f t="shared" si="1"/>
        <v>366</v>
      </c>
      <c r="E10" s="1">
        <f t="shared" si="2"/>
        <v>2557</v>
      </c>
      <c r="F10" s="1">
        <f t="shared" si="0"/>
        <v>86.711792662650637</v>
      </c>
    </row>
    <row r="11" spans="1:6">
      <c r="F11" s="1">
        <f>SUM(F3:F10)</f>
        <v>1.632408773843963E-5</v>
      </c>
    </row>
    <row r="12" spans="1:6" ht="14">
      <c r="A12" s="8" t="s">
        <v>1</v>
      </c>
      <c r="B12" s="10">
        <f>IRR(B3:B10)</f>
        <v>0.16326709023504415</v>
      </c>
      <c r="C12" s="1" t="str">
        <f ca="1">getformula(B12)</f>
        <v>&lt;-- =IRR(B3:B10)</v>
      </c>
    </row>
    <row r="13" spans="1:6" ht="14">
      <c r="A13" s="8" t="s">
        <v>11</v>
      </c>
      <c r="B13" s="10">
        <f>XIRR(B3:B10,A3:A10)</f>
        <v>0.16316992640495304</v>
      </c>
      <c r="C13" s="1" t="str">
        <f ca="1">getformula(B13)</f>
        <v>&lt;-- =XIRR(B3:B10,A3:A10)</v>
      </c>
    </row>
    <row r="14" spans="1:6">
      <c r="A14" s="1" t="s">
        <v>30</v>
      </c>
      <c r="B14" s="23">
        <f>(1+B13)^(1/365)-1</f>
        <v>4.1419253013486035E-4</v>
      </c>
    </row>
    <row r="16" spans="1:6">
      <c r="A16" s="1" t="s">
        <v>31</v>
      </c>
      <c r="B16" s="1" t="s">
        <v>32</v>
      </c>
    </row>
    <row r="21" spans="6:6">
      <c r="F21" s="11"/>
    </row>
  </sheetData>
  <mergeCells count="1">
    <mergeCell ref="A1:C1"/>
  </mergeCells>
  <phoneticPr fontId="5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Exercise 1 template</vt:lpstr>
      <vt:lpstr>Exercise 2 template</vt:lpstr>
      <vt:lpstr>Exercise 3 template</vt:lpstr>
      <vt:lpstr>Exercise 4 template</vt:lpstr>
      <vt:lpstr>Exercise 5 template</vt:lpstr>
      <vt:lpstr>Exercise 6 template</vt:lpstr>
      <vt:lpstr>Exercise 7 template</vt:lpstr>
    </vt:vector>
  </TitlesOfParts>
  <Company>Tel Aviv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benninga</dc:creator>
  <cp:lastModifiedBy>天强 帅</cp:lastModifiedBy>
  <dcterms:created xsi:type="dcterms:W3CDTF">2010-08-07T22:09:54Z</dcterms:created>
  <dcterms:modified xsi:type="dcterms:W3CDTF">2023-12-10T14:56:55Z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Ch26_IM_exercises.xlsm</vt:lpwstr>
  </property>
</Properties>
</file>