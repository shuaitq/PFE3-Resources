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93BF5CD9-9BBC-EA4C-9B17-92AA6F450DF4}" xr6:coauthVersionLast="47" xr6:coauthVersionMax="47" xr10:uidLastSave="{00000000-0000-0000-0000-000000000000}"/>
  <bookViews>
    <workbookView xWindow="4340" yWindow="500" windowWidth="24460" windowHeight="16060" firstSheet="7" activeTab="13" xr2:uid="{00000000-000D-0000-FFFF-FFFF00000000}"/>
  </bookViews>
  <sheets>
    <sheet name="Exercise 1 template" sheetId="33" r:id="rId1"/>
    <sheet name="Exercise 2 template" sheetId="34" r:id="rId2"/>
    <sheet name="Exercise 3 template" sheetId="35" r:id="rId3"/>
    <sheet name="Exercise 4 template" sheetId="36" r:id="rId4"/>
    <sheet name="Exercise 5 template" sheetId="37" r:id="rId5"/>
    <sheet name="Exercise 6 template" sheetId="38" r:id="rId6"/>
    <sheet name="Exercise 7 template" sheetId="40" r:id="rId7"/>
    <sheet name="Exercise 8 template" sheetId="39" r:id="rId8"/>
    <sheet name="Exercise 9 template" sheetId="30" r:id="rId9"/>
    <sheet name="Exercise 9 data" sheetId="32" r:id="rId10"/>
    <sheet name="Exercise 10 template" sheetId="41" r:id="rId11"/>
    <sheet name="Exercise 11 template" sheetId="42" r:id="rId12"/>
    <sheet name="Exercise 12 template" sheetId="43" r:id="rId13"/>
    <sheet name="Exercise 13 template" sheetId="44" r:id="rId14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44" l="1"/>
  <c r="B31" i="44"/>
  <c r="B7" i="44"/>
  <c r="B8" i="44"/>
  <c r="B9" i="44"/>
  <c r="B10" i="44"/>
  <c r="B11" i="44"/>
  <c r="B12" i="44"/>
  <c r="B13" i="44"/>
  <c r="B14" i="44"/>
  <c r="B15" i="44"/>
  <c r="B16" i="44"/>
  <c r="B17" i="44"/>
  <c r="B18" i="44"/>
  <c r="B19" i="44"/>
  <c r="B20" i="44"/>
  <c r="B21" i="44"/>
  <c r="B22" i="44"/>
  <c r="B23" i="44"/>
  <c r="B24" i="44"/>
  <c r="B25" i="44"/>
  <c r="B26" i="44"/>
  <c r="B27" i="44"/>
  <c r="B28" i="44"/>
  <c r="B6" i="44"/>
  <c r="B21" i="43"/>
  <c r="B20" i="43"/>
  <c r="B19" i="43"/>
  <c r="B17" i="43"/>
  <c r="B18" i="43"/>
  <c r="B15" i="43"/>
  <c r="B14" i="43"/>
  <c r="B6" i="43"/>
  <c r="B7" i="43"/>
  <c r="B8" i="43"/>
  <c r="B35" i="42"/>
  <c r="C19" i="42"/>
  <c r="C10" i="42"/>
  <c r="C11" i="42"/>
  <c r="C12" i="42"/>
  <c r="C13" i="42"/>
  <c r="C14" i="42"/>
  <c r="C15" i="42"/>
  <c r="C16" i="42"/>
  <c r="C17" i="42"/>
  <c r="C18" i="42"/>
  <c r="C9" i="42"/>
  <c r="B9" i="42"/>
  <c r="B5" i="42"/>
  <c r="B32" i="42"/>
  <c r="B29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10" i="42"/>
  <c r="B4" i="42"/>
  <c r="B3" i="42"/>
  <c r="B57" i="41"/>
  <c r="B55" i="41"/>
  <c r="B25" i="41"/>
  <c r="B54" i="41"/>
  <c r="B53" i="41"/>
  <c r="B52" i="41"/>
  <c r="B51" i="41"/>
  <c r="B50" i="41"/>
  <c r="B49" i="41"/>
  <c r="B48" i="41"/>
  <c r="B47" i="41"/>
  <c r="B46" i="41"/>
  <c r="B45" i="41"/>
  <c r="B44" i="41"/>
  <c r="B43" i="41"/>
  <c r="B42" i="41"/>
  <c r="B41" i="41"/>
  <c r="B40" i="41"/>
  <c r="B39" i="41"/>
  <c r="B38" i="41"/>
  <c r="B37" i="41"/>
  <c r="B36" i="41"/>
  <c r="B35" i="41"/>
  <c r="A35" i="41"/>
  <c r="B7" i="41"/>
  <c r="C7" i="41"/>
  <c r="B8" i="41"/>
  <c r="C8" i="41"/>
  <c r="B9" i="41"/>
  <c r="C9" i="41"/>
  <c r="B10" i="41"/>
  <c r="C10" i="41"/>
  <c r="B11" i="41"/>
  <c r="C11" i="41"/>
  <c r="B12" i="41"/>
  <c r="C12" i="41"/>
  <c r="B13" i="41"/>
  <c r="C13" i="41"/>
  <c r="B14" i="41"/>
  <c r="C14" i="41"/>
  <c r="B15" i="41"/>
  <c r="C15" i="41"/>
  <c r="B16" i="41"/>
  <c r="C16" i="41"/>
  <c r="B17" i="41"/>
  <c r="C17" i="41"/>
  <c r="B18" i="41"/>
  <c r="C18" i="41"/>
  <c r="B19" i="41"/>
  <c r="C19" i="41"/>
  <c r="B20" i="41"/>
  <c r="C20" i="41"/>
  <c r="B21" i="41"/>
  <c r="C21" i="41"/>
  <c r="B22" i="41"/>
  <c r="C22" i="41"/>
  <c r="B23" i="41"/>
  <c r="C23" i="41"/>
  <c r="B24" i="41"/>
  <c r="C24" i="41"/>
  <c r="C25" i="41"/>
  <c r="B6" i="41"/>
  <c r="C6" i="41"/>
  <c r="C5" i="41"/>
  <c r="C28" i="41"/>
  <c r="B5" i="41"/>
  <c r="C17" i="30"/>
  <c r="C18" i="30"/>
  <c r="C16" i="30"/>
  <c r="C12" i="30"/>
  <c r="C13" i="30"/>
  <c r="C11" i="30"/>
  <c r="A7" i="30"/>
  <c r="F4" i="30"/>
  <c r="F2" i="30"/>
  <c r="F3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E38" i="39"/>
  <c r="E39" i="39"/>
  <c r="E40" i="39"/>
  <c r="E41" i="39"/>
  <c r="E42" i="39"/>
  <c r="E43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E70" i="39"/>
  <c r="E71" i="39"/>
  <c r="E72" i="39"/>
  <c r="E73" i="39"/>
  <c r="E74" i="39"/>
  <c r="E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4" i="39"/>
  <c r="B30" i="40"/>
  <c r="B6" i="40"/>
  <c r="B29" i="40"/>
  <c r="B28" i="40"/>
  <c r="B27" i="40"/>
  <c r="B26" i="40"/>
  <c r="B25" i="40"/>
  <c r="B24" i="40"/>
  <c r="B23" i="40"/>
  <c r="B22" i="40"/>
  <c r="B21" i="40"/>
  <c r="B8" i="40"/>
  <c r="B9" i="40"/>
  <c r="B12" i="40"/>
  <c r="B16" i="40"/>
  <c r="B17" i="40"/>
  <c r="B20" i="40"/>
  <c r="B34" i="38"/>
  <c r="B32" i="38"/>
  <c r="B22" i="38"/>
  <c r="B23" i="38"/>
  <c r="B24" i="38"/>
  <c r="B25" i="38"/>
  <c r="B26" i="38"/>
  <c r="B27" i="38"/>
  <c r="B28" i="38"/>
  <c r="B29" i="38"/>
  <c r="B30" i="38"/>
  <c r="B31" i="38"/>
  <c r="B21" i="38"/>
  <c r="B20" i="38"/>
  <c r="B17" i="38"/>
  <c r="B16" i="38"/>
  <c r="B12" i="38"/>
  <c r="B6" i="38"/>
  <c r="B9" i="38"/>
  <c r="B8" i="38"/>
  <c r="B34" i="37"/>
  <c r="B32" i="37"/>
  <c r="B22" i="37"/>
  <c r="B23" i="37"/>
  <c r="B24" i="37"/>
  <c r="B25" i="37"/>
  <c r="B26" i="37"/>
  <c r="B27" i="37"/>
  <c r="B28" i="37"/>
  <c r="B29" i="37"/>
  <c r="B30" i="37"/>
  <c r="B31" i="37"/>
  <c r="B21" i="37"/>
  <c r="B20" i="37"/>
  <c r="B17" i="37"/>
  <c r="B16" i="37"/>
  <c r="B12" i="37"/>
  <c r="B10" i="37"/>
  <c r="B9" i="37"/>
  <c r="B12" i="36"/>
  <c r="B9" i="36"/>
  <c r="B8" i="36"/>
  <c r="B7" i="35"/>
  <c r="B11" i="35"/>
  <c r="B8" i="35"/>
  <c r="B24" i="34"/>
  <c r="B21" i="34"/>
  <c r="B18" i="34"/>
  <c r="B9" i="34"/>
  <c r="B10" i="34"/>
  <c r="B11" i="34"/>
  <c r="B12" i="34"/>
  <c r="B13" i="34"/>
  <c r="B14" i="34"/>
  <c r="B15" i="34"/>
  <c r="B16" i="34"/>
  <c r="B17" i="34"/>
  <c r="B8" i="34"/>
  <c r="B7" i="34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10" i="33"/>
  <c r="F11" i="33"/>
  <c r="F12" i="33"/>
  <c r="F13" i="33"/>
  <c r="F14" i="33"/>
  <c r="F15" i="33"/>
  <c r="F16" i="33"/>
  <c r="F17" i="33"/>
  <c r="F18" i="33"/>
  <c r="F19" i="33"/>
  <c r="F20" i="33"/>
  <c r="F21" i="33"/>
  <c r="F22" i="33"/>
  <c r="F23" i="33"/>
  <c r="F24" i="33"/>
  <c r="F25" i="33"/>
  <c r="F26" i="33"/>
  <c r="F10" i="33"/>
  <c r="F5" i="33"/>
  <c r="F4" i="33"/>
  <c r="A20" i="38"/>
  <c r="B5" i="36"/>
  <c r="C27" i="33"/>
  <c r="C26" i="33"/>
  <c r="C25" i="33"/>
  <c r="C24" i="33"/>
  <c r="C23" i="33"/>
  <c r="C22" i="33"/>
  <c r="C21" i="33"/>
  <c r="C20" i="33"/>
  <c r="C19" i="33"/>
  <c r="C18" i="33"/>
  <c r="C17" i="33"/>
  <c r="B17" i="33"/>
  <c r="C16" i="33"/>
  <c r="B16" i="33"/>
  <c r="C15" i="33"/>
  <c r="B15" i="33"/>
  <c r="C14" i="33"/>
  <c r="B14" i="33"/>
  <c r="C13" i="33"/>
  <c r="B13" i="33"/>
  <c r="C12" i="33"/>
  <c r="B12" i="33"/>
  <c r="C11" i="33"/>
  <c r="B11" i="33"/>
  <c r="C10" i="33"/>
  <c r="B10" i="33"/>
  <c r="C9" i="33"/>
  <c r="B9" i="33"/>
  <c r="C8" i="33"/>
  <c r="B8" i="33"/>
  <c r="C5" i="36"/>
  <c r="B32" i="40"/>
  <c r="B28" i="41"/>
</calcChain>
</file>

<file path=xl/sharedStrings.xml><?xml version="1.0" encoding="utf-8"?>
<sst xmlns="http://schemas.openxmlformats.org/spreadsheetml/2006/main" count="182" uniqueCount="105">
  <si>
    <t>A</t>
  </si>
  <si>
    <t>Baa</t>
  </si>
  <si>
    <t>COMPUTING THE YTM FOR A BOND</t>
  </si>
  <si>
    <t>Bond face value</t>
  </si>
  <si>
    <t>Coupon rate</t>
  </si>
  <si>
    <t>Bond price</t>
  </si>
  <si>
    <t>Year</t>
  </si>
  <si>
    <t>Cash flow</t>
  </si>
  <si>
    <t>COMPARING TWO BONDS</t>
  </si>
  <si>
    <t>Bond A</t>
  </si>
  <si>
    <t>Bond B</t>
  </si>
  <si>
    <t>Maturity</t>
  </si>
  <si>
    <t>Face value</t>
  </si>
  <si>
    <t>Market interest rate</t>
  </si>
  <si>
    <t>Price of Bond A</t>
  </si>
  <si>
    <t>Price of Bond B</t>
  </si>
  <si>
    <t>Interest rate</t>
  </si>
  <si>
    <t>Bond A price</t>
  </si>
  <si>
    <t>Bond B price</t>
  </si>
  <si>
    <t>COMPUTING THE INTEREST ON TREASURY BILLS</t>
  </si>
  <si>
    <t>Purchase price</t>
  </si>
  <si>
    <t>Time to maturity (years)</t>
  </si>
  <si>
    <t>Annualized</t>
  </si>
  <si>
    <t>Daily interest rate</t>
  </si>
  <si>
    <t>Continuously compounded</t>
  </si>
  <si>
    <t>Time to maturity (days)</t>
  </si>
  <si>
    <t>TREASURY BOND CALCULATION</t>
  </si>
  <si>
    <t>Current date</t>
  </si>
  <si>
    <t>Previous interest payment date</t>
  </si>
  <si>
    <t>Next interest payment date</t>
  </si>
  <si>
    <t>Semi-annual coupon</t>
  </si>
  <si>
    <t>Days since last coupon date</t>
  </si>
  <si>
    <t>Days between last coupon
date and next coupon date</t>
  </si>
  <si>
    <t>Accrued interest</t>
  </si>
  <si>
    <t>Computing the accrued interest</t>
  </si>
  <si>
    <t>Computing the YTM</t>
  </si>
  <si>
    <t>Date</t>
  </si>
  <si>
    <t>YTM</t>
  </si>
  <si>
    <t>Invoice price (bond price + accrued)</t>
  </si>
  <si>
    <t>Bond</t>
  </si>
  <si>
    <t>B</t>
  </si>
  <si>
    <t>C</t>
  </si>
  <si>
    <t>Coupon
rate</t>
  </si>
  <si>
    <t>Yield to
maturity</t>
  </si>
  <si>
    <t>Face
value</t>
  </si>
  <si>
    <t>Method 1:  Compound the daily return</t>
  </si>
  <si>
    <t>Method 2:  Calculate the continuously compounded return</t>
  </si>
  <si>
    <t>Price</t>
  </si>
  <si>
    <t>Yahoo
yield</t>
  </si>
  <si>
    <t>Days to maturity</t>
  </si>
  <si>
    <t>Years to maturity</t>
  </si>
  <si>
    <t>Continuous yield</t>
  </si>
  <si>
    <t xml:space="preserve">The longer maturity bond B is more affected by changes </t>
  </si>
  <si>
    <t>in market interest rates than the shorter maturity bond A.</t>
  </si>
  <si>
    <t>BOND YIELDS:  10-YEAR TREASURY BONDS, AAA CORPORATES, Baa CORPORATES, 1976-2009</t>
  </si>
  <si>
    <t>10-Year Treasury</t>
  </si>
  <si>
    <t>AAA</t>
  </si>
  <si>
    <t>Section a.</t>
  </si>
  <si>
    <t>Section b.</t>
  </si>
  <si>
    <t>Effect of market interest rate on bond prices</t>
  </si>
  <si>
    <t>Section c.</t>
  </si>
  <si>
    <t>Yield to maturity (IRR)</t>
  </si>
  <si>
    <t>Yield to maturity (XIRR)</t>
  </si>
  <si>
    <t>Section a. compound the daily return</t>
  </si>
  <si>
    <t>Section b. calculate the continuously compounded return</t>
  </si>
  <si>
    <t>Bond cash flow</t>
  </si>
  <si>
    <t>Section b. computing the YTM</t>
  </si>
  <si>
    <t>U.S. TREASURY STRIP DATA</t>
  </si>
  <si>
    <t>short term strip will maturity very fast, have low risk</t>
    <phoneticPr fontId="7" type="noConversion"/>
  </si>
  <si>
    <t>Maturity</t>
    <phoneticPr fontId="7" type="noConversion"/>
  </si>
  <si>
    <t>price</t>
    <phoneticPr fontId="7" type="noConversion"/>
  </si>
  <si>
    <t>Section b.</t>
    <phoneticPr fontId="7" type="noConversion"/>
  </si>
  <si>
    <t>Section c.</t>
    <phoneticPr fontId="7" type="noConversion"/>
  </si>
  <si>
    <t>yield</t>
    <phoneticPr fontId="7" type="noConversion"/>
  </si>
  <si>
    <t>Section d.</t>
    <phoneticPr fontId="7" type="noConversion"/>
  </si>
  <si>
    <t>Section e.</t>
    <phoneticPr fontId="7" type="noConversion"/>
  </si>
  <si>
    <t>sell bond b and buy bond c</t>
    <phoneticPr fontId="7" type="noConversion"/>
  </si>
  <si>
    <t>Source:  http://www.federalreserve.gov/releases/h15/data.htm#top</t>
    <phoneticPr fontId="7" type="noConversion"/>
  </si>
  <si>
    <t>date</t>
    <phoneticPr fontId="7" type="noConversion"/>
  </si>
  <si>
    <t>cf</t>
    <phoneticPr fontId="7" type="noConversion"/>
  </si>
  <si>
    <t>coupon rate</t>
    <phoneticPr fontId="7" type="noConversion"/>
  </si>
  <si>
    <t>total value</t>
    <phoneticPr fontId="7" type="noConversion"/>
  </si>
  <si>
    <t>investors cf</t>
    <phoneticPr fontId="7" type="noConversion"/>
  </si>
  <si>
    <t>financing expenses</t>
    <phoneticPr fontId="7" type="noConversion"/>
  </si>
  <si>
    <t>company cf</t>
    <phoneticPr fontId="7" type="noConversion"/>
  </si>
  <si>
    <t>Section a.</t>
    <phoneticPr fontId="7" type="noConversion"/>
  </si>
  <si>
    <t>YTM</t>
    <phoneticPr fontId="7" type="noConversion"/>
  </si>
  <si>
    <t>days after previous payment</t>
    <phoneticPr fontId="7" type="noConversion"/>
  </si>
  <si>
    <t>days between payment</t>
    <phoneticPr fontId="7" type="noConversion"/>
  </si>
  <si>
    <t>face value</t>
    <phoneticPr fontId="7" type="noConversion"/>
  </si>
  <si>
    <t>accrued interest</t>
    <phoneticPr fontId="7" type="noConversion"/>
  </si>
  <si>
    <t>YTM cf</t>
    <phoneticPr fontId="7" type="noConversion"/>
  </si>
  <si>
    <t>first call cf</t>
    <phoneticPr fontId="7" type="noConversion"/>
  </si>
  <si>
    <t>yield to first call</t>
    <phoneticPr fontId="7" type="noConversion"/>
  </si>
  <si>
    <t>rate</t>
    <phoneticPr fontId="7" type="noConversion"/>
  </si>
  <si>
    <t>quarterly payment</t>
    <phoneticPr fontId="7" type="noConversion"/>
  </si>
  <si>
    <t>quarterly rate</t>
    <phoneticPr fontId="7" type="noConversion"/>
  </si>
  <si>
    <t>annual rate</t>
    <phoneticPr fontId="7" type="noConversion"/>
  </si>
  <si>
    <t>accrued dividend</t>
    <phoneticPr fontId="7" type="noConversion"/>
  </si>
  <si>
    <t>previous dividend</t>
    <phoneticPr fontId="7" type="noConversion"/>
  </si>
  <si>
    <t>next dividend</t>
    <phoneticPr fontId="7" type="noConversion"/>
  </si>
  <si>
    <t>days after prev dividend</t>
    <phoneticPr fontId="7" type="noConversion"/>
  </si>
  <si>
    <t>days between dividend</t>
    <phoneticPr fontId="7" type="noConversion"/>
  </si>
  <si>
    <t>real price</t>
    <phoneticPr fontId="7" type="noConversion"/>
  </si>
  <si>
    <t>interest rate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</si>
</sst>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¥&quot;#,##0.00_);[Red]\(&quot;¥&quot;#,##0.00\)"/>
    <numFmt numFmtId="43" formatCode="_(* #,##0.00_);_(* \(#,##0.00\);_(* &quot;-&quot;??_);_(@_)"/>
    <numFmt numFmtId="176" formatCode="&quot;$&quot;#,##0_);[Red]\(&quot;$&quot;#,##0\)"/>
    <numFmt numFmtId="177" formatCode="0.000%"/>
    <numFmt numFmtId="178" formatCode="_(* #,##0_);_(* \(#,##0\);_(* &quot;-&quot;??_);_(@_)"/>
    <numFmt numFmtId="179" formatCode="[$-409]dd\-mmm\-yy;@"/>
    <numFmt numFmtId="180" formatCode="[$-409]d\-mmm\-yyyy;@"/>
    <numFmt numFmtId="181" formatCode="0.000000%"/>
    <numFmt numFmtId="182" formatCode="0.0000000%"/>
    <numFmt numFmtId="183" formatCode="#,##0.000"/>
    <numFmt numFmtId="187" formatCode="0.0000%"/>
    <numFmt numFmtId="188" formatCode="0.00000%"/>
  </numFmts>
  <fonts count="9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sz val="9"/>
      <name val="宋体"/>
      <family val="3"/>
      <charset val="134"/>
    </font>
    <font>
      <sz val="10"/>
      <color rgb="FF1A1819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center"/>
    </xf>
    <xf numFmtId="176" fontId="0" fillId="0" borderId="0" xfId="0" applyNumberFormat="1"/>
    <xf numFmtId="9" fontId="0" fillId="0" borderId="0" xfId="0" applyNumberFormat="1"/>
    <xf numFmtId="40" fontId="0" fillId="0" borderId="0" xfId="0" applyNumberFormat="1"/>
    <xf numFmtId="4" fontId="0" fillId="0" borderId="0" xfId="0" applyNumberFormat="1"/>
    <xf numFmtId="10" fontId="0" fillId="0" borderId="0" xfId="0" applyNumberFormat="1"/>
    <xf numFmtId="0" fontId="3" fillId="0" borderId="0" xfId="0" applyFont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178" fontId="1" fillId="0" borderId="0" xfId="1" applyNumberFormat="1" applyFont="1"/>
    <xf numFmtId="10" fontId="0" fillId="0" borderId="0" xfId="2" applyNumberFormat="1" applyFont="1"/>
    <xf numFmtId="0" fontId="0" fillId="0" borderId="0" xfId="0" applyAlignment="1">
      <alignment horizontal="left" wrapText="1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177" fontId="0" fillId="0" borderId="0" xfId="2" applyNumberFormat="1" applyFont="1"/>
    <xf numFmtId="177" fontId="1" fillId="0" borderId="0" xfId="2" applyNumberFormat="1" applyFont="1"/>
    <xf numFmtId="10" fontId="0" fillId="0" borderId="0" xfId="0" applyNumberFormat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177" fontId="5" fillId="0" borderId="0" xfId="2" applyNumberFormat="1" applyFont="1" applyAlignment="1">
      <alignment horizontal="right" wrapText="1"/>
    </xf>
    <xf numFmtId="0" fontId="0" fillId="0" borderId="0" xfId="0" applyAlignment="1">
      <alignment horizontal="center" wrapText="1"/>
    </xf>
    <xf numFmtId="2" fontId="1" fillId="0" borderId="0" xfId="1" applyNumberFormat="1" applyFont="1"/>
    <xf numFmtId="0" fontId="1" fillId="0" borderId="0" xfId="0" applyFont="1"/>
    <xf numFmtId="0" fontId="3" fillId="0" borderId="0" xfId="0" applyFont="1" applyAlignment="1">
      <alignment horizontal="center" vertical="center" wrapText="1"/>
    </xf>
    <xf numFmtId="0" fontId="6" fillId="0" borderId="0" xfId="0" applyFont="1"/>
    <xf numFmtId="179" fontId="0" fillId="0" borderId="0" xfId="0" applyNumberFormat="1"/>
    <xf numFmtId="180" fontId="0" fillId="0" borderId="0" xfId="0" applyNumberFormat="1"/>
    <xf numFmtId="180" fontId="0" fillId="0" borderId="0" xfId="0" applyNumberFormat="1" applyAlignment="1">
      <alignment horizontal="center"/>
    </xf>
    <xf numFmtId="180" fontId="5" fillId="0" borderId="0" xfId="0" applyNumberFormat="1" applyFont="1" applyAlignment="1">
      <alignment horizontal="right" wrapText="1"/>
    </xf>
    <xf numFmtId="177" fontId="3" fillId="0" borderId="0" xfId="2" applyNumberFormat="1" applyFont="1" applyAlignment="1">
      <alignment horizontal="center" wrapText="1"/>
    </xf>
    <xf numFmtId="181" fontId="0" fillId="0" borderId="0" xfId="0" applyNumberFormat="1"/>
    <xf numFmtId="182" fontId="0" fillId="0" borderId="0" xfId="0" applyNumberFormat="1"/>
    <xf numFmtId="183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8" fontId="0" fillId="0" borderId="0" xfId="0" applyNumberFormat="1"/>
    <xf numFmtId="8" fontId="0" fillId="0" borderId="0" xfId="2" applyNumberFormat="1" applyFont="1"/>
    <xf numFmtId="0" fontId="0" fillId="0" borderId="0" xfId="0" applyNumberFormat="1" applyAlignment="1">
      <alignment horizontal="center" wrapText="1"/>
    </xf>
    <xf numFmtId="0" fontId="0" fillId="0" borderId="0" xfId="0" applyFont="1" applyAlignment="1">
      <alignment horizontal="center" wrapText="1"/>
    </xf>
    <xf numFmtId="188" fontId="0" fillId="0" borderId="0" xfId="0" applyNumberFormat="1"/>
    <xf numFmtId="0" fontId="0" fillId="0" borderId="0" xfId="0" applyNumberFormat="1"/>
    <xf numFmtId="15" fontId="0" fillId="0" borderId="0" xfId="0" applyNumberFormat="1"/>
    <xf numFmtId="15" fontId="8" fillId="0" borderId="0" xfId="0" applyNumberFormat="1" applyFont="1"/>
    <xf numFmtId="3" fontId="0" fillId="0" borderId="0" xfId="0" applyNumberFormat="1"/>
    <xf numFmtId="187" fontId="0" fillId="0" borderId="0" xfId="2" applyNumberFormat="1" applyFont="1"/>
    <xf numFmtId="188" fontId="0" fillId="0" borderId="0" xfId="2" applyNumberFormat="1" applyFont="1"/>
    <xf numFmtId="0" fontId="8" fillId="0" borderId="0" xfId="0" applyFont="1"/>
    <xf numFmtId="0" fontId="1" fillId="0" borderId="0" xfId="0" applyFont="1" applyAlignment="1">
      <alignment wrapText="1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'Exercise 1 template'!$F$9</c:f>
              <c:strCache>
                <c:ptCount val="1"/>
                <c:pt idx="0">
                  <c:v>Bond A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'Exercise 1 template'!$E$10:$E$26</c:f>
              <c:numCache>
                <c:formatCode>0%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0.14000000000000001</c:v>
                </c:pt>
                <c:pt idx="14">
                  <c:v>0.16</c:v>
                </c:pt>
                <c:pt idx="15">
                  <c:v>0.18</c:v>
                </c:pt>
                <c:pt idx="16">
                  <c:v>0.2</c:v>
                </c:pt>
              </c:numCache>
            </c:numRef>
          </c:cat>
          <c:val>
            <c:numRef>
              <c:f>'Exercise 1 template'!$F$10:$F$26</c:f>
              <c:numCache>
                <c:formatCode>0.00</c:formatCode>
                <c:ptCount val="17"/>
                <c:pt idx="0">
                  <c:v>1500</c:v>
                </c:pt>
                <c:pt idx="1">
                  <c:v>1378.8521812280669</c:v>
                </c:pt>
                <c:pt idx="2">
                  <c:v>1269.4775501872671</c:v>
                </c:pt>
                <c:pt idx="3">
                  <c:v>1170.6040567355165</c:v>
                </c:pt>
                <c:pt idx="4">
                  <c:v>1081.10895779355</c:v>
                </c:pt>
                <c:pt idx="5">
                  <c:v>999.99999999999977</c:v>
                </c:pt>
                <c:pt idx="6">
                  <c:v>926.39912948585265</c:v>
                </c:pt>
                <c:pt idx="7">
                  <c:v>859.52836918134744</c:v>
                </c:pt>
                <c:pt idx="8">
                  <c:v>798.69755803175622</c:v>
                </c:pt>
                <c:pt idx="9">
                  <c:v>743.29369195363927</c:v>
                </c:pt>
                <c:pt idx="10">
                  <c:v>692.77164471476544</c:v>
                </c:pt>
                <c:pt idx="11">
                  <c:v>646.64607933152729</c:v>
                </c:pt>
                <c:pt idx="12">
                  <c:v>604.48438801123905</c:v>
                </c:pt>
                <c:pt idx="13">
                  <c:v>530.54959183357744</c:v>
                </c:pt>
                <c:pt idx="14">
                  <c:v>468.34497736967819</c:v>
                </c:pt>
                <c:pt idx="15">
                  <c:v>415.76878165982652</c:v>
                </c:pt>
                <c:pt idx="16">
                  <c:v>371.12918716738432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B6-254F-A3C8-3C4DF2514C67}"/>
            </c:ext>
          </c:extLst>
        </c:ser>
        <c:ser>
          <c:idx val="2"/>
          <c:order val="1"/>
          <c:tx>
            <c:strRef>
              <c:f>'Exercise 1 template'!$G$9</c:f>
              <c:strCache>
                <c:ptCount val="1"/>
                <c:pt idx="0">
                  <c:v>Bond B 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'Exercise 1 template'!$E$10:$E$26</c:f>
              <c:numCache>
                <c:formatCode>0%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0.14000000000000001</c:v>
                </c:pt>
                <c:pt idx="14">
                  <c:v>0.16</c:v>
                </c:pt>
                <c:pt idx="15">
                  <c:v>0.18</c:v>
                </c:pt>
                <c:pt idx="16">
                  <c:v>0.2</c:v>
                </c:pt>
              </c:numCache>
            </c:numRef>
          </c:cat>
          <c:val>
            <c:numRef>
              <c:f>'Exercise 1 template'!$G$10:$G$26</c:f>
              <c:numCache>
                <c:formatCode>0.00</c:formatCode>
                <c:ptCount val="17"/>
                <c:pt idx="0">
                  <c:v>2000</c:v>
                </c:pt>
                <c:pt idx="1">
                  <c:v>1721.8221186508179</c:v>
                </c:pt>
                <c:pt idx="2">
                  <c:v>1490.5430003379131</c:v>
                </c:pt>
                <c:pt idx="3">
                  <c:v>1297.5494972091096</c:v>
                </c:pt>
                <c:pt idx="4">
                  <c:v>1135.9032634496762</c:v>
                </c:pt>
                <c:pt idx="5">
                  <c:v>999.99999999999932</c:v>
                </c:pt>
                <c:pt idx="6">
                  <c:v>885.3007878143469</c:v>
                </c:pt>
                <c:pt idx="7">
                  <c:v>788.11971508967622</c:v>
                </c:pt>
                <c:pt idx="8">
                  <c:v>705.45557777652084</c:v>
                </c:pt>
                <c:pt idx="9">
                  <c:v>634.85817323656261</c:v>
                </c:pt>
                <c:pt idx="10">
                  <c:v>574.3218140120714</c:v>
                </c:pt>
                <c:pt idx="11">
                  <c:v>522.20031295798685</c:v>
                </c:pt>
                <c:pt idx="12">
                  <c:v>477.13894629706778</c:v>
                </c:pt>
                <c:pt idx="13">
                  <c:v>403.91825035456475</c:v>
                </c:pt>
                <c:pt idx="14">
                  <c:v>347.82750104924446</c:v>
                </c:pt>
                <c:pt idx="15">
                  <c:v>304.14295537337483</c:v>
                </c:pt>
                <c:pt idx="16">
                  <c:v>269.56303997844168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B6-254F-A3C8-3C4DF2514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311872"/>
        <c:axId val="1483313600"/>
      </c:lineChart>
      <c:catAx>
        <c:axId val="148331187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3313600"/>
        <c:crosses val="autoZero"/>
        <c:auto val="1"/>
        <c:lblAlgn val="ctr"/>
        <c:lblOffset val="100"/>
        <c:noMultiLvlLbl val="0"/>
      </c:catAx>
      <c:valAx>
        <c:axId val="148331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331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'Exercise 8 template'!$F$3</c:f>
              <c:strCache>
                <c:ptCount val="1"/>
                <c:pt idx="0">
                  <c:v>Continuous yield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'Exercise 8 template'!$B$4:$B$74</c:f>
              <c:numCache>
                <c:formatCode>[$-409]d\-mmm\-yyyy;@</c:formatCode>
                <c:ptCount val="71"/>
                <c:pt idx="0">
                  <c:v>42231</c:v>
                </c:pt>
                <c:pt idx="1">
                  <c:v>42323</c:v>
                </c:pt>
                <c:pt idx="2">
                  <c:v>42415</c:v>
                </c:pt>
                <c:pt idx="3">
                  <c:v>42505</c:v>
                </c:pt>
                <c:pt idx="4">
                  <c:v>42597</c:v>
                </c:pt>
                <c:pt idx="5">
                  <c:v>42689</c:v>
                </c:pt>
                <c:pt idx="6">
                  <c:v>42870</c:v>
                </c:pt>
                <c:pt idx="7">
                  <c:v>42870</c:v>
                </c:pt>
                <c:pt idx="8">
                  <c:v>42962</c:v>
                </c:pt>
                <c:pt idx="9">
                  <c:v>43235</c:v>
                </c:pt>
                <c:pt idx="10">
                  <c:v>43419</c:v>
                </c:pt>
                <c:pt idx="11">
                  <c:v>43511</c:v>
                </c:pt>
                <c:pt idx="12">
                  <c:v>43692</c:v>
                </c:pt>
                <c:pt idx="13">
                  <c:v>43876</c:v>
                </c:pt>
                <c:pt idx="14">
                  <c:v>43890</c:v>
                </c:pt>
                <c:pt idx="15">
                  <c:v>43966</c:v>
                </c:pt>
                <c:pt idx="16">
                  <c:v>44058</c:v>
                </c:pt>
                <c:pt idx="17">
                  <c:v>44242</c:v>
                </c:pt>
                <c:pt idx="18">
                  <c:v>44331</c:v>
                </c:pt>
                <c:pt idx="19">
                  <c:v>44423</c:v>
                </c:pt>
                <c:pt idx="20">
                  <c:v>44515</c:v>
                </c:pt>
                <c:pt idx="21">
                  <c:v>44788</c:v>
                </c:pt>
                <c:pt idx="22">
                  <c:v>44880</c:v>
                </c:pt>
                <c:pt idx="23">
                  <c:v>44972</c:v>
                </c:pt>
                <c:pt idx="24">
                  <c:v>45153</c:v>
                </c:pt>
                <c:pt idx="25">
                  <c:v>45611</c:v>
                </c:pt>
                <c:pt idx="26">
                  <c:v>45703</c:v>
                </c:pt>
                <c:pt idx="27">
                  <c:v>45884</c:v>
                </c:pt>
                <c:pt idx="28">
                  <c:v>46068</c:v>
                </c:pt>
                <c:pt idx="29">
                  <c:v>46249</c:v>
                </c:pt>
                <c:pt idx="30">
                  <c:v>46341</c:v>
                </c:pt>
                <c:pt idx="31">
                  <c:v>46433</c:v>
                </c:pt>
                <c:pt idx="32">
                  <c:v>46614</c:v>
                </c:pt>
                <c:pt idx="33">
                  <c:v>46706</c:v>
                </c:pt>
                <c:pt idx="34">
                  <c:v>46980</c:v>
                </c:pt>
                <c:pt idx="35">
                  <c:v>47072</c:v>
                </c:pt>
                <c:pt idx="36">
                  <c:v>47164</c:v>
                </c:pt>
                <c:pt idx="37">
                  <c:v>47345</c:v>
                </c:pt>
                <c:pt idx="38">
                  <c:v>47618</c:v>
                </c:pt>
                <c:pt idx="39">
                  <c:v>47894</c:v>
                </c:pt>
                <c:pt idx="40">
                  <c:v>49720</c:v>
                </c:pt>
                <c:pt idx="41">
                  <c:v>50086</c:v>
                </c:pt>
                <c:pt idx="42">
                  <c:v>50175</c:v>
                </c:pt>
                <c:pt idx="43">
                  <c:v>50451</c:v>
                </c:pt>
                <c:pt idx="44">
                  <c:v>50540</c:v>
                </c:pt>
                <c:pt idx="45">
                  <c:v>50816</c:v>
                </c:pt>
                <c:pt idx="46">
                  <c:v>50905</c:v>
                </c:pt>
                <c:pt idx="47">
                  <c:v>50997</c:v>
                </c:pt>
                <c:pt idx="48">
                  <c:v>51089</c:v>
                </c:pt>
                <c:pt idx="49">
                  <c:v>51181</c:v>
                </c:pt>
                <c:pt idx="50">
                  <c:v>51271</c:v>
                </c:pt>
                <c:pt idx="51">
                  <c:v>51363</c:v>
                </c:pt>
                <c:pt idx="52">
                  <c:v>51455</c:v>
                </c:pt>
                <c:pt idx="53">
                  <c:v>51455</c:v>
                </c:pt>
                <c:pt idx="54">
                  <c:v>51547</c:v>
                </c:pt>
                <c:pt idx="55">
                  <c:v>51636</c:v>
                </c:pt>
                <c:pt idx="56">
                  <c:v>51728</c:v>
                </c:pt>
                <c:pt idx="57">
                  <c:v>51820</c:v>
                </c:pt>
                <c:pt idx="58">
                  <c:v>51912</c:v>
                </c:pt>
                <c:pt idx="59">
                  <c:v>52001</c:v>
                </c:pt>
                <c:pt idx="60">
                  <c:v>52093</c:v>
                </c:pt>
                <c:pt idx="61">
                  <c:v>52185</c:v>
                </c:pt>
                <c:pt idx="62">
                  <c:v>52277</c:v>
                </c:pt>
                <c:pt idx="63">
                  <c:v>52366</c:v>
                </c:pt>
                <c:pt idx="64">
                  <c:v>52458</c:v>
                </c:pt>
                <c:pt idx="65">
                  <c:v>52550</c:v>
                </c:pt>
                <c:pt idx="66">
                  <c:v>52642</c:v>
                </c:pt>
                <c:pt idx="67">
                  <c:v>52732</c:v>
                </c:pt>
                <c:pt idx="68">
                  <c:v>52824</c:v>
                </c:pt>
                <c:pt idx="69">
                  <c:v>52916</c:v>
                </c:pt>
                <c:pt idx="70">
                  <c:v>53008</c:v>
                </c:pt>
              </c:numCache>
            </c:numRef>
          </c:cat>
          <c:val>
            <c:numRef>
              <c:f>'Exercise 8 template'!$F$4:$F$74</c:f>
              <c:numCache>
                <c:formatCode>0.000%</c:formatCode>
                <c:ptCount val="71"/>
                <c:pt idx="0">
                  <c:v>2.7037577792128094E-4</c:v>
                </c:pt>
                <c:pt idx="1">
                  <c:v>9.0016203889066676E-4</c:v>
                </c:pt>
                <c:pt idx="2">
                  <c:v>1.9335713470981352E-3</c:v>
                </c:pt>
                <c:pt idx="3">
                  <c:v>3.2374027782904151E-3</c:v>
                </c:pt>
                <c:pt idx="4">
                  <c:v>3.9108101633263453E-3</c:v>
                </c:pt>
                <c:pt idx="5">
                  <c:v>4.7709091978723603E-3</c:v>
                </c:pt>
                <c:pt idx="6">
                  <c:v>6.4785340352629187E-3</c:v>
                </c:pt>
                <c:pt idx="7">
                  <c:v>6.4278811344891393E-3</c:v>
                </c:pt>
                <c:pt idx="8">
                  <c:v>7.2799750194361915E-3</c:v>
                </c:pt>
                <c:pt idx="9">
                  <c:v>9.6928622479260304E-3</c:v>
                </c:pt>
                <c:pt idx="10">
                  <c:v>1.1692364430546831E-2</c:v>
                </c:pt>
                <c:pt idx="11">
                  <c:v>1.2602526673411222E-2</c:v>
                </c:pt>
                <c:pt idx="12">
                  <c:v>1.4676713837516312E-2</c:v>
                </c:pt>
                <c:pt idx="13">
                  <c:v>1.6176916237487213E-2</c:v>
                </c:pt>
                <c:pt idx="14">
                  <c:v>1.6290670073744296E-2</c:v>
                </c:pt>
                <c:pt idx="15">
                  <c:v>1.7097296700408202E-2</c:v>
                </c:pt>
                <c:pt idx="16">
                  <c:v>1.7495155348071927E-2</c:v>
                </c:pt>
                <c:pt idx="17">
                  <c:v>1.8652506837020674E-2</c:v>
                </c:pt>
                <c:pt idx="18">
                  <c:v>1.9531898754114888E-2</c:v>
                </c:pt>
                <c:pt idx="19">
                  <c:v>1.9905024442781336E-2</c:v>
                </c:pt>
                <c:pt idx="20">
                  <c:v>2.036099674183791E-2</c:v>
                </c:pt>
                <c:pt idx="21">
                  <c:v>2.0822550599815703E-2</c:v>
                </c:pt>
                <c:pt idx="22">
                  <c:v>2.1003025573523383E-2</c:v>
                </c:pt>
                <c:pt idx="23">
                  <c:v>2.1731386759168345E-2</c:v>
                </c:pt>
                <c:pt idx="24">
                  <c:v>2.2511314172158466E-2</c:v>
                </c:pt>
                <c:pt idx="25">
                  <c:v>2.3458507740729183E-2</c:v>
                </c:pt>
                <c:pt idx="26">
                  <c:v>2.3559469108946029E-2</c:v>
                </c:pt>
                <c:pt idx="27">
                  <c:v>2.3915874716263347E-2</c:v>
                </c:pt>
                <c:pt idx="28">
                  <c:v>2.4548711270146614E-2</c:v>
                </c:pt>
                <c:pt idx="29">
                  <c:v>2.4978375940948348E-2</c:v>
                </c:pt>
                <c:pt idx="30">
                  <c:v>2.5191379797856479E-2</c:v>
                </c:pt>
                <c:pt idx="31">
                  <c:v>2.5365442504194563E-2</c:v>
                </c:pt>
                <c:pt idx="32">
                  <c:v>2.5819146593607303E-2</c:v>
                </c:pt>
                <c:pt idx="33">
                  <c:v>2.5933660380019687E-2</c:v>
                </c:pt>
                <c:pt idx="34">
                  <c:v>2.646414881102999E-2</c:v>
                </c:pt>
                <c:pt idx="35">
                  <c:v>2.6578740653615932E-2</c:v>
                </c:pt>
                <c:pt idx="36">
                  <c:v>2.6900427405614578E-2</c:v>
                </c:pt>
                <c:pt idx="37">
                  <c:v>2.7229331143130663E-2</c:v>
                </c:pt>
                <c:pt idx="38">
                  <c:v>2.7624556443780236E-2</c:v>
                </c:pt>
                <c:pt idx="39">
                  <c:v>2.7791637487861967E-2</c:v>
                </c:pt>
                <c:pt idx="40">
                  <c:v>2.9936552997638931E-2</c:v>
                </c:pt>
                <c:pt idx="41">
                  <c:v>3.0819442224374015E-2</c:v>
                </c:pt>
                <c:pt idx="42">
                  <c:v>3.0751403773138782E-2</c:v>
                </c:pt>
                <c:pt idx="43">
                  <c:v>3.1730641882030286E-2</c:v>
                </c:pt>
                <c:pt idx="44">
                  <c:v>3.1932997829673335E-2</c:v>
                </c:pt>
                <c:pt idx="45">
                  <c:v>3.2248325059496437E-2</c:v>
                </c:pt>
                <c:pt idx="46">
                  <c:v>3.242583716459152E-2</c:v>
                </c:pt>
                <c:pt idx="47">
                  <c:v>3.2475368110935224E-2</c:v>
                </c:pt>
                <c:pt idx="48">
                  <c:v>3.2568306776154111E-2</c:v>
                </c:pt>
                <c:pt idx="49">
                  <c:v>3.2593561536861167E-2</c:v>
                </c:pt>
                <c:pt idx="50">
                  <c:v>3.2668925511066184E-2</c:v>
                </c:pt>
                <c:pt idx="51">
                  <c:v>3.2694366706560264E-2</c:v>
                </c:pt>
                <c:pt idx="52">
                  <c:v>3.2737797226158494E-2</c:v>
                </c:pt>
                <c:pt idx="53">
                  <c:v>3.3204386419987825E-2</c:v>
                </c:pt>
                <c:pt idx="54">
                  <c:v>3.2665144378469381E-2</c:v>
                </c:pt>
                <c:pt idx="55">
                  <c:v>3.2621099881843522E-2</c:v>
                </c:pt>
                <c:pt idx="56">
                  <c:v>3.2572571831648682E-2</c:v>
                </c:pt>
                <c:pt idx="57">
                  <c:v>3.2616306816689644E-2</c:v>
                </c:pt>
                <c:pt idx="58">
                  <c:v>3.273966750531037E-2</c:v>
                </c:pt>
                <c:pt idx="59">
                  <c:v>3.2941499388036005E-2</c:v>
                </c:pt>
                <c:pt idx="60">
                  <c:v>3.3015701709892042E-2</c:v>
                </c:pt>
                <c:pt idx="61">
                  <c:v>3.3084331612537474E-2</c:v>
                </c:pt>
                <c:pt idx="62">
                  <c:v>3.3085028985465212E-2</c:v>
                </c:pt>
                <c:pt idx="63">
                  <c:v>3.3114226813211106E-2</c:v>
                </c:pt>
                <c:pt idx="64">
                  <c:v>3.2893591637567353E-2</c:v>
                </c:pt>
                <c:pt idx="65">
                  <c:v>3.2864114156576717E-2</c:v>
                </c:pt>
                <c:pt idx="66">
                  <c:v>3.3012362183300233E-2</c:v>
                </c:pt>
                <c:pt idx="67">
                  <c:v>3.3013594352687928E-2</c:v>
                </c:pt>
                <c:pt idx="68">
                  <c:v>3.294049666331593E-2</c:v>
                </c:pt>
                <c:pt idx="69">
                  <c:v>3.283734631325904E-2</c:v>
                </c:pt>
                <c:pt idx="70">
                  <c:v>3.2690627172528276E-2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F6-AE4B-8B8A-15F6E7C0E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115408"/>
        <c:axId val="972123136"/>
      </c:lineChart>
      <c:dateAx>
        <c:axId val="972115408"/>
        <c:scaling>
          <c:orientation val="minMax"/>
        </c:scaling>
        <c:delete val="0"/>
        <c:axPos val="b"/>
        <c:numFmt formatCode="[$-409]d\-mmm\-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2123136"/>
        <c:crosses val="autoZero"/>
        <c:auto val="1"/>
        <c:lblOffset val="100"/>
        <c:baseTimeUnit val="days"/>
      </c:dateAx>
      <c:valAx>
        <c:axId val="97212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211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32</xdr:row>
      <xdr:rowOff>21432</xdr:rowOff>
    </xdr:from>
    <xdr:to>
      <xdr:col>5</xdr:col>
      <xdr:colOff>809625</xdr:colOff>
      <xdr:row>48</xdr:row>
      <xdr:rowOff>97632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5EDFBD0-AC92-2D64-DAA1-39D99A4432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105162</xdr:colOff>
      <xdr:row>2</xdr:row>
      <xdr:rowOff>29710</xdr:rowOff>
    </xdr:from>
    <xdr:to>
      <xdr:col>12</xdr:col>
      <xdr:colOff>620633</xdr:colOff>
      <xdr:row>17</xdr:row>
      <xdr:rowOff>106485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C606D5D-578E-0A69-2E47-BA3B89CE7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G31"/>
  <sheetViews>
    <sheetView topLeftCell="A28" zoomScaleNormal="100" workbookViewId="0">
      <selection activeCell="D51" sqref="D51"/>
    </sheetView>
  </sheetViews>
  <sheetFormatPr baseColWidth="10" defaultColWidth="8.83203125" defaultRowHeight="13"/>
  <cols>
    <col min="1" max="1" width="13.1640625" customWidth="1"/>
    <col min="5" max="5" width="17.5" bestFit="1" customWidth="1"/>
    <col min="6" max="6" width="13.33203125" customWidth="1"/>
    <col min="7" max="7" width="19.1640625" bestFit="1" customWidth="1"/>
  </cols>
  <sheetData>
    <row r="1" spans="1:7" ht="18">
      <c r="A1" s="35" t="s">
        <v>8</v>
      </c>
      <c r="B1" s="35"/>
      <c r="C1" s="35"/>
      <c r="D1" s="35"/>
      <c r="E1" s="35"/>
      <c r="F1" s="35"/>
      <c r="G1" s="35"/>
    </row>
    <row r="2" spans="1:7">
      <c r="B2" t="s">
        <v>9</v>
      </c>
      <c r="C2" t="s">
        <v>10</v>
      </c>
      <c r="E2" s="26" t="s">
        <v>57</v>
      </c>
    </row>
    <row r="3" spans="1:7">
      <c r="A3" t="s">
        <v>4</v>
      </c>
      <c r="B3" s="3">
        <v>0.05</v>
      </c>
      <c r="C3" s="3">
        <v>0.05</v>
      </c>
      <c r="E3" t="s">
        <v>13</v>
      </c>
      <c r="F3" s="3">
        <v>0.06</v>
      </c>
    </row>
    <row r="4" spans="1:7">
      <c r="A4" t="s">
        <v>11</v>
      </c>
      <c r="B4">
        <v>10</v>
      </c>
      <c r="C4">
        <v>20</v>
      </c>
      <c r="E4" t="s">
        <v>14</v>
      </c>
      <c r="F4" s="4">
        <f>NPV(F3,B8:B17)</f>
        <v>926.39912948585265</v>
      </c>
    </row>
    <row r="5" spans="1:7">
      <c r="A5" t="s">
        <v>12</v>
      </c>
      <c r="B5" s="5">
        <v>1000</v>
      </c>
      <c r="C5" s="5">
        <v>1000</v>
      </c>
      <c r="E5" t="s">
        <v>15</v>
      </c>
      <c r="F5" s="4">
        <f>NPV(F3,C8:C27)</f>
        <v>885.3007878143469</v>
      </c>
    </row>
    <row r="7" spans="1:7">
      <c r="A7" s="1" t="s">
        <v>6</v>
      </c>
      <c r="B7" s="7" t="s">
        <v>9</v>
      </c>
      <c r="C7" s="7" t="s">
        <v>10</v>
      </c>
      <c r="E7" s="26" t="s">
        <v>58</v>
      </c>
    </row>
    <row r="8" spans="1:7">
      <c r="A8" s="8">
        <v>1</v>
      </c>
      <c r="B8" s="5">
        <f t="shared" ref="B8:B16" si="0">$B$3*$B$5</f>
        <v>50</v>
      </c>
      <c r="C8" s="5">
        <f t="shared" ref="C8:C26" si="1">$C$3*$C$5</f>
        <v>50</v>
      </c>
      <c r="E8" s="7" t="s">
        <v>59</v>
      </c>
    </row>
    <row r="9" spans="1:7">
      <c r="A9" s="8">
        <v>2</v>
      </c>
      <c r="B9" s="5">
        <f t="shared" si="0"/>
        <v>50</v>
      </c>
      <c r="C9" s="5">
        <f t="shared" si="1"/>
        <v>50</v>
      </c>
      <c r="E9" s="1" t="s">
        <v>16</v>
      </c>
      <c r="F9" s="1" t="s">
        <v>17</v>
      </c>
      <c r="G9" s="1" t="s">
        <v>18</v>
      </c>
    </row>
    <row r="10" spans="1:7">
      <c r="A10" s="8">
        <v>3</v>
      </c>
      <c r="B10" s="5">
        <f t="shared" si="0"/>
        <v>50</v>
      </c>
      <c r="C10" s="5">
        <f t="shared" si="1"/>
        <v>50</v>
      </c>
      <c r="E10" s="9">
        <v>0</v>
      </c>
      <c r="F10" s="23">
        <f>NPV(E10,$B$8:$B$17)</f>
        <v>1500</v>
      </c>
      <c r="G10" s="23">
        <f>NPV(E10,$C$8:$C$27)</f>
        <v>2000</v>
      </c>
    </row>
    <row r="11" spans="1:7">
      <c r="A11" s="8">
        <v>4</v>
      </c>
      <c r="B11" s="5">
        <f t="shared" si="0"/>
        <v>50</v>
      </c>
      <c r="C11" s="5">
        <f t="shared" si="1"/>
        <v>50</v>
      </c>
      <c r="E11" s="9">
        <v>0.01</v>
      </c>
      <c r="F11" s="23">
        <f t="shared" ref="F11:F26" si="2">NPV(E11,$B$8:$B$17)</f>
        <v>1378.8521812280669</v>
      </c>
      <c r="G11" s="23">
        <f t="shared" ref="G11:G26" si="3">NPV(E11,$C$8:$C$27)</f>
        <v>1721.8221186508179</v>
      </c>
    </row>
    <row r="12" spans="1:7">
      <c r="A12" s="8">
        <v>5</v>
      </c>
      <c r="B12" s="5">
        <f t="shared" si="0"/>
        <v>50</v>
      </c>
      <c r="C12" s="5">
        <f t="shared" si="1"/>
        <v>50</v>
      </c>
      <c r="E12" s="9">
        <v>0.02</v>
      </c>
      <c r="F12" s="23">
        <f t="shared" si="2"/>
        <v>1269.4775501872671</v>
      </c>
      <c r="G12" s="23">
        <f t="shared" si="3"/>
        <v>1490.5430003379131</v>
      </c>
    </row>
    <row r="13" spans="1:7">
      <c r="A13" s="8">
        <v>6</v>
      </c>
      <c r="B13" s="5">
        <f t="shared" si="0"/>
        <v>50</v>
      </c>
      <c r="C13" s="5">
        <f t="shared" si="1"/>
        <v>50</v>
      </c>
      <c r="E13" s="9">
        <v>0.03</v>
      </c>
      <c r="F13" s="23">
        <f t="shared" si="2"/>
        <v>1170.6040567355165</v>
      </c>
      <c r="G13" s="23">
        <f t="shared" si="3"/>
        <v>1297.5494972091096</v>
      </c>
    </row>
    <row r="14" spans="1:7">
      <c r="A14" s="8">
        <v>7</v>
      </c>
      <c r="B14" s="5">
        <f t="shared" si="0"/>
        <v>50</v>
      </c>
      <c r="C14" s="5">
        <f t="shared" si="1"/>
        <v>50</v>
      </c>
      <c r="E14" s="9">
        <v>0.04</v>
      </c>
      <c r="F14" s="23">
        <f t="shared" si="2"/>
        <v>1081.10895779355</v>
      </c>
      <c r="G14" s="23">
        <f t="shared" si="3"/>
        <v>1135.9032634496762</v>
      </c>
    </row>
    <row r="15" spans="1:7">
      <c r="A15" s="8">
        <v>8</v>
      </c>
      <c r="B15" s="5">
        <f t="shared" si="0"/>
        <v>50</v>
      </c>
      <c r="C15" s="5">
        <f t="shared" si="1"/>
        <v>50</v>
      </c>
      <c r="E15" s="9">
        <v>0.05</v>
      </c>
      <c r="F15" s="23">
        <f t="shared" si="2"/>
        <v>999.99999999999977</v>
      </c>
      <c r="G15" s="23">
        <f t="shared" si="3"/>
        <v>999.99999999999932</v>
      </c>
    </row>
    <row r="16" spans="1:7">
      <c r="A16" s="8">
        <v>9</v>
      </c>
      <c r="B16" s="5">
        <f t="shared" si="0"/>
        <v>50</v>
      </c>
      <c r="C16" s="5">
        <f t="shared" si="1"/>
        <v>50</v>
      </c>
      <c r="E16" s="9">
        <v>0.06</v>
      </c>
      <c r="F16" s="23">
        <f t="shared" si="2"/>
        <v>926.39912948585265</v>
      </c>
      <c r="G16" s="23">
        <f t="shared" si="3"/>
        <v>885.3007878143469</v>
      </c>
    </row>
    <row r="17" spans="1:7">
      <c r="A17" s="8">
        <v>10</v>
      </c>
      <c r="B17" s="5">
        <f>$B$3*$B$5+B5</f>
        <v>1050</v>
      </c>
      <c r="C17" s="5">
        <f t="shared" si="1"/>
        <v>50</v>
      </c>
      <c r="E17" s="9">
        <v>7.0000000000000007E-2</v>
      </c>
      <c r="F17" s="23">
        <f t="shared" si="2"/>
        <v>859.52836918134744</v>
      </c>
      <c r="G17" s="23">
        <f t="shared" si="3"/>
        <v>788.11971508967622</v>
      </c>
    </row>
    <row r="18" spans="1:7">
      <c r="A18" s="8">
        <v>11</v>
      </c>
      <c r="B18" s="5"/>
      <c r="C18" s="5">
        <f t="shared" si="1"/>
        <v>50</v>
      </c>
      <c r="E18" s="9">
        <v>0.08</v>
      </c>
      <c r="F18" s="23">
        <f t="shared" si="2"/>
        <v>798.69755803175622</v>
      </c>
      <c r="G18" s="23">
        <f t="shared" si="3"/>
        <v>705.45557777652084</v>
      </c>
    </row>
    <row r="19" spans="1:7">
      <c r="A19" s="8">
        <v>12</v>
      </c>
      <c r="B19" s="5"/>
      <c r="C19" s="5">
        <f t="shared" si="1"/>
        <v>50</v>
      </c>
      <c r="E19" s="9">
        <v>0.09</v>
      </c>
      <c r="F19" s="23">
        <f t="shared" si="2"/>
        <v>743.29369195363927</v>
      </c>
      <c r="G19" s="23">
        <f t="shared" si="3"/>
        <v>634.85817323656261</v>
      </c>
    </row>
    <row r="20" spans="1:7">
      <c r="A20" s="8">
        <v>13</v>
      </c>
      <c r="B20" s="5"/>
      <c r="C20" s="5">
        <f t="shared" si="1"/>
        <v>50</v>
      </c>
      <c r="E20" s="9">
        <v>0.1</v>
      </c>
      <c r="F20" s="23">
        <f t="shared" si="2"/>
        <v>692.77164471476544</v>
      </c>
      <c r="G20" s="23">
        <f t="shared" si="3"/>
        <v>574.3218140120714</v>
      </c>
    </row>
    <row r="21" spans="1:7">
      <c r="A21" s="8">
        <v>14</v>
      </c>
      <c r="B21" s="5"/>
      <c r="C21" s="5">
        <f t="shared" si="1"/>
        <v>50</v>
      </c>
      <c r="E21" s="9">
        <v>0.11</v>
      </c>
      <c r="F21" s="23">
        <f t="shared" si="2"/>
        <v>646.64607933152729</v>
      </c>
      <c r="G21" s="23">
        <f t="shared" si="3"/>
        <v>522.20031295798685</v>
      </c>
    </row>
    <row r="22" spans="1:7">
      <c r="A22" s="8">
        <v>15</v>
      </c>
      <c r="B22" s="5"/>
      <c r="C22" s="5">
        <f t="shared" si="1"/>
        <v>50</v>
      </c>
      <c r="E22" s="9">
        <v>0.12</v>
      </c>
      <c r="F22" s="23">
        <f t="shared" si="2"/>
        <v>604.48438801123905</v>
      </c>
      <c r="G22" s="23">
        <f t="shared" si="3"/>
        <v>477.13894629706778</v>
      </c>
    </row>
    <row r="23" spans="1:7">
      <c r="A23" s="8">
        <v>16</v>
      </c>
      <c r="B23" s="5"/>
      <c r="C23" s="5">
        <f t="shared" si="1"/>
        <v>50</v>
      </c>
      <c r="E23" s="9">
        <v>0.14000000000000001</v>
      </c>
      <c r="F23" s="23">
        <f t="shared" si="2"/>
        <v>530.54959183357744</v>
      </c>
      <c r="G23" s="23">
        <f t="shared" si="3"/>
        <v>403.91825035456475</v>
      </c>
    </row>
    <row r="24" spans="1:7">
      <c r="A24" s="8">
        <v>17</v>
      </c>
      <c r="B24" s="5"/>
      <c r="C24" s="5">
        <f t="shared" si="1"/>
        <v>50</v>
      </c>
      <c r="E24" s="9">
        <v>0.16</v>
      </c>
      <c r="F24" s="23">
        <f t="shared" si="2"/>
        <v>468.34497736967819</v>
      </c>
      <c r="G24" s="23">
        <f t="shared" si="3"/>
        <v>347.82750104924446</v>
      </c>
    </row>
    <row r="25" spans="1:7">
      <c r="A25" s="8">
        <v>18</v>
      </c>
      <c r="B25" s="5"/>
      <c r="C25" s="5">
        <f t="shared" si="1"/>
        <v>50</v>
      </c>
      <c r="E25" s="9">
        <v>0.18</v>
      </c>
      <c r="F25" s="23">
        <f t="shared" si="2"/>
        <v>415.76878165982652</v>
      </c>
      <c r="G25" s="23">
        <f t="shared" si="3"/>
        <v>304.14295537337483</v>
      </c>
    </row>
    <row r="26" spans="1:7">
      <c r="A26" s="8">
        <v>19</v>
      </c>
      <c r="B26" s="5"/>
      <c r="C26" s="5">
        <f t="shared" si="1"/>
        <v>50</v>
      </c>
      <c r="E26" s="9">
        <v>0.2</v>
      </c>
      <c r="F26" s="23">
        <f t="shared" si="2"/>
        <v>371.12918716738432</v>
      </c>
      <c r="G26" s="23">
        <f t="shared" si="3"/>
        <v>269.56303997844168</v>
      </c>
    </row>
    <row r="27" spans="1:7">
      <c r="A27" s="8">
        <v>20</v>
      </c>
      <c r="B27" s="5"/>
      <c r="C27" s="5">
        <f>$C$3*$C$5+C5</f>
        <v>1050</v>
      </c>
      <c r="E27" s="9"/>
      <c r="F27" s="23"/>
      <c r="G27" s="23"/>
    </row>
    <row r="28" spans="1:7">
      <c r="E28" s="3"/>
    </row>
    <row r="29" spans="1:7">
      <c r="A29" s="26" t="s">
        <v>60</v>
      </c>
    </row>
    <row r="30" spans="1:7">
      <c r="A30" s="24" t="s">
        <v>52</v>
      </c>
    </row>
    <row r="31" spans="1:7">
      <c r="A31" s="24" t="s">
        <v>53</v>
      </c>
    </row>
  </sheetData>
  <mergeCells count="1">
    <mergeCell ref="A1:G1"/>
  </mergeCells>
  <phoneticPr fontId="7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4"/>
  <sheetViews>
    <sheetView topLeftCell="A7" zoomScaleNormal="100" workbookViewId="0">
      <selection activeCell="E15" sqref="E15"/>
    </sheetView>
  </sheetViews>
  <sheetFormatPr baseColWidth="10" defaultColWidth="8.83203125" defaultRowHeight="13"/>
  <cols>
    <col min="1" max="1" width="21.83203125" customWidth="1"/>
    <col min="2" max="2" width="11" bestFit="1" customWidth="1"/>
    <col min="3" max="3" width="27.33203125" customWidth="1"/>
  </cols>
  <sheetData>
    <row r="1" spans="1:3" ht="18">
      <c r="A1" s="35" t="s">
        <v>2</v>
      </c>
      <c r="B1" s="35"/>
      <c r="C1" s="35"/>
    </row>
    <row r="2" spans="1:3">
      <c r="A2" t="s">
        <v>3</v>
      </c>
      <c r="B2" s="4">
        <v>1000</v>
      </c>
    </row>
    <row r="3" spans="1:3">
      <c r="A3" t="s">
        <v>4</v>
      </c>
      <c r="B3" s="3">
        <v>0.06</v>
      </c>
    </row>
    <row r="4" spans="1:3">
      <c r="A4" t="s">
        <v>5</v>
      </c>
      <c r="B4" s="4">
        <v>1252</v>
      </c>
    </row>
    <row r="6" spans="1:3">
      <c r="A6" t="s">
        <v>6</v>
      </c>
      <c r="B6" t="s">
        <v>7</v>
      </c>
    </row>
    <row r="7" spans="1:3">
      <c r="A7" s="27">
        <v>42217</v>
      </c>
      <c r="B7" s="5">
        <f>-B4</f>
        <v>-1252</v>
      </c>
    </row>
    <row r="8" spans="1:3">
      <c r="A8" s="27">
        <v>42583</v>
      </c>
      <c r="B8" s="5">
        <f>$B$2*$B$3</f>
        <v>60</v>
      </c>
    </row>
    <row r="9" spans="1:3">
      <c r="A9" s="27">
        <v>42948</v>
      </c>
      <c r="B9" s="5">
        <f t="shared" ref="B9:B17" si="0">$B$2*$B$3</f>
        <v>60</v>
      </c>
    </row>
    <row r="10" spans="1:3">
      <c r="A10" s="27">
        <v>43313</v>
      </c>
      <c r="B10" s="5">
        <f t="shared" si="0"/>
        <v>60</v>
      </c>
    </row>
    <row r="11" spans="1:3">
      <c r="A11" s="27">
        <v>43678</v>
      </c>
      <c r="B11" s="5">
        <f t="shared" si="0"/>
        <v>60</v>
      </c>
    </row>
    <row r="12" spans="1:3">
      <c r="A12" s="27">
        <v>44044</v>
      </c>
      <c r="B12" s="5">
        <f t="shared" si="0"/>
        <v>60</v>
      </c>
    </row>
    <row r="13" spans="1:3">
      <c r="A13" s="27">
        <v>44409</v>
      </c>
      <c r="B13" s="5">
        <f t="shared" si="0"/>
        <v>60</v>
      </c>
    </row>
    <row r="14" spans="1:3">
      <c r="A14" s="27">
        <v>44774</v>
      </c>
      <c r="B14" s="5">
        <f t="shared" si="0"/>
        <v>60</v>
      </c>
    </row>
    <row r="15" spans="1:3">
      <c r="A15" s="27">
        <v>45139</v>
      </c>
      <c r="B15" s="5">
        <f t="shared" si="0"/>
        <v>60</v>
      </c>
    </row>
    <row r="16" spans="1:3">
      <c r="A16" s="27">
        <v>45505</v>
      </c>
      <c r="B16" s="5">
        <f t="shared" si="0"/>
        <v>60</v>
      </c>
    </row>
    <row r="17" spans="1:2">
      <c r="A17" s="27">
        <v>45870</v>
      </c>
      <c r="B17" s="5">
        <f t="shared" si="0"/>
        <v>60</v>
      </c>
    </row>
    <row r="18" spans="1:2">
      <c r="A18" s="27">
        <v>46235</v>
      </c>
      <c r="B18" s="5">
        <f>B2+B3*B2</f>
        <v>1060</v>
      </c>
    </row>
    <row r="20" spans="1:2">
      <c r="A20" s="26" t="s">
        <v>57</v>
      </c>
    </row>
    <row r="21" spans="1:2">
      <c r="A21" t="s">
        <v>61</v>
      </c>
      <c r="B21" s="32">
        <f>IRR(B7:B18)</f>
        <v>3.2401035689784807E-2</v>
      </c>
    </row>
    <row r="22" spans="1:2">
      <c r="B22" s="6"/>
    </row>
    <row r="23" spans="1:2">
      <c r="A23" s="26" t="s">
        <v>58</v>
      </c>
    </row>
    <row r="24" spans="1:2">
      <c r="A24" t="s">
        <v>62</v>
      </c>
      <c r="B24" s="32">
        <f>XIRR(B7:B18,A7:A18)</f>
        <v>3.2375165820121773E-2</v>
      </c>
    </row>
  </sheetData>
  <mergeCells count="1">
    <mergeCell ref="A1:C1"/>
  </mergeCells>
  <phoneticPr fontId="7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/>
  <dimension ref="A1:C11"/>
  <sheetViews>
    <sheetView zoomScaleNormal="100" workbookViewId="0">
      <selection activeCell="C8" sqref="C8"/>
    </sheetView>
  </sheetViews>
  <sheetFormatPr baseColWidth="10" defaultColWidth="8.83203125" defaultRowHeight="13"/>
  <cols>
    <col min="1" max="1" width="22.6640625" customWidth="1"/>
    <col min="2" max="2" width="12" bestFit="1" customWidth="1"/>
    <col min="3" max="3" width="19.5" bestFit="1" customWidth="1"/>
  </cols>
  <sheetData>
    <row r="1" spans="1:3" ht="34.5" customHeight="1">
      <c r="A1" s="36" t="s">
        <v>19</v>
      </c>
      <c r="B1" s="36"/>
      <c r="C1" s="36"/>
    </row>
    <row r="2" spans="1:3">
      <c r="A2" t="s">
        <v>20</v>
      </c>
      <c r="B2" s="10">
        <v>9925</v>
      </c>
    </row>
    <row r="3" spans="1:3">
      <c r="A3" t="s">
        <v>12</v>
      </c>
      <c r="B3" s="10">
        <v>10000</v>
      </c>
    </row>
    <row r="4" spans="1:3">
      <c r="A4" t="s">
        <v>21</v>
      </c>
      <c r="B4">
        <v>0.5</v>
      </c>
    </row>
    <row r="6" spans="1:3">
      <c r="A6" s="7" t="s">
        <v>45</v>
      </c>
    </row>
    <row r="7" spans="1:3">
      <c r="A7" t="s">
        <v>23</v>
      </c>
      <c r="B7" s="33">
        <f>(B3/B2)^(1/(365*B4))-1</f>
        <v>4.125162573331842E-5</v>
      </c>
    </row>
    <row r="8" spans="1:3">
      <c r="A8" t="s">
        <v>22</v>
      </c>
      <c r="B8" s="32">
        <f>(1+B7)^365-1</f>
        <v>1.5170453463924316E-2</v>
      </c>
    </row>
    <row r="10" spans="1:3">
      <c r="A10" s="7" t="s">
        <v>46</v>
      </c>
    </row>
    <row r="11" spans="1:3">
      <c r="A11" t="s">
        <v>24</v>
      </c>
      <c r="B11" s="33">
        <f>LN(B3/B2)/B4</f>
        <v>1.5056532841583176E-2</v>
      </c>
    </row>
  </sheetData>
  <mergeCells count="1">
    <mergeCell ref="A1:C1"/>
  </mergeCells>
  <phoneticPr fontId="7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C12"/>
  <sheetViews>
    <sheetView zoomScaleNormal="100" workbookViewId="0">
      <selection activeCell="C12" sqref="C12"/>
    </sheetView>
  </sheetViews>
  <sheetFormatPr baseColWidth="10" defaultColWidth="8.83203125" defaultRowHeight="13"/>
  <cols>
    <col min="1" max="1" width="31.33203125" customWidth="1"/>
    <col min="2" max="2" width="11" bestFit="1" customWidth="1"/>
    <col min="3" max="3" width="19.6640625" customWidth="1"/>
  </cols>
  <sheetData>
    <row r="1" spans="1:3" ht="44.25" customHeight="1">
      <c r="A1" s="36" t="s">
        <v>19</v>
      </c>
      <c r="B1" s="36"/>
      <c r="C1" s="36"/>
    </row>
    <row r="2" spans="1:3">
      <c r="A2" t="s">
        <v>20</v>
      </c>
      <c r="B2" s="10">
        <v>9756</v>
      </c>
    </row>
    <row r="3" spans="1:3">
      <c r="A3" t="s">
        <v>12</v>
      </c>
      <c r="B3" s="10">
        <v>10000</v>
      </c>
    </row>
    <row r="4" spans="1:3">
      <c r="A4" t="s">
        <v>25</v>
      </c>
      <c r="B4" s="10">
        <v>210</v>
      </c>
    </row>
    <row r="5" spans="1:3">
      <c r="A5" t="s">
        <v>21</v>
      </c>
      <c r="B5">
        <f>B4/365</f>
        <v>0.57534246575342463</v>
      </c>
      <c r="C5" t="str">
        <f ca="1">getformula(B5)</f>
        <v>&lt;-- =B4/365</v>
      </c>
    </row>
    <row r="7" spans="1:3">
      <c r="A7" s="7" t="s">
        <v>63</v>
      </c>
    </row>
    <row r="8" spans="1:3">
      <c r="A8" t="s">
        <v>23</v>
      </c>
      <c r="B8" s="32">
        <f>(B3/B2)^(1/B4)-1</f>
        <v>1.1763840761847E-4</v>
      </c>
    </row>
    <row r="9" spans="1:3">
      <c r="A9" t="s">
        <v>22</v>
      </c>
      <c r="B9" s="32">
        <f>(1+B8)^365-1</f>
        <v>4.3870556137001193E-2</v>
      </c>
    </row>
    <row r="11" spans="1:3">
      <c r="A11" s="7" t="s">
        <v>64</v>
      </c>
    </row>
    <row r="12" spans="1:3">
      <c r="A12" t="s">
        <v>24</v>
      </c>
      <c r="B12" s="32">
        <f>LN(B3/B2)/B5</f>
        <v>4.2935493398741705E-2</v>
      </c>
    </row>
  </sheetData>
  <mergeCells count="1">
    <mergeCell ref="A1:C1"/>
  </mergeCells>
  <phoneticPr fontId="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35"/>
  <sheetViews>
    <sheetView zoomScaleNormal="100" workbookViewId="0">
      <selection activeCell="C36" sqref="C36"/>
    </sheetView>
  </sheetViews>
  <sheetFormatPr baseColWidth="10" defaultColWidth="8.83203125" defaultRowHeight="13"/>
  <cols>
    <col min="1" max="1" width="30" bestFit="1" customWidth="1"/>
    <col min="2" max="2" width="14.6640625" customWidth="1"/>
    <col min="3" max="3" width="37.33203125" bestFit="1" customWidth="1"/>
  </cols>
  <sheetData>
    <row r="1" spans="1:3" ht="18">
      <c r="A1" s="35" t="s">
        <v>26</v>
      </c>
      <c r="B1" s="35"/>
      <c r="C1" s="35"/>
    </row>
    <row r="2" spans="1:3" s="13" customFormat="1">
      <c r="A2" s="14"/>
      <c r="B2" s="14"/>
      <c r="C2" s="14"/>
    </row>
    <row r="3" spans="1:3">
      <c r="A3" s="7" t="s">
        <v>34</v>
      </c>
    </row>
    <row r="4" spans="1:3">
      <c r="A4" t="s">
        <v>27</v>
      </c>
      <c r="B4" s="28">
        <v>42055</v>
      </c>
    </row>
    <row r="5" spans="1:3">
      <c r="A5" t="s">
        <v>28</v>
      </c>
      <c r="B5" s="28">
        <v>41927</v>
      </c>
    </row>
    <row r="6" spans="1:3">
      <c r="A6" t="s">
        <v>29</v>
      </c>
      <c r="B6" s="28">
        <v>42109</v>
      </c>
    </row>
    <row r="7" spans="1:3">
      <c r="A7" t="s">
        <v>30</v>
      </c>
      <c r="B7" s="5">
        <v>3250</v>
      </c>
    </row>
    <row r="9" spans="1:3">
      <c r="A9" t="s">
        <v>31</v>
      </c>
      <c r="B9">
        <f>B4-B5</f>
        <v>128</v>
      </c>
    </row>
    <row r="10" spans="1:3" ht="28">
      <c r="A10" s="12" t="s">
        <v>32</v>
      </c>
      <c r="B10">
        <f>B6-B5</f>
        <v>182</v>
      </c>
    </row>
    <row r="12" spans="1:3">
      <c r="A12" t="s">
        <v>33</v>
      </c>
      <c r="B12" s="5">
        <f>B7*B9/B10</f>
        <v>2285.7142857142858</v>
      </c>
    </row>
    <row r="14" spans="1:3">
      <c r="A14" s="7" t="s">
        <v>35</v>
      </c>
    </row>
    <row r="15" spans="1:3">
      <c r="A15" s="13" t="s">
        <v>5</v>
      </c>
      <c r="B15" s="5">
        <v>107152</v>
      </c>
    </row>
    <row r="16" spans="1:3">
      <c r="A16" s="13" t="s">
        <v>33</v>
      </c>
      <c r="B16" s="5">
        <f>B12</f>
        <v>2285.7142857142858</v>
      </c>
    </row>
    <row r="17" spans="1:2">
      <c r="A17" s="13" t="s">
        <v>38</v>
      </c>
      <c r="B17" s="5">
        <f>SUM(B15:B16)</f>
        <v>109437.71428571429</v>
      </c>
    </row>
    <row r="18" spans="1:2">
      <c r="A18" s="7"/>
      <c r="B18" s="5"/>
    </row>
    <row r="19" spans="1:2" ht="14">
      <c r="A19" s="1" t="s">
        <v>36</v>
      </c>
      <c r="B19" s="15" t="s">
        <v>65</v>
      </c>
    </row>
    <row r="20" spans="1:2">
      <c r="A20" s="29">
        <v>42055</v>
      </c>
      <c r="B20" s="5">
        <f>-B17</f>
        <v>-109437.71428571429</v>
      </c>
    </row>
    <row r="21" spans="1:2">
      <c r="A21" s="29">
        <v>42109</v>
      </c>
      <c r="B21" s="5">
        <f>$B$7</f>
        <v>3250</v>
      </c>
    </row>
    <row r="22" spans="1:2">
      <c r="A22" s="29">
        <v>42292</v>
      </c>
      <c r="B22" s="5">
        <f t="shared" ref="B22:B31" si="0">$B$7</f>
        <v>3250</v>
      </c>
    </row>
    <row r="23" spans="1:2">
      <c r="A23" s="29">
        <v>42475</v>
      </c>
      <c r="B23" s="5">
        <f t="shared" si="0"/>
        <v>3250</v>
      </c>
    </row>
    <row r="24" spans="1:2">
      <c r="A24" s="29">
        <v>42658</v>
      </c>
      <c r="B24" s="5">
        <f t="shared" si="0"/>
        <v>3250</v>
      </c>
    </row>
    <row r="25" spans="1:2">
      <c r="A25" s="29">
        <v>42840</v>
      </c>
      <c r="B25" s="5">
        <f t="shared" si="0"/>
        <v>3250</v>
      </c>
    </row>
    <row r="26" spans="1:2">
      <c r="A26" s="29">
        <v>43023</v>
      </c>
      <c r="B26" s="5">
        <f t="shared" si="0"/>
        <v>3250</v>
      </c>
    </row>
    <row r="27" spans="1:2">
      <c r="A27" s="29">
        <v>43205</v>
      </c>
      <c r="B27" s="5">
        <f t="shared" si="0"/>
        <v>3250</v>
      </c>
    </row>
    <row r="28" spans="1:2">
      <c r="A28" s="29">
        <v>43388</v>
      </c>
      <c r="B28" s="5">
        <f t="shared" si="0"/>
        <v>3250</v>
      </c>
    </row>
    <row r="29" spans="1:2">
      <c r="A29" s="29">
        <v>43570</v>
      </c>
      <c r="B29" s="5">
        <f t="shared" si="0"/>
        <v>3250</v>
      </c>
    </row>
    <row r="30" spans="1:2">
      <c r="A30" s="29">
        <v>43753</v>
      </c>
      <c r="B30" s="5">
        <f t="shared" si="0"/>
        <v>3250</v>
      </c>
    </row>
    <row r="31" spans="1:2">
      <c r="A31" s="29">
        <v>43936</v>
      </c>
      <c r="B31" s="5">
        <f t="shared" si="0"/>
        <v>3250</v>
      </c>
    </row>
    <row r="32" spans="1:2">
      <c r="A32" s="29">
        <v>44119</v>
      </c>
      <c r="B32" s="5">
        <f>B7+100000</f>
        <v>103250</v>
      </c>
    </row>
    <row r="34" spans="1:2">
      <c r="A34" t="s">
        <v>37</v>
      </c>
      <c r="B34" s="16">
        <f>XIRR(B20:B32,A20:A32)</f>
        <v>5.0853481888771063E-2</v>
      </c>
    </row>
    <row r="35" spans="1:2">
      <c r="B35" s="16"/>
    </row>
  </sheetData>
  <mergeCells count="1">
    <mergeCell ref="A1:C1"/>
  </mergeCells>
  <phoneticPr fontId="7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1"/>
  <dimension ref="A1:C36"/>
  <sheetViews>
    <sheetView zoomScaleNormal="100" workbookViewId="0">
      <selection activeCell="C34" sqref="A1:C34"/>
    </sheetView>
  </sheetViews>
  <sheetFormatPr baseColWidth="10" defaultColWidth="8.83203125" defaultRowHeight="13"/>
  <cols>
    <col min="1" max="1" width="31.33203125" customWidth="1"/>
    <col min="2" max="2" width="14.1640625" bestFit="1" customWidth="1"/>
    <col min="3" max="3" width="38.33203125" bestFit="1" customWidth="1"/>
  </cols>
  <sheetData>
    <row r="1" spans="1:3" ht="18">
      <c r="A1" s="35" t="s">
        <v>26</v>
      </c>
      <c r="B1" s="35"/>
      <c r="C1" s="35"/>
    </row>
    <row r="2" spans="1:3">
      <c r="A2" s="7" t="s">
        <v>34</v>
      </c>
    </row>
    <row r="3" spans="1:3">
      <c r="A3" t="s">
        <v>27</v>
      </c>
      <c r="B3" s="28">
        <v>42061</v>
      </c>
    </row>
    <row r="4" spans="1:3">
      <c r="A4" t="s">
        <v>28</v>
      </c>
      <c r="B4" s="28">
        <v>42019</v>
      </c>
    </row>
    <row r="5" spans="1:3">
      <c r="A5" t="s">
        <v>29</v>
      </c>
      <c r="B5" s="28">
        <v>42200</v>
      </c>
    </row>
    <row r="6" spans="1:3">
      <c r="A6" t="s">
        <v>30</v>
      </c>
      <c r="B6" s="5">
        <f>100*8.2%/2</f>
        <v>4.0999999999999996</v>
      </c>
    </row>
    <row r="8" spans="1:3">
      <c r="A8" t="s">
        <v>31</v>
      </c>
      <c r="B8">
        <f>B3-B4</f>
        <v>42</v>
      </c>
    </row>
    <row r="9" spans="1:3" ht="28">
      <c r="A9" s="12" t="s">
        <v>32</v>
      </c>
      <c r="B9">
        <f>B5-B4</f>
        <v>181</v>
      </c>
    </row>
    <row r="10" spans="1:3">
      <c r="A10" s="12"/>
    </row>
    <row r="11" spans="1:3">
      <c r="A11" s="26" t="s">
        <v>57</v>
      </c>
    </row>
    <row r="12" spans="1:3">
      <c r="A12" t="s">
        <v>33</v>
      </c>
      <c r="B12" s="5">
        <f>B6*B8/B9</f>
        <v>0.95138121546961318</v>
      </c>
    </row>
    <row r="14" spans="1:3">
      <c r="A14" s="26" t="s">
        <v>66</v>
      </c>
    </row>
    <row r="15" spans="1:3">
      <c r="A15" s="13" t="s">
        <v>5</v>
      </c>
      <c r="B15" s="5">
        <v>103.79</v>
      </c>
    </row>
    <row r="16" spans="1:3">
      <c r="A16" s="13" t="s">
        <v>33</v>
      </c>
      <c r="B16" s="5">
        <f>B12</f>
        <v>0.95138121546961318</v>
      </c>
    </row>
    <row r="17" spans="1:2">
      <c r="A17" s="13" t="s">
        <v>38</v>
      </c>
      <c r="B17" s="5">
        <f>SUM(B15:B16)</f>
        <v>104.74138121546962</v>
      </c>
    </row>
    <row r="18" spans="1:2">
      <c r="A18" s="7"/>
      <c r="B18" s="5"/>
    </row>
    <row r="19" spans="1:2" ht="14">
      <c r="A19" s="1" t="s">
        <v>36</v>
      </c>
      <c r="B19" s="15" t="s">
        <v>65</v>
      </c>
    </row>
    <row r="20" spans="1:2">
      <c r="A20" s="28">
        <f>B3</f>
        <v>42061</v>
      </c>
      <c r="B20" s="5">
        <f>-B17</f>
        <v>-104.74138121546962</v>
      </c>
    </row>
    <row r="21" spans="1:2">
      <c r="A21" s="28">
        <v>42200</v>
      </c>
      <c r="B21" s="5">
        <f>$B$6</f>
        <v>4.0999999999999996</v>
      </c>
    </row>
    <row r="22" spans="1:2">
      <c r="A22" s="28">
        <v>42384</v>
      </c>
      <c r="B22" s="5">
        <f t="shared" ref="B22:B31" si="0">$B$6</f>
        <v>4.0999999999999996</v>
      </c>
    </row>
    <row r="23" spans="1:2">
      <c r="A23" s="28">
        <v>42566</v>
      </c>
      <c r="B23" s="5">
        <f t="shared" si="0"/>
        <v>4.0999999999999996</v>
      </c>
    </row>
    <row r="24" spans="1:2">
      <c r="A24" s="28">
        <v>42750</v>
      </c>
      <c r="B24" s="5">
        <f t="shared" si="0"/>
        <v>4.0999999999999996</v>
      </c>
    </row>
    <row r="25" spans="1:2">
      <c r="A25" s="28">
        <v>42931</v>
      </c>
      <c r="B25" s="5">
        <f t="shared" si="0"/>
        <v>4.0999999999999996</v>
      </c>
    </row>
    <row r="26" spans="1:2">
      <c r="A26" s="28">
        <v>43115</v>
      </c>
      <c r="B26" s="5">
        <f t="shared" si="0"/>
        <v>4.0999999999999996</v>
      </c>
    </row>
    <row r="27" spans="1:2">
      <c r="A27" s="28">
        <v>43296</v>
      </c>
      <c r="B27" s="5">
        <f t="shared" si="0"/>
        <v>4.0999999999999996</v>
      </c>
    </row>
    <row r="28" spans="1:2">
      <c r="A28" s="28">
        <v>43480</v>
      </c>
      <c r="B28" s="5">
        <f t="shared" si="0"/>
        <v>4.0999999999999996</v>
      </c>
    </row>
    <row r="29" spans="1:2">
      <c r="A29" s="28">
        <v>43661</v>
      </c>
      <c r="B29" s="5">
        <f t="shared" si="0"/>
        <v>4.0999999999999996</v>
      </c>
    </row>
    <row r="30" spans="1:2">
      <c r="A30" s="28">
        <v>43845</v>
      </c>
      <c r="B30" s="5">
        <f t="shared" si="0"/>
        <v>4.0999999999999996</v>
      </c>
    </row>
    <row r="31" spans="1:2">
      <c r="A31" s="28">
        <v>44027</v>
      </c>
      <c r="B31" s="5">
        <f t="shared" si="0"/>
        <v>4.0999999999999996</v>
      </c>
    </row>
    <row r="32" spans="1:2">
      <c r="A32" s="28">
        <v>44211</v>
      </c>
      <c r="B32" s="5">
        <f>100+B6</f>
        <v>104.1</v>
      </c>
    </row>
    <row r="34" spans="1:2">
      <c r="A34" t="s">
        <v>37</v>
      </c>
      <c r="B34" s="17">
        <f>XIRR(B20:B32,A20:A32)</f>
        <v>7.5203695893287681E-2</v>
      </c>
    </row>
    <row r="35" spans="1:2">
      <c r="B35" s="17"/>
    </row>
    <row r="36" spans="1:2">
      <c r="B36" s="16"/>
    </row>
  </sheetData>
  <mergeCells count="1">
    <mergeCell ref="A1:C1"/>
  </mergeCells>
  <phoneticPr fontId="7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01D2-7477-6142-BC0D-86FDD4EC3A51}">
  <dimension ref="A1:C32"/>
  <sheetViews>
    <sheetView topLeftCell="A15" zoomScaleNormal="100" workbookViewId="0">
      <selection activeCell="B32" sqref="B32"/>
    </sheetView>
  </sheetViews>
  <sheetFormatPr baseColWidth="10" defaultRowHeight="13"/>
  <cols>
    <col min="1" max="1" width="31.33203125" customWidth="1"/>
    <col min="2" max="2" width="14.1640625" bestFit="1" customWidth="1"/>
    <col min="3" max="3" width="38.33203125" bestFit="1" customWidth="1"/>
  </cols>
  <sheetData>
    <row r="1" spans="1:3" ht="18">
      <c r="A1" s="35" t="s">
        <v>26</v>
      </c>
      <c r="B1" s="35"/>
      <c r="C1" s="35"/>
    </row>
    <row r="2" spans="1:3">
      <c r="A2" s="7" t="s">
        <v>34</v>
      </c>
    </row>
    <row r="3" spans="1:3">
      <c r="A3" t="s">
        <v>27</v>
      </c>
      <c r="B3" s="28">
        <v>42177</v>
      </c>
    </row>
    <row r="4" spans="1:3">
      <c r="A4" t="s">
        <v>28</v>
      </c>
      <c r="B4" s="28">
        <v>42050</v>
      </c>
    </row>
    <row r="5" spans="1:3">
      <c r="A5" t="s">
        <v>29</v>
      </c>
      <c r="B5" s="28">
        <v>42231</v>
      </c>
    </row>
    <row r="6" spans="1:3">
      <c r="A6" t="s">
        <v>30</v>
      </c>
      <c r="B6" s="34">
        <f>100*8.75%/2</f>
        <v>4.375</v>
      </c>
    </row>
    <row r="8" spans="1:3">
      <c r="A8" t="s">
        <v>31</v>
      </c>
      <c r="B8">
        <f>B3-B4</f>
        <v>127</v>
      </c>
    </row>
    <row r="9" spans="1:3" ht="28">
      <c r="A9" s="12" t="s">
        <v>32</v>
      </c>
      <c r="B9">
        <f>B5-B4</f>
        <v>181</v>
      </c>
    </row>
    <row r="10" spans="1:3">
      <c r="A10" s="12"/>
    </row>
    <row r="11" spans="1:3">
      <c r="A11" s="26" t="s">
        <v>57</v>
      </c>
    </row>
    <row r="12" spans="1:3">
      <c r="A12" t="s">
        <v>33</v>
      </c>
      <c r="B12" s="5">
        <f>B6*B8/B9</f>
        <v>3.0697513812154695</v>
      </c>
    </row>
    <row r="14" spans="1:3">
      <c r="A14" s="26" t="s">
        <v>66</v>
      </c>
    </row>
    <row r="15" spans="1:3">
      <c r="A15" s="13" t="s">
        <v>5</v>
      </c>
      <c r="B15" s="5">
        <v>138.88999999999999</v>
      </c>
    </row>
    <row r="16" spans="1:3">
      <c r="A16" s="13" t="s">
        <v>33</v>
      </c>
      <c r="B16" s="5">
        <f>B12</f>
        <v>3.0697513812154695</v>
      </c>
    </row>
    <row r="17" spans="1:2">
      <c r="A17" s="13" t="s">
        <v>38</v>
      </c>
      <c r="B17" s="5">
        <f>SUM(B15:B16)</f>
        <v>141.95975138121545</v>
      </c>
    </row>
    <row r="18" spans="1:2">
      <c r="A18" s="7"/>
      <c r="B18" s="5"/>
    </row>
    <row r="19" spans="1:2" ht="14">
      <c r="A19" s="1" t="s">
        <v>36</v>
      </c>
      <c r="B19" s="15" t="s">
        <v>65</v>
      </c>
    </row>
    <row r="20" spans="1:2">
      <c r="A20" s="28">
        <v>42177</v>
      </c>
      <c r="B20" s="5">
        <f>-B17</f>
        <v>-141.95975138121545</v>
      </c>
    </row>
    <row r="21" spans="1:2">
      <c r="A21" s="28">
        <v>42231</v>
      </c>
      <c r="B21" s="5">
        <f t="shared" ref="B21:B29" si="0">$B$6</f>
        <v>4.375</v>
      </c>
    </row>
    <row r="22" spans="1:2">
      <c r="A22" s="28">
        <v>42415</v>
      </c>
      <c r="B22" s="5">
        <f t="shared" si="0"/>
        <v>4.375</v>
      </c>
    </row>
    <row r="23" spans="1:2">
      <c r="A23" s="28">
        <v>42597</v>
      </c>
      <c r="B23" s="5">
        <f t="shared" si="0"/>
        <v>4.375</v>
      </c>
    </row>
    <row r="24" spans="1:2">
      <c r="A24" s="28">
        <v>42781</v>
      </c>
      <c r="B24" s="5">
        <f t="shared" si="0"/>
        <v>4.375</v>
      </c>
    </row>
    <row r="25" spans="1:2">
      <c r="A25" s="28">
        <v>42962</v>
      </c>
      <c r="B25" s="5">
        <f t="shared" si="0"/>
        <v>4.375</v>
      </c>
    </row>
    <row r="26" spans="1:2">
      <c r="A26" s="28">
        <v>43146</v>
      </c>
      <c r="B26" s="5">
        <f t="shared" si="0"/>
        <v>4.375</v>
      </c>
    </row>
    <row r="27" spans="1:2">
      <c r="A27" s="28">
        <v>43327</v>
      </c>
      <c r="B27" s="5">
        <f t="shared" si="0"/>
        <v>4.375</v>
      </c>
    </row>
    <row r="28" spans="1:2">
      <c r="A28" s="28">
        <v>43511</v>
      </c>
      <c r="B28" s="5">
        <f t="shared" si="0"/>
        <v>4.375</v>
      </c>
    </row>
    <row r="29" spans="1:2">
      <c r="A29" s="28">
        <v>43692</v>
      </c>
      <c r="B29" s="5">
        <f t="shared" si="0"/>
        <v>4.375</v>
      </c>
    </row>
    <row r="30" spans="1:2">
      <c r="A30" s="28">
        <v>43876</v>
      </c>
      <c r="B30" s="5">
        <f>100+$B$6</f>
        <v>104.375</v>
      </c>
    </row>
    <row r="32" spans="1:2">
      <c r="A32" t="s">
        <v>37</v>
      </c>
      <c r="B32" s="17">
        <f>XIRR(B20:B30,A20:A30)</f>
        <v>3.1644672155380247E-3</v>
      </c>
    </row>
  </sheetData>
  <mergeCells count="1">
    <mergeCell ref="A1:C1"/>
  </mergeCells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N224"/>
  <sheetViews>
    <sheetView topLeftCell="B1" zoomScaleNormal="100" workbookViewId="0">
      <selection activeCell="P43" sqref="P43"/>
    </sheetView>
  </sheetViews>
  <sheetFormatPr baseColWidth="10" defaultColWidth="8.83203125" defaultRowHeight="13"/>
  <cols>
    <col min="1" max="1" width="12.33203125" style="8" customWidth="1"/>
    <col min="2" max="2" width="11.5" bestFit="1" customWidth="1"/>
    <col min="3" max="3" width="13.83203125" customWidth="1"/>
    <col min="4" max="5" width="11.33203125" customWidth="1"/>
    <col min="6" max="6" width="12.33203125" style="16" customWidth="1"/>
  </cols>
  <sheetData>
    <row r="1" spans="1:14" ht="18">
      <c r="A1" s="37" t="s">
        <v>67</v>
      </c>
      <c r="B1" s="37"/>
      <c r="C1" s="37"/>
    </row>
    <row r="2" spans="1:14">
      <c r="A2" s="20" t="s">
        <v>27</v>
      </c>
      <c r="B2" s="28">
        <v>42177</v>
      </c>
    </row>
    <row r="3" spans="1:14" ht="28">
      <c r="A3" s="1" t="s">
        <v>47</v>
      </c>
      <c r="B3" s="1" t="s">
        <v>11</v>
      </c>
      <c r="C3" s="15" t="s">
        <v>48</v>
      </c>
      <c r="D3" s="15" t="s">
        <v>49</v>
      </c>
      <c r="E3" s="15" t="s">
        <v>50</v>
      </c>
      <c r="F3" s="31" t="s">
        <v>51</v>
      </c>
      <c r="G3" s="1"/>
      <c r="H3" s="1"/>
      <c r="I3" s="1"/>
      <c r="J3" s="1"/>
      <c r="K3" s="1"/>
      <c r="L3" s="1"/>
      <c r="M3" s="1"/>
      <c r="N3" s="1"/>
    </row>
    <row r="4" spans="1:14" s="1" customFormat="1">
      <c r="A4" s="19">
        <v>99.996000000000009</v>
      </c>
      <c r="B4" s="30">
        <v>42231</v>
      </c>
      <c r="C4" s="21">
        <v>2.0000000000000001E-4</v>
      </c>
      <c r="D4">
        <f>B4-$B$2</f>
        <v>54</v>
      </c>
      <c r="E4" s="5">
        <f>D4/365</f>
        <v>0.14794520547945206</v>
      </c>
      <c r="F4" s="16">
        <f>LN(100/A4)/E4</f>
        <v>2.7037577792128094E-4</v>
      </c>
      <c r="G4"/>
      <c r="H4"/>
      <c r="I4"/>
      <c r="J4"/>
      <c r="K4"/>
      <c r="L4"/>
      <c r="M4"/>
      <c r="N4"/>
    </row>
    <row r="5" spans="1:14">
      <c r="A5" s="19">
        <v>99.963999999999999</v>
      </c>
      <c r="B5" s="30">
        <v>42323</v>
      </c>
      <c r="C5" s="21">
        <v>8.9999999999999998E-4</v>
      </c>
      <c r="D5">
        <f t="shared" ref="D5:D68" si="0">B5-$B$2</f>
        <v>146</v>
      </c>
      <c r="E5" s="5">
        <f t="shared" ref="E5:E68" si="1">D5/365</f>
        <v>0.4</v>
      </c>
      <c r="F5" s="16">
        <f t="shared" ref="F5:F68" si="2">LN(100/A5)/E5</f>
        <v>9.0016203889066676E-4</v>
      </c>
    </row>
    <row r="6" spans="1:14" ht="13" customHeight="1">
      <c r="A6" s="19">
        <v>99.873999999999995</v>
      </c>
      <c r="B6" s="30">
        <v>42415</v>
      </c>
      <c r="C6" s="21">
        <v>1.9E-3</v>
      </c>
      <c r="D6">
        <f t="shared" si="0"/>
        <v>238</v>
      </c>
      <c r="E6" s="5">
        <f t="shared" si="1"/>
        <v>0.65205479452054793</v>
      </c>
      <c r="F6" s="16">
        <f t="shared" si="2"/>
        <v>1.9335713470981352E-3</v>
      </c>
    </row>
    <row r="7" spans="1:14">
      <c r="A7" s="19">
        <v>99.709499999999991</v>
      </c>
      <c r="B7" s="30">
        <v>42505</v>
      </c>
      <c r="C7" s="21">
        <v>3.2000000000000002E-3</v>
      </c>
      <c r="D7">
        <f t="shared" si="0"/>
        <v>328</v>
      </c>
      <c r="E7" s="5">
        <f t="shared" si="1"/>
        <v>0.89863013698630134</v>
      </c>
      <c r="F7" s="16">
        <f t="shared" si="2"/>
        <v>3.2374027782904151E-3</v>
      </c>
    </row>
    <row r="8" spans="1:14">
      <c r="A8" s="19">
        <v>99.551000000000002</v>
      </c>
      <c r="B8" s="30">
        <v>42597</v>
      </c>
      <c r="C8" s="21">
        <v>3.9000000000000003E-3</v>
      </c>
      <c r="D8">
        <f t="shared" si="0"/>
        <v>420</v>
      </c>
      <c r="E8" s="5">
        <f t="shared" si="1"/>
        <v>1.1506849315068493</v>
      </c>
      <c r="F8" s="16">
        <f t="shared" si="2"/>
        <v>3.9108101633263453E-3</v>
      </c>
    </row>
    <row r="9" spans="1:14">
      <c r="A9" s="19">
        <v>99.332999999999998</v>
      </c>
      <c r="B9" s="30">
        <v>42689</v>
      </c>
      <c r="C9" s="21">
        <v>4.7999999999999996E-3</v>
      </c>
      <c r="D9">
        <f t="shared" si="0"/>
        <v>512</v>
      </c>
      <c r="E9" s="5">
        <f t="shared" si="1"/>
        <v>1.4027397260273973</v>
      </c>
      <c r="F9" s="16">
        <f t="shared" si="2"/>
        <v>4.7709091978723603E-3</v>
      </c>
    </row>
    <row r="10" spans="1:14">
      <c r="A10" s="19">
        <v>98.777500000000003</v>
      </c>
      <c r="B10" s="30">
        <v>42870</v>
      </c>
      <c r="C10" s="21">
        <v>6.4000000000000003E-3</v>
      </c>
      <c r="D10">
        <f t="shared" si="0"/>
        <v>693</v>
      </c>
      <c r="E10" s="5">
        <f t="shared" si="1"/>
        <v>1.8986301369863015</v>
      </c>
      <c r="F10" s="16">
        <f t="shared" si="2"/>
        <v>6.4785340352629187E-3</v>
      </c>
    </row>
    <row r="11" spans="1:14">
      <c r="A11" s="19">
        <v>98.787000000000006</v>
      </c>
      <c r="B11" s="30">
        <v>42870</v>
      </c>
      <c r="C11" s="21">
        <v>6.4000000000000003E-3</v>
      </c>
      <c r="D11">
        <f t="shared" si="0"/>
        <v>693</v>
      </c>
      <c r="E11" s="5">
        <f t="shared" si="1"/>
        <v>1.8986301369863015</v>
      </c>
      <c r="F11" s="16">
        <f t="shared" si="2"/>
        <v>6.4278811344891393E-3</v>
      </c>
    </row>
    <row r="12" spans="1:14">
      <c r="A12" s="19">
        <v>98.4465</v>
      </c>
      <c r="B12" s="30">
        <v>42962</v>
      </c>
      <c r="C12" s="21">
        <v>7.3000000000000001E-3</v>
      </c>
      <c r="D12">
        <f t="shared" si="0"/>
        <v>785</v>
      </c>
      <c r="E12" s="5">
        <f t="shared" si="1"/>
        <v>2.1506849315068495</v>
      </c>
      <c r="F12" s="16">
        <f t="shared" si="2"/>
        <v>7.2799750194361915E-3</v>
      </c>
    </row>
    <row r="13" spans="1:14">
      <c r="A13" s="19">
        <v>97.229500000000002</v>
      </c>
      <c r="B13" s="30">
        <v>43235</v>
      </c>
      <c r="C13" s="21">
        <v>9.7000000000000003E-3</v>
      </c>
      <c r="D13">
        <f t="shared" si="0"/>
        <v>1058</v>
      </c>
      <c r="E13" s="5">
        <f t="shared" si="1"/>
        <v>2.8986301369863012</v>
      </c>
      <c r="F13" s="16">
        <f t="shared" si="2"/>
        <v>9.6928622479260304E-3</v>
      </c>
    </row>
    <row r="14" spans="1:14">
      <c r="A14" s="19">
        <v>96.099500000000006</v>
      </c>
      <c r="B14" s="30">
        <v>43419</v>
      </c>
      <c r="C14" s="21">
        <v>1.1699999999999999E-2</v>
      </c>
      <c r="D14">
        <f t="shared" si="0"/>
        <v>1242</v>
      </c>
      <c r="E14" s="5">
        <f t="shared" si="1"/>
        <v>3.4027397260273973</v>
      </c>
      <c r="F14" s="16">
        <f t="shared" si="2"/>
        <v>1.1692364430546831E-2</v>
      </c>
    </row>
    <row r="15" spans="1:14">
      <c r="A15" s="19">
        <v>95.498500000000007</v>
      </c>
      <c r="B15" s="30">
        <v>43511</v>
      </c>
      <c r="C15" s="21">
        <v>1.26E-2</v>
      </c>
      <c r="D15">
        <f t="shared" si="0"/>
        <v>1334</v>
      </c>
      <c r="E15" s="5">
        <f t="shared" si="1"/>
        <v>3.6547945205479451</v>
      </c>
      <c r="F15" s="16">
        <f t="shared" si="2"/>
        <v>1.2602526673411222E-2</v>
      </c>
    </row>
    <row r="16" spans="1:14">
      <c r="A16" s="19">
        <v>94.09</v>
      </c>
      <c r="B16" s="30">
        <v>43692</v>
      </c>
      <c r="C16" s="21">
        <v>1.47E-2</v>
      </c>
      <c r="D16">
        <f t="shared" si="0"/>
        <v>1515</v>
      </c>
      <c r="E16" s="5">
        <f t="shared" si="1"/>
        <v>4.1506849315068495</v>
      </c>
      <c r="F16" s="16">
        <f t="shared" si="2"/>
        <v>1.4676713837516312E-2</v>
      </c>
    </row>
    <row r="17" spans="1:13">
      <c r="A17" s="19">
        <v>92.746499999999997</v>
      </c>
      <c r="B17" s="30">
        <v>43876</v>
      </c>
      <c r="C17" s="21">
        <v>1.6200000000000003E-2</v>
      </c>
      <c r="D17">
        <f t="shared" si="0"/>
        <v>1699</v>
      </c>
      <c r="E17" s="5">
        <f t="shared" si="1"/>
        <v>4.6547945205479451</v>
      </c>
      <c r="F17" s="16">
        <f t="shared" si="2"/>
        <v>1.6176916237487213E-2</v>
      </c>
    </row>
    <row r="18" spans="1:13">
      <c r="A18" s="19">
        <v>92.639499999999998</v>
      </c>
      <c r="B18" s="30">
        <v>43890</v>
      </c>
      <c r="C18" s="21">
        <v>1.6299999999999999E-2</v>
      </c>
      <c r="D18">
        <f t="shared" si="0"/>
        <v>1713</v>
      </c>
      <c r="E18" s="5">
        <f t="shared" si="1"/>
        <v>4.6931506849315072</v>
      </c>
      <c r="F18" s="16">
        <f t="shared" si="2"/>
        <v>1.6290670073744296E-2</v>
      </c>
    </row>
    <row r="19" spans="1:13">
      <c r="A19" s="19">
        <v>91.961500000000001</v>
      </c>
      <c r="B19" s="30">
        <v>43966</v>
      </c>
      <c r="C19" s="21">
        <v>1.72E-2</v>
      </c>
      <c r="D19">
        <f t="shared" si="0"/>
        <v>1789</v>
      </c>
      <c r="E19" s="5">
        <f t="shared" si="1"/>
        <v>4.9013698630136986</v>
      </c>
      <c r="F19" s="16">
        <f t="shared" si="2"/>
        <v>1.7097296700408202E-2</v>
      </c>
    </row>
    <row r="20" spans="1:13">
      <c r="A20" s="19">
        <v>91.378500000000003</v>
      </c>
      <c r="B20" s="30">
        <v>44058</v>
      </c>
      <c r="C20" s="21">
        <v>1.7500000000000002E-2</v>
      </c>
      <c r="D20">
        <f t="shared" si="0"/>
        <v>1881</v>
      </c>
      <c r="E20" s="5">
        <f t="shared" si="1"/>
        <v>5.1534246575342468</v>
      </c>
      <c r="F20" s="16">
        <f t="shared" si="2"/>
        <v>1.7495155348071927E-2</v>
      </c>
    </row>
    <row r="21" spans="1:13">
      <c r="A21" s="19">
        <v>89.984999999999999</v>
      </c>
      <c r="B21" s="30">
        <v>44242</v>
      </c>
      <c r="C21" s="21">
        <v>1.8700000000000001E-2</v>
      </c>
      <c r="D21">
        <f t="shared" si="0"/>
        <v>2065</v>
      </c>
      <c r="E21" s="5">
        <f t="shared" si="1"/>
        <v>5.6575342465753424</v>
      </c>
      <c r="F21" s="16">
        <f t="shared" si="2"/>
        <v>1.8652506837020674E-2</v>
      </c>
    </row>
    <row r="22" spans="1:13">
      <c r="A22" s="19">
        <v>89.113</v>
      </c>
      <c r="B22" s="30">
        <v>44331</v>
      </c>
      <c r="C22" s="21">
        <v>1.9599999999999999E-2</v>
      </c>
      <c r="D22">
        <f t="shared" si="0"/>
        <v>2154</v>
      </c>
      <c r="E22" s="5">
        <f t="shared" si="1"/>
        <v>5.9013698630136986</v>
      </c>
      <c r="F22" s="16">
        <f t="shared" si="2"/>
        <v>1.9531898754114888E-2</v>
      </c>
    </row>
    <row r="23" spans="1:13">
      <c r="A23" s="19">
        <v>88.471999999999994</v>
      </c>
      <c r="B23" s="30">
        <v>44423</v>
      </c>
      <c r="C23" s="21">
        <v>0.02</v>
      </c>
      <c r="D23">
        <f t="shared" si="0"/>
        <v>2246</v>
      </c>
      <c r="E23" s="5">
        <f t="shared" si="1"/>
        <v>6.1534246575342468</v>
      </c>
      <c r="F23" s="16">
        <f t="shared" si="2"/>
        <v>1.9905024442781336E-2</v>
      </c>
    </row>
    <row r="24" spans="1:13">
      <c r="A24" s="19">
        <v>87.772500000000008</v>
      </c>
      <c r="B24" s="30">
        <v>44515</v>
      </c>
      <c r="C24" s="21">
        <v>2.0499999999999997E-2</v>
      </c>
      <c r="D24">
        <f t="shared" si="0"/>
        <v>2338</v>
      </c>
      <c r="E24" s="5">
        <f t="shared" si="1"/>
        <v>6.4054794520547942</v>
      </c>
      <c r="F24" s="16">
        <f t="shared" si="2"/>
        <v>2.036099674183791E-2</v>
      </c>
    </row>
    <row r="25" spans="1:13">
      <c r="A25" s="19">
        <v>86.161000000000001</v>
      </c>
      <c r="B25" s="30">
        <v>44788</v>
      </c>
      <c r="C25" s="21">
        <v>2.0899999999999998E-2</v>
      </c>
      <c r="D25">
        <f t="shared" si="0"/>
        <v>2611</v>
      </c>
      <c r="E25" s="5">
        <f t="shared" si="1"/>
        <v>7.1534246575342468</v>
      </c>
      <c r="F25" s="16">
        <f t="shared" si="2"/>
        <v>2.0822550599815703E-2</v>
      </c>
    </row>
    <row r="26" spans="1:13">
      <c r="A26" s="19">
        <v>85.595499999999987</v>
      </c>
      <c r="B26" s="30">
        <v>44880</v>
      </c>
      <c r="C26" s="21">
        <v>2.1099999999999997E-2</v>
      </c>
      <c r="D26">
        <f t="shared" si="0"/>
        <v>2703</v>
      </c>
      <c r="E26" s="5">
        <f t="shared" si="1"/>
        <v>7.4054794520547942</v>
      </c>
      <c r="F26" s="16">
        <f t="shared" si="2"/>
        <v>2.1003025573523383E-2</v>
      </c>
      <c r="I26" s="26" t="s">
        <v>58</v>
      </c>
    </row>
    <row r="27" spans="1:13">
      <c r="A27" s="19">
        <v>84.67</v>
      </c>
      <c r="B27" s="30">
        <v>44972</v>
      </c>
      <c r="C27" s="21">
        <v>2.18E-2</v>
      </c>
      <c r="D27">
        <f t="shared" si="0"/>
        <v>2795</v>
      </c>
      <c r="E27" s="5">
        <f t="shared" si="1"/>
        <v>7.6575342465753424</v>
      </c>
      <c r="F27" s="16">
        <f t="shared" si="2"/>
        <v>2.1731386759168345E-2</v>
      </c>
      <c r="I27" s="38" t="s">
        <v>68</v>
      </c>
      <c r="J27" s="38"/>
      <c r="K27" s="38"/>
      <c r="L27" s="38"/>
      <c r="M27" s="38"/>
    </row>
    <row r="28" spans="1:13" ht="12.75" customHeight="1">
      <c r="A28" s="19">
        <v>83.231499999999997</v>
      </c>
      <c r="B28" s="30">
        <v>45153</v>
      </c>
      <c r="C28" s="21">
        <v>2.2599999999999999E-2</v>
      </c>
      <c r="D28">
        <f t="shared" si="0"/>
        <v>2976</v>
      </c>
      <c r="E28" s="5">
        <f t="shared" si="1"/>
        <v>8.1534246575342468</v>
      </c>
      <c r="F28" s="16">
        <f t="shared" si="2"/>
        <v>2.2511314172158466E-2</v>
      </c>
      <c r="I28" s="38"/>
      <c r="J28" s="38"/>
      <c r="K28" s="38"/>
      <c r="L28" s="38"/>
      <c r="M28" s="38"/>
    </row>
    <row r="29" spans="1:13">
      <c r="A29" s="19">
        <v>80.19550000000001</v>
      </c>
      <c r="B29" s="30">
        <v>45611</v>
      </c>
      <c r="C29" s="21">
        <v>2.3599999999999999E-2</v>
      </c>
      <c r="D29">
        <f t="shared" si="0"/>
        <v>3434</v>
      </c>
      <c r="E29" s="5">
        <f t="shared" si="1"/>
        <v>9.4082191780821915</v>
      </c>
      <c r="F29" s="16">
        <f t="shared" si="2"/>
        <v>2.3458507740729183E-2</v>
      </c>
      <c r="I29" s="38"/>
      <c r="J29" s="38"/>
      <c r="K29" s="38"/>
      <c r="L29" s="38"/>
      <c r="M29" s="38"/>
    </row>
    <row r="30" spans="1:13">
      <c r="A30" s="19">
        <v>79.64500000000001</v>
      </c>
      <c r="B30" s="30">
        <v>45703</v>
      </c>
      <c r="C30" s="21">
        <v>2.3700000000000002E-2</v>
      </c>
      <c r="D30">
        <f t="shared" si="0"/>
        <v>3526</v>
      </c>
      <c r="E30" s="5">
        <f t="shared" si="1"/>
        <v>9.6602739726027398</v>
      </c>
      <c r="F30" s="16">
        <f t="shared" si="2"/>
        <v>2.3559469108946029E-2</v>
      </c>
      <c r="I30" s="38"/>
      <c r="J30" s="38"/>
      <c r="K30" s="38"/>
      <c r="L30" s="38"/>
      <c r="M30" s="38"/>
    </row>
    <row r="31" spans="1:13">
      <c r="A31" s="19">
        <v>78.43549999999999</v>
      </c>
      <c r="B31" s="30">
        <v>45884</v>
      </c>
      <c r="C31" s="21">
        <v>2.4E-2</v>
      </c>
      <c r="D31">
        <f t="shared" si="0"/>
        <v>3707</v>
      </c>
      <c r="E31" s="5">
        <f t="shared" si="1"/>
        <v>10.156164383561643</v>
      </c>
      <c r="F31" s="16">
        <f t="shared" si="2"/>
        <v>2.3915874716263347E-2</v>
      </c>
      <c r="I31" s="38"/>
      <c r="J31" s="38"/>
      <c r="K31" s="38"/>
      <c r="L31" s="38"/>
      <c r="M31" s="38"/>
    </row>
    <row r="32" spans="1:13">
      <c r="A32" s="19">
        <v>76.974500000000006</v>
      </c>
      <c r="B32" s="30">
        <v>46068</v>
      </c>
      <c r="C32" s="21">
        <v>2.4700000000000003E-2</v>
      </c>
      <c r="D32">
        <f t="shared" si="0"/>
        <v>3891</v>
      </c>
      <c r="E32" s="5">
        <f t="shared" si="1"/>
        <v>10.66027397260274</v>
      </c>
      <c r="F32" s="16">
        <f t="shared" si="2"/>
        <v>2.4548711270146614E-2</v>
      </c>
      <c r="I32" s="38"/>
      <c r="J32" s="38"/>
      <c r="K32" s="38"/>
      <c r="L32" s="38"/>
      <c r="M32" s="38"/>
    </row>
    <row r="33" spans="1:13">
      <c r="A33" s="19">
        <v>75.679500000000004</v>
      </c>
      <c r="B33" s="30">
        <v>46249</v>
      </c>
      <c r="C33" s="21">
        <v>2.5099999999999997E-2</v>
      </c>
      <c r="D33">
        <f t="shared" si="0"/>
        <v>4072</v>
      </c>
      <c r="E33" s="5">
        <f t="shared" si="1"/>
        <v>11.156164383561643</v>
      </c>
      <c r="F33" s="16">
        <f t="shared" si="2"/>
        <v>2.4978375940948348E-2</v>
      </c>
      <c r="I33" s="38"/>
      <c r="J33" s="38"/>
      <c r="K33" s="38"/>
      <c r="L33" s="38"/>
      <c r="M33" s="38"/>
    </row>
    <row r="34" spans="1:13">
      <c r="A34" s="19">
        <v>75.021999999999991</v>
      </c>
      <c r="B34" s="30">
        <v>46341</v>
      </c>
      <c r="C34" s="21">
        <v>2.53E-2</v>
      </c>
      <c r="D34">
        <f t="shared" si="0"/>
        <v>4164</v>
      </c>
      <c r="E34" s="5">
        <f t="shared" si="1"/>
        <v>11.408219178082192</v>
      </c>
      <c r="F34" s="16">
        <f t="shared" si="2"/>
        <v>2.5191379797856479E-2</v>
      </c>
      <c r="I34" s="38"/>
      <c r="J34" s="38"/>
      <c r="K34" s="38"/>
      <c r="L34" s="38"/>
      <c r="M34" s="38"/>
    </row>
    <row r="35" spans="1:13">
      <c r="A35" s="19">
        <v>74.395999999999987</v>
      </c>
      <c r="B35" s="30">
        <v>46433</v>
      </c>
      <c r="C35" s="21">
        <v>2.5499999999999998E-2</v>
      </c>
      <c r="D35">
        <f t="shared" si="0"/>
        <v>4256</v>
      </c>
      <c r="E35" s="5">
        <f t="shared" si="1"/>
        <v>11.66027397260274</v>
      </c>
      <c r="F35" s="16">
        <f t="shared" si="2"/>
        <v>2.5365442504194563E-2</v>
      </c>
    </row>
    <row r="36" spans="1:13">
      <c r="A36" s="19">
        <v>73.061999999999998</v>
      </c>
      <c r="B36" s="30">
        <v>46614</v>
      </c>
      <c r="C36" s="21">
        <v>2.6000000000000002E-2</v>
      </c>
      <c r="D36">
        <f t="shared" si="0"/>
        <v>4437</v>
      </c>
      <c r="E36" s="5">
        <f t="shared" si="1"/>
        <v>12.156164383561643</v>
      </c>
      <c r="F36" s="16">
        <f t="shared" si="2"/>
        <v>2.5819146593607303E-2</v>
      </c>
    </row>
    <row r="37" spans="1:13">
      <c r="A37" s="19">
        <v>72.484999999999999</v>
      </c>
      <c r="B37" s="30">
        <v>46706</v>
      </c>
      <c r="C37" s="21">
        <v>2.6099999999999998E-2</v>
      </c>
      <c r="D37">
        <f t="shared" si="0"/>
        <v>4529</v>
      </c>
      <c r="E37" s="5">
        <f t="shared" si="1"/>
        <v>12.408219178082192</v>
      </c>
      <c r="F37" s="16">
        <f t="shared" si="2"/>
        <v>2.5933660380019687E-2</v>
      </c>
    </row>
    <row r="38" spans="1:13">
      <c r="A38" s="19">
        <v>70.592999999999989</v>
      </c>
      <c r="B38" s="30">
        <v>46980</v>
      </c>
      <c r="C38" s="21">
        <v>2.6600000000000002E-2</v>
      </c>
      <c r="D38">
        <f t="shared" si="0"/>
        <v>4803</v>
      </c>
      <c r="E38" s="5">
        <f t="shared" si="1"/>
        <v>13.158904109589042</v>
      </c>
      <c r="F38" s="16">
        <f t="shared" si="2"/>
        <v>2.646414881102999E-2</v>
      </c>
    </row>
    <row r="39" spans="1:13">
      <c r="A39" s="19">
        <v>70.015999999999991</v>
      </c>
      <c r="B39" s="30">
        <v>47072</v>
      </c>
      <c r="C39" s="21">
        <v>2.6699999999999998E-2</v>
      </c>
      <c r="D39">
        <f t="shared" si="0"/>
        <v>4895</v>
      </c>
      <c r="E39" s="5">
        <f t="shared" si="1"/>
        <v>13.41095890410959</v>
      </c>
      <c r="F39" s="16">
        <f t="shared" si="2"/>
        <v>2.6578740653615932E-2</v>
      </c>
    </row>
    <row r="40" spans="1:13">
      <c r="A40" s="19">
        <v>69.243500000000012</v>
      </c>
      <c r="B40" s="30">
        <v>47164</v>
      </c>
      <c r="C40" s="21">
        <v>2.7099999999999999E-2</v>
      </c>
      <c r="D40">
        <f t="shared" si="0"/>
        <v>4987</v>
      </c>
      <c r="E40" s="5">
        <f t="shared" si="1"/>
        <v>13.663013698630136</v>
      </c>
      <c r="F40" s="16">
        <f t="shared" si="2"/>
        <v>2.6900427405614578E-2</v>
      </c>
    </row>
    <row r="41" spans="1:13">
      <c r="A41" s="19">
        <v>68.008499999999998</v>
      </c>
      <c r="B41" s="30">
        <v>47345</v>
      </c>
      <c r="C41" s="21">
        <v>2.7400000000000001E-2</v>
      </c>
      <c r="D41">
        <f t="shared" si="0"/>
        <v>5168</v>
      </c>
      <c r="E41" s="5">
        <f t="shared" si="1"/>
        <v>14.158904109589042</v>
      </c>
      <c r="F41" s="16">
        <f t="shared" si="2"/>
        <v>2.7229331143130663E-2</v>
      </c>
    </row>
    <row r="42" spans="1:13">
      <c r="A42" s="19">
        <v>66.246000000000009</v>
      </c>
      <c r="B42" s="30">
        <v>47618</v>
      </c>
      <c r="C42" s="21">
        <v>2.7799999999999998E-2</v>
      </c>
      <c r="D42">
        <f t="shared" si="0"/>
        <v>5441</v>
      </c>
      <c r="E42" s="5">
        <f t="shared" si="1"/>
        <v>14.906849315068493</v>
      </c>
      <c r="F42" s="16">
        <f t="shared" si="2"/>
        <v>2.7624556443780236E-2</v>
      </c>
    </row>
    <row r="43" spans="1:13">
      <c r="A43" s="19">
        <v>64.706999999999994</v>
      </c>
      <c r="B43" s="30">
        <v>47894</v>
      </c>
      <c r="C43" s="21">
        <v>2.7999999999999997E-2</v>
      </c>
      <c r="D43">
        <f t="shared" si="0"/>
        <v>5717</v>
      </c>
      <c r="E43" s="5">
        <f t="shared" si="1"/>
        <v>15.663013698630136</v>
      </c>
      <c r="F43" s="16">
        <f t="shared" si="2"/>
        <v>2.7791637487861967E-2</v>
      </c>
    </row>
    <row r="44" spans="1:13">
      <c r="A44" s="19">
        <v>53.866500000000002</v>
      </c>
      <c r="B44" s="30">
        <v>49720</v>
      </c>
      <c r="C44" s="21">
        <v>3.0099999999999998E-2</v>
      </c>
      <c r="D44">
        <f t="shared" si="0"/>
        <v>7543</v>
      </c>
      <c r="E44" s="5">
        <f t="shared" si="1"/>
        <v>20.665753424657535</v>
      </c>
      <c r="F44" s="16">
        <f t="shared" si="2"/>
        <v>2.9936552997638931E-2</v>
      </c>
    </row>
    <row r="45" spans="1:13">
      <c r="A45" s="19">
        <v>51.283000000000001</v>
      </c>
      <c r="B45" s="30">
        <v>50086</v>
      </c>
      <c r="C45" s="21">
        <v>3.1E-2</v>
      </c>
      <c r="D45">
        <f t="shared" si="0"/>
        <v>7909</v>
      </c>
      <c r="E45" s="5">
        <f t="shared" si="1"/>
        <v>21.668493150684931</v>
      </c>
      <c r="F45" s="16">
        <f t="shared" si="2"/>
        <v>3.0819442224374015E-2</v>
      </c>
    </row>
    <row r="46" spans="1:13">
      <c r="A46" s="19">
        <v>50.975000000000001</v>
      </c>
      <c r="B46" s="30">
        <v>50175</v>
      </c>
      <c r="C46" s="21">
        <v>3.1E-2</v>
      </c>
      <c r="D46">
        <f t="shared" si="0"/>
        <v>7998</v>
      </c>
      <c r="E46" s="5">
        <f t="shared" si="1"/>
        <v>21.912328767123288</v>
      </c>
      <c r="F46" s="16">
        <f t="shared" si="2"/>
        <v>3.0751403773138782E-2</v>
      </c>
    </row>
    <row r="47" spans="1:13">
      <c r="A47" s="19">
        <v>48.71</v>
      </c>
      <c r="B47" s="30">
        <v>50451</v>
      </c>
      <c r="C47" s="21">
        <v>3.2000000000000001E-2</v>
      </c>
      <c r="D47">
        <f t="shared" si="0"/>
        <v>8274</v>
      </c>
      <c r="E47" s="5">
        <f t="shared" si="1"/>
        <v>22.668493150684931</v>
      </c>
      <c r="F47" s="16">
        <f t="shared" si="2"/>
        <v>3.1730641882030286E-2</v>
      </c>
    </row>
    <row r="48" spans="1:13">
      <c r="A48" s="19">
        <v>48.111000000000004</v>
      </c>
      <c r="B48" s="30">
        <v>50540</v>
      </c>
      <c r="C48" s="21">
        <v>3.2199999999999999E-2</v>
      </c>
      <c r="D48">
        <f t="shared" si="0"/>
        <v>8363</v>
      </c>
      <c r="E48" s="5">
        <f t="shared" si="1"/>
        <v>22.912328767123288</v>
      </c>
      <c r="F48" s="16">
        <f t="shared" si="2"/>
        <v>3.1932997829673335E-2</v>
      </c>
    </row>
    <row r="49" spans="1:6">
      <c r="A49" s="19">
        <v>46.614000000000004</v>
      </c>
      <c r="B49" s="30">
        <v>50816</v>
      </c>
      <c r="C49" s="21">
        <v>3.2500000000000001E-2</v>
      </c>
      <c r="D49">
        <f t="shared" si="0"/>
        <v>8639</v>
      </c>
      <c r="E49" s="5">
        <f t="shared" si="1"/>
        <v>23.668493150684931</v>
      </c>
      <c r="F49" s="16">
        <f t="shared" si="2"/>
        <v>3.2248325059496437E-2</v>
      </c>
    </row>
    <row r="50" spans="1:6">
      <c r="A50" s="19">
        <v>46.052999999999997</v>
      </c>
      <c r="B50" s="30">
        <v>50905</v>
      </c>
      <c r="C50" s="21">
        <v>3.27E-2</v>
      </c>
      <c r="D50">
        <f t="shared" si="0"/>
        <v>8728</v>
      </c>
      <c r="E50" s="5">
        <f t="shared" si="1"/>
        <v>23.912328767123288</v>
      </c>
      <c r="F50" s="16">
        <f t="shared" si="2"/>
        <v>3.242583716459152E-2</v>
      </c>
    </row>
    <row r="51" spans="1:6">
      <c r="A51" s="19">
        <v>45.6235</v>
      </c>
      <c r="B51" s="30">
        <v>50997</v>
      </c>
      <c r="C51" s="21">
        <v>3.27E-2</v>
      </c>
      <c r="D51">
        <f t="shared" si="0"/>
        <v>8820</v>
      </c>
      <c r="E51" s="5">
        <f t="shared" si="1"/>
        <v>24.164383561643834</v>
      </c>
      <c r="F51" s="16">
        <f t="shared" si="2"/>
        <v>3.2475368110935224E-2</v>
      </c>
    </row>
    <row r="52" spans="1:6">
      <c r="A52" s="19">
        <v>45.149000000000001</v>
      </c>
      <c r="B52" s="30">
        <v>51089</v>
      </c>
      <c r="C52" s="21">
        <v>3.2799999999999996E-2</v>
      </c>
      <c r="D52">
        <f t="shared" si="0"/>
        <v>8912</v>
      </c>
      <c r="E52" s="5">
        <f t="shared" si="1"/>
        <v>24.416438356164385</v>
      </c>
      <c r="F52" s="16">
        <f t="shared" si="2"/>
        <v>3.2568306776154111E-2</v>
      </c>
    </row>
    <row r="53" spans="1:6">
      <c r="A53" s="19">
        <v>44.751999999999995</v>
      </c>
      <c r="B53" s="30">
        <v>51181</v>
      </c>
      <c r="C53" s="21">
        <v>3.2799999999999996E-2</v>
      </c>
      <c r="D53">
        <f t="shared" si="0"/>
        <v>9004</v>
      </c>
      <c r="E53" s="5">
        <f t="shared" si="1"/>
        <v>24.668493150684931</v>
      </c>
      <c r="F53" s="16">
        <f t="shared" si="2"/>
        <v>3.2593561536861167E-2</v>
      </c>
    </row>
    <row r="54" spans="1:6">
      <c r="A54" s="19">
        <v>44.310500000000005</v>
      </c>
      <c r="B54" s="30">
        <v>51271</v>
      </c>
      <c r="C54" s="21">
        <v>3.2899999999999999E-2</v>
      </c>
      <c r="D54">
        <f t="shared" si="0"/>
        <v>9094</v>
      </c>
      <c r="E54" s="5">
        <f t="shared" si="1"/>
        <v>24.915068493150685</v>
      </c>
      <c r="F54" s="16">
        <f t="shared" si="2"/>
        <v>3.2668925511066184E-2</v>
      </c>
    </row>
    <row r="55" spans="1:6">
      <c r="A55" s="19">
        <v>43.918999999999997</v>
      </c>
      <c r="B55" s="30">
        <v>51363</v>
      </c>
      <c r="C55" s="21">
        <v>3.2899999999999999E-2</v>
      </c>
      <c r="D55">
        <f t="shared" si="0"/>
        <v>9186</v>
      </c>
      <c r="E55" s="5">
        <f t="shared" si="1"/>
        <v>25.167123287671235</v>
      </c>
      <c r="F55" s="16">
        <f t="shared" si="2"/>
        <v>3.2694366706560264E-2</v>
      </c>
    </row>
    <row r="56" spans="1:6">
      <c r="A56" s="19">
        <v>43.5105</v>
      </c>
      <c r="B56" s="30">
        <v>51455</v>
      </c>
      <c r="C56" s="21">
        <v>3.3000000000000002E-2</v>
      </c>
      <c r="D56">
        <f t="shared" si="0"/>
        <v>9278</v>
      </c>
      <c r="E56" s="5">
        <f t="shared" si="1"/>
        <v>25.419178082191781</v>
      </c>
      <c r="F56" s="16">
        <f t="shared" si="2"/>
        <v>3.2737797226158494E-2</v>
      </c>
    </row>
    <row r="57" spans="1:6">
      <c r="A57" s="19">
        <v>42.997500000000002</v>
      </c>
      <c r="B57" s="30">
        <v>51455</v>
      </c>
      <c r="C57" s="21">
        <v>3.3500000000000002E-2</v>
      </c>
      <c r="D57">
        <f t="shared" si="0"/>
        <v>9278</v>
      </c>
      <c r="E57" s="5">
        <f t="shared" si="1"/>
        <v>25.419178082191781</v>
      </c>
      <c r="F57" s="16">
        <f t="shared" si="2"/>
        <v>3.3204386419987825E-2</v>
      </c>
    </row>
    <row r="58" spans="1:6">
      <c r="A58" s="19">
        <v>43.233499999999999</v>
      </c>
      <c r="B58" s="30">
        <v>51547</v>
      </c>
      <c r="C58" s="21">
        <v>3.2899999999999999E-2</v>
      </c>
      <c r="D58">
        <f t="shared" si="0"/>
        <v>9370</v>
      </c>
      <c r="E58" s="5">
        <f t="shared" si="1"/>
        <v>25.671232876712327</v>
      </c>
      <c r="F58" s="16">
        <f t="shared" si="2"/>
        <v>3.2665144378469381E-2</v>
      </c>
    </row>
    <row r="59" spans="1:6">
      <c r="A59" s="19">
        <v>42.939499999999995</v>
      </c>
      <c r="B59" s="30">
        <v>51636</v>
      </c>
      <c r="C59" s="21">
        <v>3.2899999999999999E-2</v>
      </c>
      <c r="D59">
        <f t="shared" si="0"/>
        <v>9459</v>
      </c>
      <c r="E59" s="5">
        <f t="shared" si="1"/>
        <v>25.915068493150685</v>
      </c>
      <c r="F59" s="16">
        <f t="shared" si="2"/>
        <v>3.2621099881843522E-2</v>
      </c>
    </row>
    <row r="60" spans="1:6">
      <c r="A60" s="19">
        <v>42.642000000000003</v>
      </c>
      <c r="B60" s="30">
        <v>51728</v>
      </c>
      <c r="C60" s="21">
        <v>3.2799999999999996E-2</v>
      </c>
      <c r="D60">
        <f t="shared" si="0"/>
        <v>9551</v>
      </c>
      <c r="E60" s="5">
        <f t="shared" si="1"/>
        <v>26.167123287671235</v>
      </c>
      <c r="F60" s="16">
        <f t="shared" si="2"/>
        <v>3.2572571831648682E-2</v>
      </c>
    </row>
    <row r="61" spans="1:6">
      <c r="A61" s="19">
        <v>42.244500000000002</v>
      </c>
      <c r="B61" s="30">
        <v>51820</v>
      </c>
      <c r="C61" s="21">
        <v>3.2899999999999999E-2</v>
      </c>
      <c r="D61">
        <f t="shared" si="0"/>
        <v>9643</v>
      </c>
      <c r="E61" s="5">
        <f t="shared" si="1"/>
        <v>26.419178082191781</v>
      </c>
      <c r="F61" s="16">
        <f t="shared" si="2"/>
        <v>3.2616306816689644E-2</v>
      </c>
    </row>
    <row r="62" spans="1:6">
      <c r="A62" s="19">
        <v>41.761000000000003</v>
      </c>
      <c r="B62" s="30">
        <v>51912</v>
      </c>
      <c r="C62" s="21">
        <v>3.3000000000000002E-2</v>
      </c>
      <c r="D62">
        <f t="shared" si="0"/>
        <v>9735</v>
      </c>
      <c r="E62" s="5">
        <f t="shared" si="1"/>
        <v>26.671232876712327</v>
      </c>
      <c r="F62" s="16">
        <f t="shared" si="2"/>
        <v>3.273966750531037E-2</v>
      </c>
    </row>
    <row r="63" spans="1:6">
      <c r="A63" s="19">
        <v>41.204499999999996</v>
      </c>
      <c r="B63" s="30">
        <v>52001</v>
      </c>
      <c r="C63" s="21">
        <v>3.32E-2</v>
      </c>
      <c r="D63">
        <f t="shared" si="0"/>
        <v>9824</v>
      </c>
      <c r="E63" s="5">
        <f t="shared" si="1"/>
        <v>26.915068493150685</v>
      </c>
      <c r="F63" s="16">
        <f t="shared" si="2"/>
        <v>3.2941499388036005E-2</v>
      </c>
    </row>
    <row r="64" spans="1:6">
      <c r="A64" s="19">
        <v>40.781499999999994</v>
      </c>
      <c r="B64" s="30">
        <v>52093</v>
      </c>
      <c r="C64" s="21">
        <v>3.3300000000000003E-2</v>
      </c>
      <c r="D64">
        <f t="shared" si="0"/>
        <v>9916</v>
      </c>
      <c r="E64" s="5">
        <f t="shared" si="1"/>
        <v>27.167123287671235</v>
      </c>
      <c r="F64" s="16">
        <f t="shared" si="2"/>
        <v>3.3015701709892042E-2</v>
      </c>
    </row>
    <row r="65" spans="1:6">
      <c r="A65" s="19">
        <v>40.3675</v>
      </c>
      <c r="B65" s="30">
        <v>52185</v>
      </c>
      <c r="C65" s="21">
        <v>3.3300000000000003E-2</v>
      </c>
      <c r="D65">
        <f t="shared" si="0"/>
        <v>10008</v>
      </c>
      <c r="E65" s="5">
        <f t="shared" si="1"/>
        <v>27.419178082191781</v>
      </c>
      <c r="F65" s="16">
        <f t="shared" si="2"/>
        <v>3.3084331612537474E-2</v>
      </c>
    </row>
    <row r="66" spans="1:6">
      <c r="A66" s="19">
        <v>40.031499999999994</v>
      </c>
      <c r="B66" s="30">
        <v>52277</v>
      </c>
      <c r="C66" s="21">
        <v>3.3300000000000003E-2</v>
      </c>
      <c r="D66">
        <f t="shared" si="0"/>
        <v>10100</v>
      </c>
      <c r="E66" s="5">
        <f t="shared" si="1"/>
        <v>27.671232876712327</v>
      </c>
      <c r="F66" s="16">
        <f t="shared" si="2"/>
        <v>3.3085028985465212E-2</v>
      </c>
    </row>
    <row r="67" spans="1:6">
      <c r="A67" s="19">
        <v>39.677499999999995</v>
      </c>
      <c r="B67" s="30">
        <v>52366</v>
      </c>
      <c r="C67" s="21">
        <v>3.3399999999999999E-2</v>
      </c>
      <c r="D67">
        <f t="shared" si="0"/>
        <v>10189</v>
      </c>
      <c r="E67" s="5">
        <f t="shared" si="1"/>
        <v>27.915068493150685</v>
      </c>
      <c r="F67" s="16">
        <f t="shared" si="2"/>
        <v>3.3114226813211106E-2</v>
      </c>
    </row>
    <row r="68" spans="1:6">
      <c r="A68" s="19">
        <v>39.593000000000004</v>
      </c>
      <c r="B68" s="30">
        <v>52458</v>
      </c>
      <c r="C68" s="21">
        <v>3.3099999999999997E-2</v>
      </c>
      <c r="D68">
        <f t="shared" si="0"/>
        <v>10281</v>
      </c>
      <c r="E68" s="5">
        <f t="shared" si="1"/>
        <v>28.167123287671235</v>
      </c>
      <c r="F68" s="16">
        <f t="shared" si="2"/>
        <v>3.2893591637567353E-2</v>
      </c>
    </row>
    <row r="69" spans="1:6">
      <c r="A69" s="19">
        <v>39.298999999999999</v>
      </c>
      <c r="B69" s="30">
        <v>52550</v>
      </c>
      <c r="C69" s="21">
        <v>3.3099999999999997E-2</v>
      </c>
      <c r="D69">
        <f t="shared" ref="D69:D74" si="3">B69-$B$2</f>
        <v>10373</v>
      </c>
      <c r="E69" s="5">
        <f t="shared" ref="E69:E74" si="4">D69/365</f>
        <v>28.419178082191781</v>
      </c>
      <c r="F69" s="16">
        <f t="shared" ref="F69:F74" si="5">LN(100/A69)/E69</f>
        <v>3.2864114156576717E-2</v>
      </c>
    </row>
    <row r="70" spans="1:6">
      <c r="A70" s="19">
        <v>38.8095</v>
      </c>
      <c r="B70" s="30">
        <v>52642</v>
      </c>
      <c r="C70" s="21">
        <v>3.3300000000000003E-2</v>
      </c>
      <c r="D70">
        <f t="shared" si="3"/>
        <v>10465</v>
      </c>
      <c r="E70" s="5">
        <f t="shared" si="4"/>
        <v>28.671232876712327</v>
      </c>
      <c r="F70" s="16">
        <f t="shared" si="5"/>
        <v>3.3012362183300233E-2</v>
      </c>
    </row>
    <row r="71" spans="1:6">
      <c r="A71" s="19">
        <v>38.493499999999997</v>
      </c>
      <c r="B71" s="30">
        <v>52732</v>
      </c>
      <c r="C71" s="21">
        <v>3.3300000000000003E-2</v>
      </c>
      <c r="D71">
        <f t="shared" si="3"/>
        <v>10555</v>
      </c>
      <c r="E71" s="5">
        <f t="shared" si="4"/>
        <v>28.917808219178081</v>
      </c>
      <c r="F71" s="16">
        <f t="shared" si="5"/>
        <v>3.3013594352687928E-2</v>
      </c>
    </row>
    <row r="72" spans="1:6">
      <c r="A72" s="19">
        <v>38.256</v>
      </c>
      <c r="B72" s="30">
        <v>52824</v>
      </c>
      <c r="C72" s="21">
        <v>3.32E-2</v>
      </c>
      <c r="D72">
        <f t="shared" si="3"/>
        <v>10647</v>
      </c>
      <c r="E72" s="5">
        <f t="shared" si="4"/>
        <v>29.169863013698631</v>
      </c>
      <c r="F72" s="16">
        <f t="shared" si="5"/>
        <v>3.294049666331593E-2</v>
      </c>
    </row>
    <row r="73" spans="1:6">
      <c r="A73" s="19">
        <v>38.055</v>
      </c>
      <c r="B73" s="30">
        <v>52916</v>
      </c>
      <c r="C73" s="21">
        <v>3.3099999999999997E-2</v>
      </c>
      <c r="D73">
        <f t="shared" si="3"/>
        <v>10739</v>
      </c>
      <c r="E73" s="5">
        <f t="shared" si="4"/>
        <v>29.421917808219177</v>
      </c>
      <c r="F73" s="16">
        <f t="shared" si="5"/>
        <v>3.283734631325904E-2</v>
      </c>
    </row>
    <row r="74" spans="1:6">
      <c r="A74" s="19">
        <v>37.905999999999999</v>
      </c>
      <c r="B74" s="30">
        <v>53008</v>
      </c>
      <c r="C74" s="21">
        <v>3.2899999999999999E-2</v>
      </c>
      <c r="D74">
        <f t="shared" si="3"/>
        <v>10831</v>
      </c>
      <c r="E74" s="5">
        <f t="shared" si="4"/>
        <v>29.673972602739727</v>
      </c>
      <c r="F74" s="16">
        <f t="shared" si="5"/>
        <v>3.2690627172528276E-2</v>
      </c>
    </row>
    <row r="75" spans="1:6">
      <c r="A75" s="14"/>
      <c r="B75" s="13"/>
      <c r="C75" s="13"/>
    </row>
    <row r="76" spans="1:6">
      <c r="A76" s="14"/>
      <c r="B76" s="13"/>
      <c r="C76" s="13"/>
    </row>
    <row r="77" spans="1:6">
      <c r="A77" s="14"/>
      <c r="B77" s="13"/>
      <c r="C77" s="13"/>
    </row>
    <row r="78" spans="1:6" ht="13" customHeight="1">
      <c r="A78" s="14"/>
      <c r="B78" s="13"/>
      <c r="C78" s="13"/>
    </row>
    <row r="79" spans="1:6">
      <c r="A79" s="14"/>
      <c r="B79" s="13"/>
      <c r="C79" s="13"/>
    </row>
    <row r="80" spans="1:6">
      <c r="A80" s="14"/>
      <c r="B80" s="13"/>
      <c r="C80" s="13"/>
    </row>
    <row r="224" ht="13" customHeight="1"/>
  </sheetData>
  <mergeCells count="2">
    <mergeCell ref="A1:C1"/>
    <mergeCell ref="I27:M34"/>
  </mergeCells>
  <phoneticPr fontId="7" type="noConversion"/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G20"/>
  <sheetViews>
    <sheetView topLeftCell="A3" zoomScaleNormal="100" workbookViewId="0">
      <selection activeCell="A21" sqref="A21"/>
    </sheetView>
  </sheetViews>
  <sheetFormatPr baseColWidth="10" defaultColWidth="8.83203125" defaultRowHeight="13"/>
  <cols>
    <col min="1" max="1" width="8.5" customWidth="1"/>
    <col min="2" max="2" width="12.5" customWidth="1"/>
    <col min="3" max="4" width="9.6640625" bestFit="1" customWidth="1"/>
    <col min="6" max="6" width="10.5" bestFit="1" customWidth="1"/>
    <col min="7" max="7" width="9.1640625" bestFit="1" customWidth="1"/>
  </cols>
  <sheetData>
    <row r="1" spans="1:7" ht="28">
      <c r="A1" s="1" t="s">
        <v>39</v>
      </c>
      <c r="B1" s="15" t="s">
        <v>44</v>
      </c>
      <c r="C1" s="15" t="s">
        <v>42</v>
      </c>
      <c r="D1" s="15" t="s">
        <v>69</v>
      </c>
      <c r="E1" s="15" t="s">
        <v>43</v>
      </c>
      <c r="F1" s="15" t="s">
        <v>70</v>
      </c>
    </row>
    <row r="2" spans="1:7" ht="14">
      <c r="A2" s="22" t="s">
        <v>0</v>
      </c>
      <c r="B2" s="2">
        <v>1000</v>
      </c>
      <c r="C2" s="18">
        <v>0</v>
      </c>
      <c r="D2" s="22">
        <v>1</v>
      </c>
      <c r="E2" s="6">
        <v>0.05</v>
      </c>
      <c r="F2">
        <f>B2/(1+E2)</f>
        <v>952.38095238095229</v>
      </c>
      <c r="G2" s="40"/>
    </row>
    <row r="3" spans="1:7" ht="14">
      <c r="A3" s="22" t="s">
        <v>40</v>
      </c>
      <c r="B3" s="2">
        <v>1000</v>
      </c>
      <c r="C3" s="18">
        <v>0.05</v>
      </c>
      <c r="D3" s="22">
        <v>2</v>
      </c>
      <c r="E3" s="6">
        <v>5.8500000000000003E-2</v>
      </c>
      <c r="F3" s="39">
        <f>-PV(E3,D3,B3*C3,B3)</f>
        <v>984.38334297627512</v>
      </c>
    </row>
    <row r="4" spans="1:7" ht="14">
      <c r="A4" s="22" t="s">
        <v>41</v>
      </c>
      <c r="B4" s="2">
        <v>1000</v>
      </c>
      <c r="C4" s="18">
        <v>0.1</v>
      </c>
      <c r="D4" s="22">
        <v>2</v>
      </c>
      <c r="E4" s="6">
        <v>0.06</v>
      </c>
      <c r="F4" s="39">
        <f>-PV(E4,D4,C4*B4,B4)</f>
        <v>1073.3357066571734</v>
      </c>
    </row>
    <row r="6" spans="1:7" ht="28">
      <c r="A6" s="42" t="s">
        <v>71</v>
      </c>
    </row>
    <row r="7" spans="1:7">
      <c r="A7" s="6">
        <f>E2</f>
        <v>0.05</v>
      </c>
      <c r="C7" s="41"/>
      <c r="D7" s="22"/>
    </row>
    <row r="8" spans="1:7">
      <c r="C8" s="41"/>
      <c r="D8" s="22"/>
    </row>
    <row r="9" spans="1:7">
      <c r="A9" s="24" t="s">
        <v>72</v>
      </c>
      <c r="C9" s="41"/>
      <c r="D9" s="22"/>
    </row>
    <row r="10" spans="1:7">
      <c r="A10" s="24" t="s">
        <v>73</v>
      </c>
      <c r="B10" s="43">
        <v>5.8715850329466149E-2</v>
      </c>
    </row>
    <row r="11" spans="1:7">
      <c r="A11">
        <v>1</v>
      </c>
      <c r="B11">
        <v>50</v>
      </c>
      <c r="C11">
        <f>B11/(1+E2)</f>
        <v>47.61904761904762</v>
      </c>
      <c r="E11" s="44"/>
      <c r="F11" s="24"/>
    </row>
    <row r="12" spans="1:7">
      <c r="A12">
        <v>2</v>
      </c>
      <c r="B12">
        <v>1050</v>
      </c>
      <c r="C12">
        <f>B12/(1+B10)^2</f>
        <v>936.76459651752111</v>
      </c>
    </row>
    <row r="13" spans="1:7">
      <c r="C13" s="39">
        <f>SUM(C11:C12)-F3</f>
        <v>3.0116029358850938E-4</v>
      </c>
    </row>
    <row r="14" spans="1:7">
      <c r="A14" s="24" t="s">
        <v>74</v>
      </c>
    </row>
    <row r="15" spans="1:7">
      <c r="A15" s="24" t="s">
        <v>73</v>
      </c>
      <c r="B15" s="33">
        <v>6.0486246692234298E-2</v>
      </c>
    </row>
    <row r="16" spans="1:7">
      <c r="A16">
        <v>1</v>
      </c>
      <c r="B16">
        <v>100</v>
      </c>
      <c r="C16">
        <f>B16/(1+A7)</f>
        <v>95.238095238095241</v>
      </c>
    </row>
    <row r="17" spans="1:3">
      <c r="A17">
        <v>2</v>
      </c>
      <c r="B17">
        <v>1100</v>
      </c>
      <c r="C17">
        <f>B17/(1+B15)^2</f>
        <v>978.09852504164212</v>
      </c>
    </row>
    <row r="18" spans="1:3">
      <c r="C18" s="39">
        <f>SUM(C16:C17)-F4</f>
        <v>9.1362256398497266E-4</v>
      </c>
    </row>
    <row r="19" spans="1:3">
      <c r="A19" s="24" t="s">
        <v>75</v>
      </c>
    </row>
    <row r="20" spans="1:3">
      <c r="A20" s="24" t="s">
        <v>76</v>
      </c>
    </row>
  </sheetData>
  <phoneticPr fontId="7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38"/>
  <sheetViews>
    <sheetView zoomScaleNormal="100" workbookViewId="0">
      <selection activeCell="D36" sqref="A2:D36"/>
    </sheetView>
  </sheetViews>
  <sheetFormatPr baseColWidth="10" defaultColWidth="8.83203125" defaultRowHeight="13"/>
  <sheetData>
    <row r="1" spans="1:4" ht="95.25" customHeight="1">
      <c r="A1" s="36" t="s">
        <v>54</v>
      </c>
      <c r="B1" s="36"/>
      <c r="C1" s="36"/>
      <c r="D1" s="36"/>
    </row>
    <row r="2" spans="1:4" ht="28">
      <c r="A2" s="24"/>
      <c r="B2" s="25" t="s">
        <v>55</v>
      </c>
      <c r="C2" s="25" t="s">
        <v>56</v>
      </c>
      <c r="D2" s="25" t="s">
        <v>1</v>
      </c>
    </row>
    <row r="3" spans="1:4">
      <c r="A3" s="8">
        <v>1976</v>
      </c>
      <c r="B3" s="11">
        <v>7.6100000000000001E-2</v>
      </c>
      <c r="C3" s="11">
        <v>8.43E-2</v>
      </c>
      <c r="D3" s="11">
        <v>9.7500000000000003E-2</v>
      </c>
    </row>
    <row r="4" spans="1:4">
      <c r="A4" s="8">
        <v>1977</v>
      </c>
      <c r="B4" s="11">
        <v>7.4200000000000002E-2</v>
      </c>
      <c r="C4" s="11">
        <v>8.0199999999999994E-2</v>
      </c>
      <c r="D4" s="11">
        <v>8.9700000000000002E-2</v>
      </c>
    </row>
    <row r="5" spans="1:4">
      <c r="A5" s="8">
        <v>1978</v>
      </c>
      <c r="B5" s="11">
        <v>8.4100000000000008E-2</v>
      </c>
      <c r="C5" s="11">
        <v>8.7300000000000003E-2</v>
      </c>
      <c r="D5" s="11">
        <v>9.4899999999999998E-2</v>
      </c>
    </row>
    <row r="6" spans="1:4">
      <c r="A6" s="8">
        <v>1979</v>
      </c>
      <c r="B6" s="11">
        <v>9.4299999999999995E-2</v>
      </c>
      <c r="C6" s="11">
        <v>9.6300000000000011E-2</v>
      </c>
      <c r="D6" s="11">
        <v>0.1069</v>
      </c>
    </row>
    <row r="7" spans="1:4">
      <c r="A7" s="8">
        <v>1980</v>
      </c>
      <c r="B7" s="11">
        <v>0.1143</v>
      </c>
      <c r="C7" s="11">
        <v>0.11939999999999999</v>
      </c>
      <c r="D7" s="11">
        <v>0.13669999999999999</v>
      </c>
    </row>
    <row r="8" spans="1:4">
      <c r="A8" s="8">
        <v>1981</v>
      </c>
      <c r="B8" s="11">
        <v>0.13919999999999999</v>
      </c>
      <c r="C8" s="11">
        <v>0.14169999999999999</v>
      </c>
      <c r="D8" s="11">
        <v>0.16039999999999999</v>
      </c>
    </row>
    <row r="9" spans="1:4">
      <c r="A9" s="8">
        <v>1982</v>
      </c>
      <c r="B9" s="11">
        <v>0.13009999999999999</v>
      </c>
      <c r="C9" s="11">
        <v>0.13789999999999999</v>
      </c>
      <c r="D9" s="11">
        <v>0.16109999999999999</v>
      </c>
    </row>
    <row r="10" spans="1:4">
      <c r="A10" s="8">
        <v>1983</v>
      </c>
      <c r="B10" s="11">
        <v>0.111</v>
      </c>
      <c r="C10" s="11">
        <v>0.12039999999999999</v>
      </c>
      <c r="D10" s="11">
        <v>0.13550000000000001</v>
      </c>
    </row>
    <row r="11" spans="1:4">
      <c r="A11" s="8">
        <v>1984</v>
      </c>
      <c r="B11" s="11">
        <v>0.1246</v>
      </c>
      <c r="C11" s="11">
        <v>0.12710000000000002</v>
      </c>
      <c r="D11" s="11">
        <v>0.1419</v>
      </c>
    </row>
    <row r="12" spans="1:4">
      <c r="A12" s="8">
        <v>1985</v>
      </c>
      <c r="B12" s="11">
        <v>0.10619999999999999</v>
      </c>
      <c r="C12" s="11">
        <v>0.1137</v>
      </c>
      <c r="D12" s="11">
        <v>0.12720000000000001</v>
      </c>
    </row>
    <row r="13" spans="1:4">
      <c r="A13" s="8">
        <v>1986</v>
      </c>
      <c r="B13" s="11">
        <v>7.6700000000000004E-2</v>
      </c>
      <c r="C13" s="11">
        <v>9.0200000000000002E-2</v>
      </c>
      <c r="D13" s="11">
        <v>0.10390000000000001</v>
      </c>
    </row>
    <row r="14" spans="1:4">
      <c r="A14" s="8">
        <v>1987</v>
      </c>
      <c r="B14" s="11">
        <v>8.3900000000000002E-2</v>
      </c>
      <c r="C14" s="11">
        <v>9.3800000000000008E-2</v>
      </c>
      <c r="D14" s="11">
        <v>0.10580000000000001</v>
      </c>
    </row>
    <row r="15" spans="1:4">
      <c r="A15" s="8">
        <v>1988</v>
      </c>
      <c r="B15" s="11">
        <v>8.8499999999999995E-2</v>
      </c>
      <c r="C15" s="11">
        <v>9.7100000000000006E-2</v>
      </c>
      <c r="D15" s="11">
        <v>0.10830000000000001</v>
      </c>
    </row>
    <row r="16" spans="1:4">
      <c r="A16" s="8">
        <v>1989</v>
      </c>
      <c r="B16" s="11">
        <v>8.4900000000000003E-2</v>
      </c>
      <c r="C16" s="11">
        <v>9.2600000000000002E-2</v>
      </c>
      <c r="D16" s="11">
        <v>0.1018</v>
      </c>
    </row>
    <row r="17" spans="1:4">
      <c r="A17" s="8">
        <v>1990</v>
      </c>
      <c r="B17" s="11">
        <v>8.5500000000000007E-2</v>
      </c>
      <c r="C17" s="11">
        <v>9.3200000000000005E-2</v>
      </c>
      <c r="D17" s="11">
        <v>0.1036</v>
      </c>
    </row>
    <row r="18" spans="1:4">
      <c r="A18" s="8">
        <v>1991</v>
      </c>
      <c r="B18" s="11">
        <v>7.8600000000000003E-2</v>
      </c>
      <c r="C18" s="11">
        <v>8.77E-2</v>
      </c>
      <c r="D18" s="11">
        <v>9.8000000000000004E-2</v>
      </c>
    </row>
    <row r="19" spans="1:4">
      <c r="A19" s="8">
        <v>1992</v>
      </c>
      <c r="B19" s="11">
        <v>7.0099999999999996E-2</v>
      </c>
      <c r="C19" s="11">
        <v>8.14E-2</v>
      </c>
      <c r="D19" s="11">
        <v>8.9800000000000005E-2</v>
      </c>
    </row>
    <row r="20" spans="1:4">
      <c r="A20" s="8">
        <v>1993</v>
      </c>
      <c r="B20" s="11">
        <v>5.8700000000000002E-2</v>
      </c>
      <c r="C20" s="11">
        <v>7.22E-2</v>
      </c>
      <c r="D20" s="11">
        <v>7.9299999999999995E-2</v>
      </c>
    </row>
    <row r="21" spans="1:4">
      <c r="A21" s="8">
        <v>1994</v>
      </c>
      <c r="B21" s="11">
        <v>7.0900000000000005E-2</v>
      </c>
      <c r="C21" s="11">
        <v>7.9699999999999993E-2</v>
      </c>
      <c r="D21" s="11">
        <v>8.6300000000000002E-2</v>
      </c>
    </row>
    <row r="22" spans="1:4">
      <c r="A22" s="8">
        <v>1995</v>
      </c>
      <c r="B22" s="11">
        <v>6.5700000000000008E-2</v>
      </c>
      <c r="C22" s="11">
        <v>7.5899999999999995E-2</v>
      </c>
      <c r="D22" s="11">
        <v>8.199999999999999E-2</v>
      </c>
    </row>
    <row r="23" spans="1:4">
      <c r="A23" s="8">
        <v>1996</v>
      </c>
      <c r="B23" s="11">
        <v>6.4399999999999999E-2</v>
      </c>
      <c r="C23" s="11">
        <v>7.3700000000000002E-2</v>
      </c>
      <c r="D23" s="11">
        <v>8.0500000000000002E-2</v>
      </c>
    </row>
    <row r="24" spans="1:4">
      <c r="A24" s="8">
        <v>1997</v>
      </c>
      <c r="B24" s="11">
        <v>6.3500000000000001E-2</v>
      </c>
      <c r="C24" s="11">
        <v>7.2700000000000001E-2</v>
      </c>
      <c r="D24" s="11">
        <v>7.8700000000000006E-2</v>
      </c>
    </row>
    <row r="25" spans="1:4">
      <c r="A25" s="8">
        <v>1998</v>
      </c>
      <c r="B25" s="11">
        <v>5.2600000000000001E-2</v>
      </c>
      <c r="C25" s="11">
        <v>6.5299999999999997E-2</v>
      </c>
      <c r="D25" s="11">
        <v>7.22E-2</v>
      </c>
    </row>
    <row r="26" spans="1:4">
      <c r="A26" s="8">
        <v>1999</v>
      </c>
      <c r="B26" s="11">
        <v>5.6500000000000002E-2</v>
      </c>
      <c r="C26" s="11">
        <v>7.0499999999999993E-2</v>
      </c>
      <c r="D26" s="11">
        <v>7.8799999999999995E-2</v>
      </c>
    </row>
    <row r="27" spans="1:4">
      <c r="A27" s="8">
        <v>2000</v>
      </c>
      <c r="B27" s="11">
        <v>6.0299999999999999E-2</v>
      </c>
      <c r="C27" s="11">
        <v>7.6200000000000004E-2</v>
      </c>
      <c r="D27" s="11">
        <v>8.3699999999999997E-2</v>
      </c>
    </row>
    <row r="28" spans="1:4">
      <c r="A28" s="8">
        <v>2001</v>
      </c>
      <c r="B28" s="11">
        <v>5.0199999999999995E-2</v>
      </c>
      <c r="C28" s="11">
        <v>7.0800000000000002E-2</v>
      </c>
      <c r="D28" s="11">
        <v>7.9500000000000001E-2</v>
      </c>
    </row>
    <row r="29" spans="1:4">
      <c r="A29" s="8">
        <v>2002</v>
      </c>
      <c r="B29" s="11">
        <v>4.6100000000000002E-2</v>
      </c>
      <c r="C29" s="11">
        <v>6.4899999999999999E-2</v>
      </c>
      <c r="D29" s="11">
        <v>7.8E-2</v>
      </c>
    </row>
    <row r="30" spans="1:4">
      <c r="A30" s="8">
        <v>2003</v>
      </c>
      <c r="B30" s="11">
        <v>4.0099999999999997E-2</v>
      </c>
      <c r="C30" s="11">
        <v>5.6600000000000004E-2</v>
      </c>
      <c r="D30" s="11">
        <v>6.7599999999999993E-2</v>
      </c>
    </row>
    <row r="31" spans="1:4">
      <c r="A31" s="8">
        <v>2004</v>
      </c>
      <c r="B31" s="11">
        <v>4.2699999999999995E-2</v>
      </c>
      <c r="C31" s="11">
        <v>5.6299999999999996E-2</v>
      </c>
      <c r="D31" s="11">
        <v>6.3899999999999998E-2</v>
      </c>
    </row>
    <row r="32" spans="1:4">
      <c r="A32" s="8">
        <v>2005</v>
      </c>
      <c r="B32" s="11">
        <v>4.2900000000000001E-2</v>
      </c>
      <c r="C32" s="11">
        <v>5.2300000000000006E-2</v>
      </c>
      <c r="D32" s="11">
        <v>6.0599999999999994E-2</v>
      </c>
    </row>
    <row r="33" spans="1:4">
      <c r="A33" s="8">
        <v>2006</v>
      </c>
      <c r="B33" s="11">
        <v>4.8000000000000001E-2</v>
      </c>
      <c r="C33" s="11">
        <v>5.5899999999999998E-2</v>
      </c>
      <c r="D33" s="11">
        <v>6.480000000000001E-2</v>
      </c>
    </row>
    <row r="34" spans="1:4">
      <c r="A34" s="8">
        <v>2007</v>
      </c>
      <c r="B34" s="11">
        <v>4.6300000000000001E-2</v>
      </c>
      <c r="C34" s="11">
        <v>5.5599999999999997E-2</v>
      </c>
      <c r="D34" s="11">
        <v>6.480000000000001E-2</v>
      </c>
    </row>
    <row r="35" spans="1:4">
      <c r="A35" s="8">
        <v>2008</v>
      </c>
      <c r="B35" s="11">
        <v>3.6600000000000001E-2</v>
      </c>
      <c r="C35" s="11">
        <v>5.6299999999999996E-2</v>
      </c>
      <c r="D35" s="11">
        <v>7.4400000000000008E-2</v>
      </c>
    </row>
    <row r="36" spans="1:4">
      <c r="A36" s="8">
        <v>2009</v>
      </c>
      <c r="B36" s="11">
        <v>3.2599999999999997E-2</v>
      </c>
      <c r="C36" s="11">
        <v>5.3099999999999994E-2</v>
      </c>
      <c r="D36" s="11">
        <v>7.2900000000000006E-2</v>
      </c>
    </row>
    <row r="38" spans="1:4" ht="43.5" customHeight="1">
      <c r="A38" s="38" t="s">
        <v>77</v>
      </c>
      <c r="B38" s="38"/>
      <c r="C38" s="38"/>
      <c r="D38" s="38"/>
    </row>
  </sheetData>
  <mergeCells count="2">
    <mergeCell ref="A1:D1"/>
    <mergeCell ref="A38:D38"/>
  </mergeCells>
  <phoneticPr fontId="7" type="noConversion"/>
  <printOptions headings="1" gridLines="1"/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F2E75-D010-4C4E-AB7A-87F363A8ADFA}">
  <dimension ref="A1:C57"/>
  <sheetViews>
    <sheetView topLeftCell="A32" zoomScaleNormal="100" workbookViewId="0">
      <selection activeCell="C52" sqref="C52"/>
    </sheetView>
  </sheetViews>
  <sheetFormatPr baseColWidth="10" defaultRowHeight="13"/>
  <cols>
    <col min="1" max="1" width="17.5" bestFit="1" customWidth="1"/>
    <col min="2" max="2" width="13" bestFit="1" customWidth="1"/>
  </cols>
  <sheetData>
    <row r="1" spans="1:3">
      <c r="A1" s="24" t="s">
        <v>83</v>
      </c>
      <c r="B1" s="47">
        <v>4</v>
      </c>
    </row>
    <row r="2" spans="1:3">
      <c r="A2" s="24" t="s">
        <v>81</v>
      </c>
      <c r="B2" s="47">
        <v>100</v>
      </c>
    </row>
    <row r="3" spans="1:3">
      <c r="A3" s="24" t="s">
        <v>80</v>
      </c>
      <c r="B3" s="3">
        <v>0.1</v>
      </c>
    </row>
    <row r="4" spans="1:3">
      <c r="A4" s="24" t="s">
        <v>78</v>
      </c>
      <c r="B4" s="24" t="s">
        <v>82</v>
      </c>
      <c r="C4" s="24" t="s">
        <v>84</v>
      </c>
    </row>
    <row r="5" spans="1:3">
      <c r="A5" s="46">
        <v>42597</v>
      </c>
      <c r="B5" s="47">
        <f>-B2</f>
        <v>-100</v>
      </c>
      <c r="C5" s="47">
        <f>B2-B1</f>
        <v>96</v>
      </c>
    </row>
    <row r="6" spans="1:3">
      <c r="A6" s="46">
        <v>42781</v>
      </c>
      <c r="B6">
        <f>$B$3*$B$2/2</f>
        <v>5</v>
      </c>
      <c r="C6">
        <f>-B6</f>
        <v>-5</v>
      </c>
    </row>
    <row r="7" spans="1:3">
      <c r="A7" s="46">
        <v>42962</v>
      </c>
      <c r="B7">
        <f t="shared" ref="B7:B24" si="0">$B$3*$B$2/2</f>
        <v>5</v>
      </c>
      <c r="C7">
        <f t="shared" ref="C7:C25" si="1">-B7</f>
        <v>-5</v>
      </c>
    </row>
    <row r="8" spans="1:3">
      <c r="A8" s="46">
        <v>43146</v>
      </c>
      <c r="B8">
        <f t="shared" si="0"/>
        <v>5</v>
      </c>
      <c r="C8">
        <f t="shared" si="1"/>
        <v>-5</v>
      </c>
    </row>
    <row r="9" spans="1:3">
      <c r="A9" s="46">
        <v>43327</v>
      </c>
      <c r="B9">
        <f t="shared" si="0"/>
        <v>5</v>
      </c>
      <c r="C9">
        <f t="shared" si="1"/>
        <v>-5</v>
      </c>
    </row>
    <row r="10" spans="1:3">
      <c r="A10" s="46">
        <v>43511</v>
      </c>
      <c r="B10">
        <f t="shared" si="0"/>
        <v>5</v>
      </c>
      <c r="C10">
        <f t="shared" si="1"/>
        <v>-5</v>
      </c>
    </row>
    <row r="11" spans="1:3">
      <c r="A11" s="46">
        <v>43692</v>
      </c>
      <c r="B11">
        <f t="shared" si="0"/>
        <v>5</v>
      </c>
      <c r="C11">
        <f t="shared" si="1"/>
        <v>-5</v>
      </c>
    </row>
    <row r="12" spans="1:3">
      <c r="A12" s="46">
        <v>43876</v>
      </c>
      <c r="B12">
        <f t="shared" si="0"/>
        <v>5</v>
      </c>
      <c r="C12">
        <f t="shared" si="1"/>
        <v>-5</v>
      </c>
    </row>
    <row r="13" spans="1:3">
      <c r="A13" s="46">
        <v>44058</v>
      </c>
      <c r="B13">
        <f t="shared" si="0"/>
        <v>5</v>
      </c>
      <c r="C13">
        <f t="shared" si="1"/>
        <v>-5</v>
      </c>
    </row>
    <row r="14" spans="1:3">
      <c r="A14" s="46">
        <v>44242</v>
      </c>
      <c r="B14">
        <f t="shared" si="0"/>
        <v>5</v>
      </c>
      <c r="C14">
        <f t="shared" si="1"/>
        <v>-5</v>
      </c>
    </row>
    <row r="15" spans="1:3">
      <c r="A15" s="46">
        <v>44423</v>
      </c>
      <c r="B15">
        <f t="shared" si="0"/>
        <v>5</v>
      </c>
      <c r="C15">
        <f t="shared" si="1"/>
        <v>-5</v>
      </c>
    </row>
    <row r="16" spans="1:3">
      <c r="A16" s="46">
        <v>44607</v>
      </c>
      <c r="B16">
        <f t="shared" si="0"/>
        <v>5</v>
      </c>
      <c r="C16">
        <f t="shared" si="1"/>
        <v>-5</v>
      </c>
    </row>
    <row r="17" spans="1:3">
      <c r="A17" s="46">
        <v>44788</v>
      </c>
      <c r="B17">
        <f t="shared" si="0"/>
        <v>5</v>
      </c>
      <c r="C17">
        <f t="shared" si="1"/>
        <v>-5</v>
      </c>
    </row>
    <row r="18" spans="1:3">
      <c r="A18" s="46">
        <v>44972</v>
      </c>
      <c r="B18">
        <f t="shared" si="0"/>
        <v>5</v>
      </c>
      <c r="C18">
        <f t="shared" si="1"/>
        <v>-5</v>
      </c>
    </row>
    <row r="19" spans="1:3">
      <c r="A19" s="46">
        <v>45153</v>
      </c>
      <c r="B19">
        <f t="shared" si="0"/>
        <v>5</v>
      </c>
      <c r="C19">
        <f t="shared" si="1"/>
        <v>-5</v>
      </c>
    </row>
    <row r="20" spans="1:3">
      <c r="A20" s="46">
        <v>45337</v>
      </c>
      <c r="B20">
        <f t="shared" si="0"/>
        <v>5</v>
      </c>
      <c r="C20">
        <f t="shared" si="1"/>
        <v>-5</v>
      </c>
    </row>
    <row r="21" spans="1:3">
      <c r="A21" s="46">
        <v>45519</v>
      </c>
      <c r="B21">
        <f t="shared" si="0"/>
        <v>5</v>
      </c>
      <c r="C21">
        <f t="shared" si="1"/>
        <v>-5</v>
      </c>
    </row>
    <row r="22" spans="1:3">
      <c r="A22" s="46">
        <v>45703</v>
      </c>
      <c r="B22">
        <f t="shared" si="0"/>
        <v>5</v>
      </c>
      <c r="C22">
        <f t="shared" si="1"/>
        <v>-5</v>
      </c>
    </row>
    <row r="23" spans="1:3">
      <c r="A23" s="46">
        <v>45884</v>
      </c>
      <c r="B23">
        <f t="shared" si="0"/>
        <v>5</v>
      </c>
      <c r="C23">
        <f t="shared" si="1"/>
        <v>-5</v>
      </c>
    </row>
    <row r="24" spans="1:3">
      <c r="A24" s="46">
        <v>46068</v>
      </c>
      <c r="B24">
        <f t="shared" si="0"/>
        <v>5</v>
      </c>
      <c r="C24">
        <f t="shared" si="1"/>
        <v>-5</v>
      </c>
    </row>
    <row r="25" spans="1:3">
      <c r="A25" s="46">
        <v>46249</v>
      </c>
      <c r="B25">
        <f>$B$2+$B$2*$B$3/2</f>
        <v>105</v>
      </c>
      <c r="C25">
        <f t="shared" si="1"/>
        <v>-105</v>
      </c>
    </row>
    <row r="27" spans="1:3">
      <c r="A27" s="24" t="s">
        <v>85</v>
      </c>
    </row>
    <row r="28" spans="1:3">
      <c r="A28" s="24" t="s">
        <v>73</v>
      </c>
      <c r="B28" s="33">
        <f>XIRR(B5:B25,A5:A25)</f>
        <v>0.10242480635643006</v>
      </c>
      <c r="C28" s="49">
        <f>XIRR(C5:C25,A5:A25)</f>
        <v>0.10936021208763122</v>
      </c>
    </row>
    <row r="30" spans="1:3">
      <c r="A30" s="24" t="s">
        <v>71</v>
      </c>
    </row>
    <row r="31" spans="1:3">
      <c r="A31" s="46" t="s">
        <v>78</v>
      </c>
      <c r="B31" s="46">
        <v>42661</v>
      </c>
    </row>
    <row r="32" spans="1:3">
      <c r="A32" s="24" t="s">
        <v>70</v>
      </c>
      <c r="B32" s="50">
        <v>103</v>
      </c>
    </row>
    <row r="34" spans="1:2">
      <c r="A34" s="24" t="s">
        <v>78</v>
      </c>
      <c r="B34" s="24" t="s">
        <v>82</v>
      </c>
    </row>
    <row r="35" spans="1:2">
      <c r="A35" s="45">
        <f>B31</f>
        <v>42661</v>
      </c>
      <c r="B35">
        <f>-B32</f>
        <v>-103</v>
      </c>
    </row>
    <row r="36" spans="1:2">
      <c r="A36" s="46">
        <v>42781</v>
      </c>
      <c r="B36">
        <f>$B$3*$B$2/2</f>
        <v>5</v>
      </c>
    </row>
    <row r="37" spans="1:2">
      <c r="A37" s="46">
        <v>42962</v>
      </c>
      <c r="B37">
        <f t="shared" ref="B37:B54" si="2">$B$3*$B$2/2</f>
        <v>5</v>
      </c>
    </row>
    <row r="38" spans="1:2">
      <c r="A38" s="46">
        <v>43146</v>
      </c>
      <c r="B38">
        <f t="shared" si="2"/>
        <v>5</v>
      </c>
    </row>
    <row r="39" spans="1:2">
      <c r="A39" s="46">
        <v>43327</v>
      </c>
      <c r="B39">
        <f t="shared" si="2"/>
        <v>5</v>
      </c>
    </row>
    <row r="40" spans="1:2">
      <c r="A40" s="46">
        <v>43511</v>
      </c>
      <c r="B40">
        <f t="shared" si="2"/>
        <v>5</v>
      </c>
    </row>
    <row r="41" spans="1:2">
      <c r="A41" s="46">
        <v>43692</v>
      </c>
      <c r="B41">
        <f t="shared" si="2"/>
        <v>5</v>
      </c>
    </row>
    <row r="42" spans="1:2">
      <c r="A42" s="46">
        <v>43876</v>
      </c>
      <c r="B42">
        <f t="shared" si="2"/>
        <v>5</v>
      </c>
    </row>
    <row r="43" spans="1:2">
      <c r="A43" s="46">
        <v>44058</v>
      </c>
      <c r="B43">
        <f t="shared" si="2"/>
        <v>5</v>
      </c>
    </row>
    <row r="44" spans="1:2">
      <c r="A44" s="46">
        <v>44242</v>
      </c>
      <c r="B44">
        <f t="shared" si="2"/>
        <v>5</v>
      </c>
    </row>
    <row r="45" spans="1:2">
      <c r="A45" s="46">
        <v>44423</v>
      </c>
      <c r="B45">
        <f t="shared" si="2"/>
        <v>5</v>
      </c>
    </row>
    <row r="46" spans="1:2">
      <c r="A46" s="46">
        <v>44607</v>
      </c>
      <c r="B46">
        <f t="shared" si="2"/>
        <v>5</v>
      </c>
    </row>
    <row r="47" spans="1:2">
      <c r="A47" s="46">
        <v>44788</v>
      </c>
      <c r="B47">
        <f t="shared" si="2"/>
        <v>5</v>
      </c>
    </row>
    <row r="48" spans="1:2">
      <c r="A48" s="46">
        <v>44972</v>
      </c>
      <c r="B48">
        <f t="shared" si="2"/>
        <v>5</v>
      </c>
    </row>
    <row r="49" spans="1:2">
      <c r="A49" s="46">
        <v>45153</v>
      </c>
      <c r="B49">
        <f t="shared" si="2"/>
        <v>5</v>
      </c>
    </row>
    <row r="50" spans="1:2">
      <c r="A50" s="46">
        <v>45337</v>
      </c>
      <c r="B50">
        <f t="shared" si="2"/>
        <v>5</v>
      </c>
    </row>
    <row r="51" spans="1:2">
      <c r="A51" s="46">
        <v>45519</v>
      </c>
      <c r="B51">
        <f t="shared" si="2"/>
        <v>5</v>
      </c>
    </row>
    <row r="52" spans="1:2">
      <c r="A52" s="46">
        <v>45703</v>
      </c>
      <c r="B52">
        <f t="shared" si="2"/>
        <v>5</v>
      </c>
    </row>
    <row r="53" spans="1:2">
      <c r="A53" s="46">
        <v>45884</v>
      </c>
      <c r="B53">
        <f t="shared" si="2"/>
        <v>5</v>
      </c>
    </row>
    <row r="54" spans="1:2">
      <c r="A54" s="46">
        <v>46068</v>
      </c>
      <c r="B54">
        <f t="shared" si="2"/>
        <v>5</v>
      </c>
    </row>
    <row r="55" spans="1:2">
      <c r="A55" s="46">
        <v>46249</v>
      </c>
      <c r="B55">
        <f>$B$2+$B$2*$B$3/2</f>
        <v>105</v>
      </c>
    </row>
    <row r="57" spans="1:2">
      <c r="A57" s="24" t="s">
        <v>86</v>
      </c>
      <c r="B57" s="48">
        <f>XIRR(B35:B55,A35:A55)</f>
        <v>0.10027515292167663</v>
      </c>
    </row>
  </sheetData>
  <phoneticPr fontId="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45234-E349-494E-809F-F3775798F971}">
  <dimension ref="A1:D47"/>
  <sheetViews>
    <sheetView zoomScaleNormal="100" workbookViewId="0">
      <selection activeCell="B3" sqref="B3"/>
    </sheetView>
  </sheetViews>
  <sheetFormatPr baseColWidth="10" defaultRowHeight="13"/>
  <cols>
    <col min="1" max="1" width="25.1640625" bestFit="1" customWidth="1"/>
  </cols>
  <sheetData>
    <row r="1" spans="1:4">
      <c r="A1" s="24" t="s">
        <v>89</v>
      </c>
      <c r="B1">
        <v>1000</v>
      </c>
    </row>
    <row r="2" spans="1:4">
      <c r="A2" s="24" t="s">
        <v>80</v>
      </c>
      <c r="B2" s="6">
        <v>0.11749999999999999</v>
      </c>
    </row>
    <row r="3" spans="1:4">
      <c r="A3" s="24" t="s">
        <v>88</v>
      </c>
      <c r="B3" s="44">
        <f>A10-A8</f>
        <v>181</v>
      </c>
    </row>
    <row r="4" spans="1:4">
      <c r="A4" s="24" t="s">
        <v>87</v>
      </c>
      <c r="B4" s="44">
        <f>A9-A8</f>
        <v>69</v>
      </c>
    </row>
    <row r="5" spans="1:4">
      <c r="A5" s="24" t="s">
        <v>90</v>
      </c>
      <c r="B5" s="44">
        <f>(B1*B2/2)*B4/B3</f>
        <v>22.396408839779006</v>
      </c>
    </row>
    <row r="6" spans="1:4">
      <c r="A6" s="24" t="s">
        <v>70</v>
      </c>
      <c r="B6" s="44">
        <v>-1356.2</v>
      </c>
    </row>
    <row r="7" spans="1:4">
      <c r="A7" s="24" t="s">
        <v>78</v>
      </c>
      <c r="B7" s="24" t="s">
        <v>91</v>
      </c>
      <c r="C7" s="24" t="s">
        <v>92</v>
      </c>
    </row>
    <row r="8" spans="1:4">
      <c r="A8" s="46">
        <v>38306</v>
      </c>
    </row>
    <row r="9" spans="1:4">
      <c r="A9" s="46">
        <v>38375</v>
      </c>
      <c r="B9" s="5">
        <f>B6-B5</f>
        <v>-1378.5964088397791</v>
      </c>
      <c r="C9" s="5">
        <f>B9</f>
        <v>-1378.5964088397791</v>
      </c>
    </row>
    <row r="10" spans="1:4">
      <c r="A10" s="46">
        <v>38487</v>
      </c>
      <c r="B10">
        <f>$B$1*$B$2/2</f>
        <v>58.75</v>
      </c>
      <c r="C10" s="5">
        <f t="shared" ref="C10:C19" si="0">B10</f>
        <v>58.75</v>
      </c>
      <c r="D10" s="46"/>
    </row>
    <row r="11" spans="1:4">
      <c r="A11" s="46">
        <v>38671</v>
      </c>
      <c r="B11">
        <f t="shared" ref="B11:B28" si="1">$B$1*$B$2/2</f>
        <v>58.75</v>
      </c>
      <c r="C11" s="5">
        <f t="shared" si="0"/>
        <v>58.75</v>
      </c>
      <c r="D11" s="46"/>
    </row>
    <row r="12" spans="1:4">
      <c r="A12" s="46">
        <v>38852</v>
      </c>
      <c r="B12">
        <f t="shared" si="1"/>
        <v>58.75</v>
      </c>
      <c r="C12" s="5">
        <f t="shared" si="0"/>
        <v>58.75</v>
      </c>
      <c r="D12" s="46"/>
    </row>
    <row r="13" spans="1:4">
      <c r="A13" s="46">
        <v>39036</v>
      </c>
      <c r="B13">
        <f t="shared" si="1"/>
        <v>58.75</v>
      </c>
      <c r="C13" s="5">
        <f t="shared" si="0"/>
        <v>58.75</v>
      </c>
    </row>
    <row r="14" spans="1:4">
      <c r="A14" s="46">
        <v>39217</v>
      </c>
      <c r="B14">
        <f t="shared" si="1"/>
        <v>58.75</v>
      </c>
      <c r="C14" s="5">
        <f t="shared" si="0"/>
        <v>58.75</v>
      </c>
    </row>
    <row r="15" spans="1:4">
      <c r="A15" s="46">
        <v>39401</v>
      </c>
      <c r="B15">
        <f t="shared" si="1"/>
        <v>58.75</v>
      </c>
      <c r="C15" s="5">
        <f t="shared" si="0"/>
        <v>58.75</v>
      </c>
    </row>
    <row r="16" spans="1:4">
      <c r="A16" s="46">
        <v>39583</v>
      </c>
      <c r="B16">
        <f t="shared" si="1"/>
        <v>58.75</v>
      </c>
      <c r="C16" s="5">
        <f t="shared" si="0"/>
        <v>58.75</v>
      </c>
    </row>
    <row r="17" spans="1:3">
      <c r="A17" s="46">
        <v>39767</v>
      </c>
      <c r="B17">
        <f t="shared" si="1"/>
        <v>58.75</v>
      </c>
      <c r="C17" s="5">
        <f t="shared" si="0"/>
        <v>58.75</v>
      </c>
    </row>
    <row r="18" spans="1:3">
      <c r="A18" s="46">
        <v>39948</v>
      </c>
      <c r="B18">
        <f t="shared" si="1"/>
        <v>58.75</v>
      </c>
      <c r="C18" s="5">
        <f t="shared" si="0"/>
        <v>58.75</v>
      </c>
    </row>
    <row r="19" spans="1:3">
      <c r="A19" s="46">
        <v>40132</v>
      </c>
      <c r="B19">
        <f t="shared" si="1"/>
        <v>58.75</v>
      </c>
      <c r="C19" s="5">
        <f>B1+B1*B2/2</f>
        <v>1058.75</v>
      </c>
    </row>
    <row r="20" spans="1:3">
      <c r="A20" s="46">
        <v>40313</v>
      </c>
      <c r="B20">
        <f t="shared" si="1"/>
        <v>58.75</v>
      </c>
    </row>
    <row r="21" spans="1:3">
      <c r="A21" s="46">
        <v>40497</v>
      </c>
      <c r="B21">
        <f t="shared" si="1"/>
        <v>58.75</v>
      </c>
    </row>
    <row r="22" spans="1:3">
      <c r="A22" s="46">
        <v>40678</v>
      </c>
      <c r="B22">
        <f t="shared" si="1"/>
        <v>58.75</v>
      </c>
    </row>
    <row r="23" spans="1:3">
      <c r="A23" s="46">
        <v>40862</v>
      </c>
      <c r="B23">
        <f t="shared" si="1"/>
        <v>58.75</v>
      </c>
    </row>
    <row r="24" spans="1:3">
      <c r="A24" s="46">
        <v>41044</v>
      </c>
      <c r="B24">
        <f t="shared" si="1"/>
        <v>58.75</v>
      </c>
    </row>
    <row r="25" spans="1:3">
      <c r="A25" s="46">
        <v>41228</v>
      </c>
      <c r="B25">
        <f t="shared" si="1"/>
        <v>58.75</v>
      </c>
    </row>
    <row r="26" spans="1:3">
      <c r="A26" s="46">
        <v>41409</v>
      </c>
      <c r="B26">
        <f t="shared" si="1"/>
        <v>58.75</v>
      </c>
    </row>
    <row r="27" spans="1:3">
      <c r="A27" s="46">
        <v>41593</v>
      </c>
      <c r="B27">
        <f t="shared" si="1"/>
        <v>58.75</v>
      </c>
    </row>
    <row r="28" spans="1:3">
      <c r="A28" s="46">
        <v>41774</v>
      </c>
      <c r="B28">
        <f t="shared" si="1"/>
        <v>58.75</v>
      </c>
    </row>
    <row r="29" spans="1:3">
      <c r="A29" s="46">
        <v>41958</v>
      </c>
      <c r="B29">
        <f>B1+B2*B1/2</f>
        <v>1058.75</v>
      </c>
    </row>
    <row r="30" spans="1:3">
      <c r="A30" s="46"/>
    </row>
    <row r="31" spans="1:3">
      <c r="A31" s="46" t="s">
        <v>85</v>
      </c>
    </row>
    <row r="32" spans="1:3">
      <c r="A32" s="46" t="s">
        <v>86</v>
      </c>
      <c r="B32" s="49">
        <f>XIRR(B9:B29,A9:A29)</f>
        <v>6.8368896842002869E-2</v>
      </c>
    </row>
    <row r="33" spans="1:2">
      <c r="A33" s="46"/>
    </row>
    <row r="34" spans="1:2">
      <c r="A34" s="46" t="s">
        <v>71</v>
      </c>
    </row>
    <row r="35" spans="1:2">
      <c r="A35" s="46" t="s">
        <v>93</v>
      </c>
      <c r="B35" s="49">
        <f>XIRR(C9:C19,A9:A19)</f>
        <v>3.6422613263130191E-2</v>
      </c>
    </row>
    <row r="36" spans="1:2">
      <c r="A36" s="46"/>
    </row>
    <row r="37" spans="1:2">
      <c r="A37" s="46"/>
    </row>
    <row r="38" spans="1:2">
      <c r="A38" s="46"/>
    </row>
    <row r="39" spans="1:2">
      <c r="A39" s="46"/>
    </row>
    <row r="40" spans="1:2">
      <c r="A40" s="46"/>
    </row>
    <row r="41" spans="1:2">
      <c r="A41" s="46"/>
    </row>
    <row r="42" spans="1:2">
      <c r="A42" s="46"/>
    </row>
    <row r="43" spans="1:2">
      <c r="A43" s="46"/>
    </row>
    <row r="44" spans="1:2">
      <c r="A44" s="46"/>
    </row>
    <row r="45" spans="1:2">
      <c r="A45" s="46"/>
    </row>
    <row r="46" spans="1:2">
      <c r="A46" s="46"/>
    </row>
    <row r="47" spans="1:2">
      <c r="A47" s="46"/>
    </row>
  </sheetData>
  <phoneticPr fontId="7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EC6D-E494-6149-A1FE-CDC8E27CAD4A}">
  <dimension ref="A1:B21"/>
  <sheetViews>
    <sheetView zoomScaleNormal="100" workbookViewId="0">
      <selection activeCell="B20" sqref="B20"/>
    </sheetView>
  </sheetViews>
  <sheetFormatPr baseColWidth="10" defaultRowHeight="13"/>
  <cols>
    <col min="1" max="1" width="21.33203125" bestFit="1" customWidth="1"/>
  </cols>
  <sheetData>
    <row r="1" spans="1:2">
      <c r="A1" s="24" t="s">
        <v>94</v>
      </c>
      <c r="B1" s="6">
        <v>4.65E-2</v>
      </c>
    </row>
    <row r="2" spans="1:2">
      <c r="A2" s="24" t="s">
        <v>89</v>
      </c>
      <c r="B2">
        <v>100</v>
      </c>
    </row>
    <row r="4" spans="1:2">
      <c r="A4" s="24" t="s">
        <v>85</v>
      </c>
    </row>
    <row r="5" spans="1:2">
      <c r="A5" s="24" t="s">
        <v>70</v>
      </c>
      <c r="B5">
        <v>85</v>
      </c>
    </row>
    <row r="6" spans="1:2">
      <c r="A6" s="24" t="s">
        <v>95</v>
      </c>
      <c r="B6">
        <f>B1*B2/4</f>
        <v>1.1625000000000001</v>
      </c>
    </row>
    <row r="7" spans="1:2">
      <c r="A7" s="24" t="s">
        <v>96</v>
      </c>
      <c r="B7" s="48">
        <f>B6/B5</f>
        <v>1.3676470588235295E-2</v>
      </c>
    </row>
    <row r="8" spans="1:2">
      <c r="A8" s="24" t="s">
        <v>97</v>
      </c>
      <c r="B8" s="48">
        <f>(1+B7)^4-1</f>
        <v>5.5838424933737141E-2</v>
      </c>
    </row>
    <row r="10" spans="1:2">
      <c r="A10" s="24" t="s">
        <v>71</v>
      </c>
    </row>
    <row r="11" spans="1:2">
      <c r="A11" s="24" t="s">
        <v>78</v>
      </c>
      <c r="B11" s="45">
        <v>38355</v>
      </c>
    </row>
    <row r="12" spans="1:2">
      <c r="A12" s="24" t="s">
        <v>99</v>
      </c>
      <c r="B12" s="45">
        <v>38292</v>
      </c>
    </row>
    <row r="13" spans="1:2">
      <c r="A13" s="24" t="s">
        <v>100</v>
      </c>
      <c r="B13" s="45">
        <v>38384</v>
      </c>
    </row>
    <row r="14" spans="1:2">
      <c r="A14" s="24" t="s">
        <v>101</v>
      </c>
      <c r="B14" s="44">
        <f>B11-B12</f>
        <v>63</v>
      </c>
    </row>
    <row r="15" spans="1:2">
      <c r="A15" s="24" t="s">
        <v>102</v>
      </c>
      <c r="B15" s="44">
        <f>B13-B12</f>
        <v>92</v>
      </c>
    </row>
    <row r="16" spans="1:2">
      <c r="A16" s="24" t="s">
        <v>70</v>
      </c>
      <c r="B16">
        <v>87.5</v>
      </c>
    </row>
    <row r="17" spans="1:2" ht="14">
      <c r="A17" s="51" t="s">
        <v>98</v>
      </c>
      <c r="B17">
        <f>B18*B14/B15</f>
        <v>0.79605978260869581</v>
      </c>
    </row>
    <row r="18" spans="1:2">
      <c r="A18" s="24" t="s">
        <v>95</v>
      </c>
      <c r="B18">
        <f>B1*B2/4</f>
        <v>1.1625000000000001</v>
      </c>
    </row>
    <row r="19" spans="1:2">
      <c r="A19" s="24" t="s">
        <v>103</v>
      </c>
      <c r="B19">
        <f>B17+B16</f>
        <v>88.296059782608694</v>
      </c>
    </row>
    <row r="20" spans="1:2">
      <c r="A20" s="24" t="s">
        <v>96</v>
      </c>
      <c r="B20" s="49">
        <f>B18/B19</f>
        <v>1.3165932917756007E-2</v>
      </c>
    </row>
    <row r="21" spans="1:2">
      <c r="A21" s="24" t="s">
        <v>97</v>
      </c>
      <c r="B21" s="49">
        <f>(1+B20)^4-1</f>
        <v>5.3712941281463866E-2</v>
      </c>
    </row>
  </sheetData>
  <phoneticPr fontId="7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63A95-0AD7-A847-86E1-C14EEB8F742B}">
  <dimension ref="A1:B31"/>
  <sheetViews>
    <sheetView tabSelected="1" zoomScaleNormal="100" workbookViewId="0">
      <selection activeCell="B31" sqref="B31"/>
    </sheetView>
  </sheetViews>
  <sheetFormatPr baseColWidth="10" defaultRowHeight="13"/>
  <cols>
    <col min="1" max="1" width="13.83203125" bestFit="1" customWidth="1"/>
  </cols>
  <sheetData>
    <row r="1" spans="1:2">
      <c r="A1" s="24" t="s">
        <v>104</v>
      </c>
      <c r="B1" s="6">
        <v>5.2499999999999998E-2</v>
      </c>
    </row>
    <row r="2" spans="1:2">
      <c r="A2" s="24" t="s">
        <v>89</v>
      </c>
      <c r="B2">
        <v>50</v>
      </c>
    </row>
    <row r="4" spans="1:2">
      <c r="A4" s="24" t="s">
        <v>78</v>
      </c>
      <c r="B4" s="24" t="s">
        <v>79</v>
      </c>
    </row>
    <row r="5" spans="1:2">
      <c r="A5" s="46">
        <v>38505</v>
      </c>
      <c r="B5">
        <v>-45.5</v>
      </c>
    </row>
    <row r="6" spans="1:2">
      <c r="A6" s="46">
        <v>38596</v>
      </c>
      <c r="B6">
        <f>$B$2*$B$1/4</f>
        <v>0.65625</v>
      </c>
    </row>
    <row r="7" spans="1:2">
      <c r="A7" s="46">
        <v>38687</v>
      </c>
      <c r="B7">
        <f t="shared" ref="B7:B28" si="0">$B$2*$B$1/4</f>
        <v>0.65625</v>
      </c>
    </row>
    <row r="8" spans="1:2">
      <c r="A8" s="46">
        <v>38777</v>
      </c>
      <c r="B8">
        <f t="shared" si="0"/>
        <v>0.65625</v>
      </c>
    </row>
    <row r="9" spans="1:2">
      <c r="A9" s="46">
        <v>38869</v>
      </c>
      <c r="B9">
        <f t="shared" si="0"/>
        <v>0.65625</v>
      </c>
    </row>
    <row r="10" spans="1:2">
      <c r="A10" s="46">
        <v>38961</v>
      </c>
      <c r="B10">
        <f t="shared" si="0"/>
        <v>0.65625</v>
      </c>
    </row>
    <row r="11" spans="1:2">
      <c r="A11" s="46">
        <v>39052</v>
      </c>
      <c r="B11">
        <f t="shared" si="0"/>
        <v>0.65625</v>
      </c>
    </row>
    <row r="12" spans="1:2">
      <c r="A12" s="46">
        <v>39142</v>
      </c>
      <c r="B12">
        <f t="shared" si="0"/>
        <v>0.65625</v>
      </c>
    </row>
    <row r="13" spans="1:2">
      <c r="A13" s="46">
        <v>39234</v>
      </c>
      <c r="B13">
        <f t="shared" si="0"/>
        <v>0.65625</v>
      </c>
    </row>
    <row r="14" spans="1:2">
      <c r="A14" s="46">
        <v>39326</v>
      </c>
      <c r="B14">
        <f t="shared" si="0"/>
        <v>0.65625</v>
      </c>
    </row>
    <row r="15" spans="1:2">
      <c r="A15" s="46">
        <v>39417</v>
      </c>
      <c r="B15">
        <f t="shared" si="0"/>
        <v>0.65625</v>
      </c>
    </row>
    <row r="16" spans="1:2">
      <c r="A16" s="46">
        <v>39508</v>
      </c>
      <c r="B16">
        <f t="shared" si="0"/>
        <v>0.65625</v>
      </c>
    </row>
    <row r="17" spans="1:2">
      <c r="A17" s="46">
        <v>39600</v>
      </c>
      <c r="B17">
        <f t="shared" si="0"/>
        <v>0.65625</v>
      </c>
    </row>
    <row r="18" spans="1:2">
      <c r="A18" s="46">
        <v>39692</v>
      </c>
      <c r="B18">
        <f t="shared" si="0"/>
        <v>0.65625</v>
      </c>
    </row>
    <row r="19" spans="1:2">
      <c r="A19" s="46">
        <v>39783</v>
      </c>
      <c r="B19">
        <f t="shared" si="0"/>
        <v>0.65625</v>
      </c>
    </row>
    <row r="20" spans="1:2">
      <c r="A20" s="46">
        <v>39873</v>
      </c>
      <c r="B20">
        <f t="shared" si="0"/>
        <v>0.65625</v>
      </c>
    </row>
    <row r="21" spans="1:2">
      <c r="A21" s="46">
        <v>39965</v>
      </c>
      <c r="B21">
        <f t="shared" si="0"/>
        <v>0.65625</v>
      </c>
    </row>
    <row r="22" spans="1:2">
      <c r="A22" s="46">
        <v>40057</v>
      </c>
      <c r="B22">
        <f t="shared" si="0"/>
        <v>0.65625</v>
      </c>
    </row>
    <row r="23" spans="1:2">
      <c r="A23" s="46">
        <v>40148</v>
      </c>
      <c r="B23">
        <f t="shared" si="0"/>
        <v>0.65625</v>
      </c>
    </row>
    <row r="24" spans="1:2">
      <c r="A24" s="46">
        <v>40238</v>
      </c>
      <c r="B24">
        <f t="shared" si="0"/>
        <v>0.65625</v>
      </c>
    </row>
    <row r="25" spans="1:2">
      <c r="A25" s="46">
        <v>40330</v>
      </c>
      <c r="B25">
        <f t="shared" si="0"/>
        <v>0.65625</v>
      </c>
    </row>
    <row r="26" spans="1:2">
      <c r="A26" s="46">
        <v>40422</v>
      </c>
      <c r="B26">
        <f t="shared" si="0"/>
        <v>0.65625</v>
      </c>
    </row>
    <row r="27" spans="1:2">
      <c r="A27" s="46">
        <v>40513</v>
      </c>
      <c r="B27">
        <f t="shared" si="0"/>
        <v>0.65625</v>
      </c>
    </row>
    <row r="28" spans="1:2">
      <c r="A28" s="46">
        <v>40603</v>
      </c>
      <c r="B28">
        <f t="shared" si="0"/>
        <v>0.65625</v>
      </c>
    </row>
    <row r="29" spans="1:2">
      <c r="A29" s="46">
        <v>40695</v>
      </c>
      <c r="B29">
        <f>B2+B2*B1/4</f>
        <v>50.65625</v>
      </c>
    </row>
    <row r="31" spans="1:2">
      <c r="A31" s="24" t="s">
        <v>93</v>
      </c>
      <c r="B31" s="49">
        <f>XIRR(B5:B29,A5:A29)</f>
        <v>7.2974440455436732E-2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7 template</vt:lpstr>
      <vt:lpstr>Exercise 8 template</vt:lpstr>
      <vt:lpstr>Exercise 9 template</vt:lpstr>
      <vt:lpstr>Exercise 9 data</vt:lpstr>
      <vt:lpstr>Exercise 10 template</vt:lpstr>
      <vt:lpstr>Exercise 11 template</vt:lpstr>
      <vt:lpstr>Exercise 12 template</vt:lpstr>
      <vt:lpstr>Exercise 13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benninga</dc:creator>
  <cp:lastModifiedBy>天强 帅</cp:lastModifiedBy>
  <dcterms:created xsi:type="dcterms:W3CDTF">2009-10-22T20:07:01Z</dcterms:created>
  <dcterms:modified xsi:type="dcterms:W3CDTF">2023-12-05T16:22:08Z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Ch15_IM_exercises.xlsm</vt:lpwstr>
  </property>
</Properties>
</file>