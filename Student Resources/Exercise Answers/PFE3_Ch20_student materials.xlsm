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ianqiang/workspace/PFE3-Resources/Student Resources/Exercise Answers/"/>
    </mc:Choice>
  </mc:AlternateContent>
  <xr:revisionPtr revIDLastSave="0" documentId="13_ncr:1_{0DCA668E-2F00-9148-9A2B-8928108B9150}" xr6:coauthVersionLast="47" xr6:coauthVersionMax="47" xr10:uidLastSave="{00000000-0000-0000-0000-000000000000}"/>
  <bookViews>
    <workbookView xWindow="0" yWindow="500" windowWidth="28800" windowHeight="16060" firstSheet="7" activeTab="9" xr2:uid="{00000000-000D-0000-FFFF-FFFF00000000}"/>
  </bookViews>
  <sheets>
    <sheet name="EoC Exercise 1 Template" sheetId="16" r:id="rId1"/>
    <sheet name="EoC Exercise 2 Template" sheetId="17" r:id="rId2"/>
    <sheet name="EoC Exercise 3 Template" sheetId="18" r:id="rId3"/>
    <sheet name="EoC Exercise 4 Template" sheetId="19" r:id="rId4"/>
    <sheet name="EoC Exercise 5 Template" sheetId="20" r:id="rId5"/>
    <sheet name="EoC Exercise 6 Template" sheetId="21" r:id="rId6"/>
    <sheet name="EoC Exercise 7 Template" sheetId="15" r:id="rId7"/>
    <sheet name="EoC Exercise 8 Template" sheetId="23" r:id="rId8"/>
    <sheet name="EoC Exercise 9 Template" sheetId="24" r:id="rId9"/>
    <sheet name="EoC Exercise 10 Template" sheetId="25" r:id="rId10"/>
    <sheet name="EoC Exercise 11 Template" sheetId="26" r:id="rId11"/>
    <sheet name="EoC Exercise 12 Template" sheetId="27" r:id="rId12"/>
    <sheet name="EoC Exercise 13 Template" sheetId="28" r:id="rId13"/>
  </sheets>
  <functionGroups builtInGroupCount="19"/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9" i="28" l="1"/>
  <c r="B26" i="28"/>
  <c r="B25" i="28"/>
  <c r="B24" i="28"/>
  <c r="B12" i="28"/>
  <c r="B6" i="28"/>
  <c r="B5" i="28"/>
  <c r="B21" i="28"/>
  <c r="E12" i="28"/>
  <c r="A11" i="28"/>
  <c r="B10" i="28" s="1"/>
  <c r="E10" i="28"/>
  <c r="K17" i="27"/>
  <c r="K16" i="27"/>
  <c r="F9" i="27"/>
  <c r="G10" i="27" s="1"/>
  <c r="A8" i="27"/>
  <c r="B9" i="27" s="1"/>
  <c r="C10" i="27" s="1"/>
  <c r="F7" i="27"/>
  <c r="G8" i="27" s="1"/>
  <c r="B7" i="27"/>
  <c r="C8" i="27" s="1"/>
  <c r="C11" i="26"/>
  <c r="C9" i="26"/>
  <c r="C7" i="26"/>
  <c r="F10" i="26"/>
  <c r="G11" i="26" s="1"/>
  <c r="A9" i="26"/>
  <c r="B10" i="26" s="1"/>
  <c r="F8" i="26"/>
  <c r="G9" i="26" s="1"/>
  <c r="B8" i="26"/>
  <c r="B32" i="25"/>
  <c r="F9" i="25"/>
  <c r="G10" i="25" s="1"/>
  <c r="A8" i="25"/>
  <c r="B9" i="25" s="1"/>
  <c r="C10" i="25" s="1"/>
  <c r="F7" i="25"/>
  <c r="G8" i="25" s="1"/>
  <c r="G6" i="25"/>
  <c r="B31" i="24"/>
  <c r="B30" i="24"/>
  <c r="B29" i="24"/>
  <c r="B26" i="24"/>
  <c r="B28" i="24"/>
  <c r="F10" i="24"/>
  <c r="G11" i="24" s="1"/>
  <c r="A9" i="24"/>
  <c r="B10" i="24" s="1"/>
  <c r="C11" i="24" s="1"/>
  <c r="F8" i="24"/>
  <c r="G9" i="24" s="1"/>
  <c r="B8" i="24"/>
  <c r="C9" i="24" s="1"/>
  <c r="G7" i="24"/>
  <c r="B12" i="23"/>
  <c r="B11" i="23"/>
  <c r="B10" i="23"/>
  <c r="B9" i="23"/>
  <c r="B7" i="23"/>
  <c r="E6" i="23"/>
  <c r="E4" i="23"/>
  <c r="E29" i="15"/>
  <c r="E27" i="15"/>
  <c r="E25" i="15"/>
  <c r="C28" i="15"/>
  <c r="C26" i="15"/>
  <c r="A27" i="15"/>
  <c r="W22" i="15"/>
  <c r="W21" i="15"/>
  <c r="W19" i="15"/>
  <c r="W15" i="15"/>
  <c r="W13" i="15"/>
  <c r="K13" i="20"/>
  <c r="K24" i="20"/>
  <c r="K23" i="20"/>
  <c r="K22" i="20"/>
  <c r="K21" i="20"/>
  <c r="K19" i="20"/>
  <c r="K17" i="20"/>
  <c r="K16" i="20"/>
  <c r="K18" i="20" s="1"/>
  <c r="K15" i="20"/>
  <c r="K21" i="15"/>
  <c r="K19" i="15"/>
  <c r="K17" i="15"/>
  <c r="I20" i="15"/>
  <c r="I18" i="15"/>
  <c r="G19" i="15"/>
  <c r="Q23" i="15"/>
  <c r="Q22" i="15"/>
  <c r="Q24" i="15" s="1"/>
  <c r="Q25" i="15" s="1"/>
  <c r="Q21" i="15"/>
  <c r="Q19" i="15"/>
  <c r="Q15" i="15"/>
  <c r="Q13" i="15"/>
  <c r="E30" i="20"/>
  <c r="E29" i="20"/>
  <c r="E28" i="20"/>
  <c r="E24" i="20"/>
  <c r="E23" i="20"/>
  <c r="E22" i="20"/>
  <c r="E21" i="20"/>
  <c r="E19" i="20"/>
  <c r="E18" i="20"/>
  <c r="E17" i="20"/>
  <c r="E16" i="20"/>
  <c r="E15" i="20"/>
  <c r="E13" i="20"/>
  <c r="A19" i="15"/>
  <c r="C20" i="15"/>
  <c r="C18" i="15"/>
  <c r="E17" i="15"/>
  <c r="N22" i="15"/>
  <c r="N21" i="15"/>
  <c r="N19" i="15"/>
  <c r="N15" i="15"/>
  <c r="E21" i="15" s="1"/>
  <c r="N13" i="15"/>
  <c r="E19" i="15" s="1"/>
  <c r="B19" i="20"/>
  <c r="B27" i="20"/>
  <c r="B23" i="20"/>
  <c r="B22" i="20"/>
  <c r="B24" i="20" s="1"/>
  <c r="B25" i="20" s="1"/>
  <c r="B21" i="20"/>
  <c r="B18" i="20"/>
  <c r="B17" i="20"/>
  <c r="B16" i="20"/>
  <c r="B15" i="20"/>
  <c r="B13" i="20"/>
  <c r="N5" i="15"/>
  <c r="N4" i="15"/>
  <c r="N3" i="15"/>
  <c r="N2" i="15"/>
  <c r="N1" i="15"/>
  <c r="R9" i="15" s="1"/>
  <c r="S10" i="15" s="1"/>
  <c r="K13" i="15"/>
  <c r="K11" i="15"/>
  <c r="K9" i="15"/>
  <c r="I12" i="15"/>
  <c r="I10" i="15"/>
  <c r="E13" i="15"/>
  <c r="C12" i="15"/>
  <c r="E11" i="15"/>
  <c r="E9" i="15"/>
  <c r="C10" i="15"/>
  <c r="M8" i="15"/>
  <c r="N7" i="15" s="1"/>
  <c r="O8" i="15" s="1"/>
  <c r="R7" i="15"/>
  <c r="S8" i="15" s="1"/>
  <c r="S6" i="15"/>
  <c r="H30" i="20"/>
  <c r="F9" i="21"/>
  <c r="G10" i="21" s="1"/>
  <c r="A8" i="21"/>
  <c r="B9" i="21" s="1"/>
  <c r="C10" i="21" s="1"/>
  <c r="F7" i="21"/>
  <c r="G8" i="21" s="1"/>
  <c r="F9" i="20"/>
  <c r="G10" i="20" s="1"/>
  <c r="F7" i="20"/>
  <c r="G8" i="20" s="1"/>
  <c r="A8" i="20"/>
  <c r="B7" i="20" s="1"/>
  <c r="B16" i="19"/>
  <c r="B15" i="19"/>
  <c r="B14" i="19"/>
  <c r="B13" i="19"/>
  <c r="E10" i="19"/>
  <c r="E8" i="19"/>
  <c r="B10" i="19"/>
  <c r="B8" i="19"/>
  <c r="B6" i="19"/>
  <c r="B5" i="19"/>
  <c r="B18" i="18"/>
  <c r="B17" i="18"/>
  <c r="B16" i="18"/>
  <c r="B12" i="18"/>
  <c r="B10" i="18"/>
  <c r="A11" i="18"/>
  <c r="E12" i="18"/>
  <c r="E10" i="18"/>
  <c r="B15" i="18"/>
  <c r="B13" i="18"/>
  <c r="B14" i="17"/>
  <c r="B13" i="17"/>
  <c r="B11" i="17"/>
  <c r="E10" i="17"/>
  <c r="B15" i="17" s="1"/>
  <c r="B16" i="17" s="1"/>
  <c r="E8" i="17"/>
  <c r="B10" i="17"/>
  <c r="B8" i="17"/>
  <c r="A9" i="17"/>
  <c r="B4" i="17"/>
  <c r="B3" i="17"/>
  <c r="B29" i="16"/>
  <c r="B26" i="16"/>
  <c r="B25" i="16"/>
  <c r="B24" i="16"/>
  <c r="B23" i="16"/>
  <c r="B21" i="16"/>
  <c r="B17" i="16"/>
  <c r="B16" i="16"/>
  <c r="B15" i="16"/>
  <c r="B12" i="16"/>
  <c r="E11" i="16"/>
  <c r="E9" i="16"/>
  <c r="B11" i="16"/>
  <c r="B9" i="16"/>
  <c r="A10" i="16"/>
  <c r="A11" i="15"/>
  <c r="B23" i="28" l="1"/>
  <c r="B13" i="28"/>
  <c r="B16" i="28" s="1"/>
  <c r="K15" i="27"/>
  <c r="K21" i="27"/>
  <c r="K13" i="27"/>
  <c r="C6" i="27"/>
  <c r="G6" i="27"/>
  <c r="G7" i="26"/>
  <c r="B16" i="26"/>
  <c r="B22" i="26"/>
  <c r="B14" i="26"/>
  <c r="B20" i="26"/>
  <c r="B7" i="25"/>
  <c r="E15" i="25"/>
  <c r="K15" i="25"/>
  <c r="B16" i="24"/>
  <c r="B22" i="24"/>
  <c r="B14" i="24"/>
  <c r="C7" i="24"/>
  <c r="W23" i="15"/>
  <c r="W24" i="15" s="1"/>
  <c r="W25" i="15" s="1"/>
  <c r="W16" i="15"/>
  <c r="Q16" i="15"/>
  <c r="N23" i="15"/>
  <c r="N24" i="15" s="1"/>
  <c r="N25" i="15" s="1"/>
  <c r="N16" i="15"/>
  <c r="N17" i="15"/>
  <c r="B28" i="20"/>
  <c r="N9" i="15"/>
  <c r="O10" i="15" s="1"/>
  <c r="O6" i="15"/>
  <c r="B7" i="21"/>
  <c r="C8" i="21" s="1"/>
  <c r="B15" i="21"/>
  <c r="F17" i="21" s="1"/>
  <c r="L15" i="21"/>
  <c r="P17" i="21" s="1"/>
  <c r="I15" i="21"/>
  <c r="L21" i="21"/>
  <c r="P15" i="21" s="1"/>
  <c r="L13" i="21"/>
  <c r="B21" i="21"/>
  <c r="F15" i="21" s="1"/>
  <c r="B13" i="21"/>
  <c r="I21" i="21"/>
  <c r="I13" i="21"/>
  <c r="G6" i="21"/>
  <c r="G6" i="20"/>
  <c r="C8" i="20"/>
  <c r="C6" i="20"/>
  <c r="B9" i="20"/>
  <c r="B17" i="28" l="1"/>
  <c r="B18" i="28" s="1"/>
  <c r="K19" i="27"/>
  <c r="B23" i="26"/>
  <c r="B17" i="26"/>
  <c r="B18" i="26" s="1"/>
  <c r="C8" i="25"/>
  <c r="C6" i="25"/>
  <c r="B20" i="24"/>
  <c r="B17" i="24"/>
  <c r="B18" i="24"/>
  <c r="W17" i="15"/>
  <c r="W18" i="15" s="1"/>
  <c r="W27" i="15" s="1"/>
  <c r="W28" i="15" s="1"/>
  <c r="Q17" i="15"/>
  <c r="Q18" i="15" s="1"/>
  <c r="Q27" i="15" s="1"/>
  <c r="Q28" i="15" s="1"/>
  <c r="N18" i="15"/>
  <c r="N27" i="15" s="1"/>
  <c r="N28" i="15" s="1"/>
  <c r="B29" i="20"/>
  <c r="B30" i="20" s="1"/>
  <c r="C6" i="21"/>
  <c r="L19" i="21"/>
  <c r="B19" i="21"/>
  <c r="F13" i="21" s="1"/>
  <c r="L16" i="21"/>
  <c r="L17" i="21" s="1"/>
  <c r="I16" i="21"/>
  <c r="B16" i="21"/>
  <c r="B17" i="21" s="1"/>
  <c r="H19" i="20"/>
  <c r="H13" i="20"/>
  <c r="H21" i="20"/>
  <c r="C10" i="20"/>
  <c r="K22" i="27" l="1"/>
  <c r="K18" i="27"/>
  <c r="K27" i="27" s="1"/>
  <c r="B19" i="26"/>
  <c r="B28" i="26" s="1"/>
  <c r="B24" i="26"/>
  <c r="B25" i="26" s="1"/>
  <c r="B26" i="26" s="1"/>
  <c r="K19" i="25"/>
  <c r="E19" i="25"/>
  <c r="E21" i="25"/>
  <c r="E13" i="25"/>
  <c r="E16" i="25" s="1"/>
  <c r="K13" i="25"/>
  <c r="K16" i="25" s="1"/>
  <c r="K21" i="25"/>
  <c r="K22" i="25" s="1"/>
  <c r="K17" i="25"/>
  <c r="K18" i="25" s="1"/>
  <c r="K27" i="25" s="1"/>
  <c r="B23" i="24"/>
  <c r="B19" i="24"/>
  <c r="W29" i="15"/>
  <c r="W30" i="15" s="1"/>
  <c r="Q29" i="15"/>
  <c r="Q30" i="15" s="1"/>
  <c r="N29" i="15"/>
  <c r="N30" i="15" s="1"/>
  <c r="L22" i="21"/>
  <c r="P13" i="21"/>
  <c r="I19" i="21"/>
  <c r="I22" i="21" s="1"/>
  <c r="I23" i="21" s="1"/>
  <c r="L23" i="21"/>
  <c r="L24" i="21" s="1"/>
  <c r="L25" i="21" s="1"/>
  <c r="O14" i="21" s="1"/>
  <c r="B22" i="21"/>
  <c r="B23" i="21" s="1"/>
  <c r="I17" i="21"/>
  <c r="I18" i="21" s="1"/>
  <c r="I27" i="21" s="1"/>
  <c r="L18" i="21"/>
  <c r="L27" i="21" s="1"/>
  <c r="O16" i="21" s="1"/>
  <c r="I24" i="21"/>
  <c r="I25" i="21" s="1"/>
  <c r="B18" i="21"/>
  <c r="H15" i="20"/>
  <c r="H16" i="20"/>
  <c r="H17" i="20" s="1"/>
  <c r="H18" i="20" s="1"/>
  <c r="H27" i="20" s="1"/>
  <c r="H22" i="20"/>
  <c r="H23" i="20" s="1"/>
  <c r="H24" i="20" s="1"/>
  <c r="H25" i="20" s="1"/>
  <c r="E25" i="20"/>
  <c r="K23" i="27" l="1"/>
  <c r="K24" i="27" s="1"/>
  <c r="K25" i="27" s="1"/>
  <c r="B29" i="26"/>
  <c r="B30" i="26" s="1"/>
  <c r="E22" i="25"/>
  <c r="E23" i="25" s="1"/>
  <c r="E17" i="25"/>
  <c r="E18" i="25" s="1"/>
  <c r="E27" i="25" s="1"/>
  <c r="K23" i="25"/>
  <c r="K24" i="25" s="1"/>
  <c r="K25" i="25" s="1"/>
  <c r="K28" i="25" s="1"/>
  <c r="B24" i="24"/>
  <c r="B25" i="24" s="1"/>
  <c r="B27" i="21"/>
  <c r="E16" i="21"/>
  <c r="B24" i="21"/>
  <c r="L28" i="21"/>
  <c r="L29" i="21" s="1"/>
  <c r="L30" i="21" s="1"/>
  <c r="N15" i="21" s="1"/>
  <c r="I28" i="21"/>
  <c r="I29" i="21" s="1"/>
  <c r="H28" i="20"/>
  <c r="H29" i="20" s="1"/>
  <c r="E27" i="20"/>
  <c r="K28" i="27" l="1"/>
  <c r="B31" i="26"/>
  <c r="K29" i="25"/>
  <c r="K30" i="25" s="1"/>
  <c r="E24" i="25"/>
  <c r="E25" i="25" s="1"/>
  <c r="E28" i="25" s="1"/>
  <c r="E29" i="25"/>
  <c r="E30" i="25" s="1"/>
  <c r="K25" i="20"/>
  <c r="K27" i="20"/>
  <c r="K28" i="20" s="1"/>
  <c r="B25" i="21"/>
  <c r="B28" i="21" s="1"/>
  <c r="B29" i="21" s="1"/>
  <c r="B30" i="21" s="1"/>
  <c r="D15" i="21" s="1"/>
  <c r="E14" i="21"/>
  <c r="I30" i="21"/>
  <c r="K29" i="27" l="1"/>
  <c r="K30" i="27" s="1"/>
  <c r="K29" i="20"/>
  <c r="K30" i="20" s="1"/>
</calcChain>
</file>

<file path=xl/sharedStrings.xml><?xml version="1.0" encoding="utf-8"?>
<sst xmlns="http://schemas.openxmlformats.org/spreadsheetml/2006/main" count="344" uniqueCount="45">
  <si>
    <t>Up</t>
  </si>
  <si>
    <t>Down</t>
  </si>
  <si>
    <t>Initial stock price</t>
  </si>
  <si>
    <t>Interest rate</t>
  </si>
  <si>
    <t>Exercise price</t>
  </si>
  <si>
    <t>Stock price</t>
  </si>
  <si>
    <t>Bond price</t>
  </si>
  <si>
    <t>Call option price</t>
  </si>
  <si>
    <t>Date 0</t>
  </si>
  <si>
    <t>Date 2</t>
  </si>
  <si>
    <t>Date 1</t>
  </si>
  <si>
    <t>European Put option price</t>
  </si>
  <si>
    <t>American Put option price</t>
  </si>
  <si>
    <t>S</t>
    <phoneticPr fontId="4" type="noConversion"/>
  </si>
  <si>
    <t>years</t>
    <phoneticPr fontId="4" type="noConversion"/>
  </si>
  <si>
    <t>IR</t>
    <phoneticPr fontId="4" type="noConversion"/>
  </si>
  <si>
    <t>up</t>
    <phoneticPr fontId="4" type="noConversion"/>
  </si>
  <si>
    <t>down</t>
    <phoneticPr fontId="4" type="noConversion"/>
  </si>
  <si>
    <t>Section a.</t>
    <phoneticPr fontId="4" type="noConversion"/>
  </si>
  <si>
    <t>call price</t>
    <phoneticPr fontId="4" type="noConversion"/>
  </si>
  <si>
    <t>X</t>
    <phoneticPr fontId="4" type="noConversion"/>
  </si>
  <si>
    <t>put price</t>
    <phoneticPr fontId="4" type="noConversion"/>
  </si>
  <si>
    <t>A</t>
    <phoneticPr fontId="4" type="noConversion"/>
  </si>
  <si>
    <t>B</t>
    <phoneticPr fontId="4" type="noConversion"/>
  </si>
  <si>
    <t>Section b.</t>
    <phoneticPr fontId="4" type="noConversion"/>
  </si>
  <si>
    <t>calc put price</t>
    <phoneticPr fontId="4" type="noConversion"/>
  </si>
  <si>
    <t>Section c.</t>
    <phoneticPr fontId="4" type="noConversion"/>
  </si>
  <si>
    <t>probabilities</t>
    <phoneticPr fontId="4" type="noConversion"/>
  </si>
  <si>
    <t>price</t>
    <phoneticPr fontId="4" type="noConversion"/>
  </si>
  <si>
    <t>no change</t>
    <phoneticPr fontId="4" type="noConversion"/>
  </si>
  <si>
    <t>increase</t>
  </si>
  <si>
    <t>decrease</t>
    <phoneticPr fontId="4" type="noConversion"/>
  </si>
  <si>
    <t>up rate</t>
    <phoneticPr fontId="4" type="noConversion"/>
  </si>
  <si>
    <t>down rate</t>
    <phoneticPr fontId="4" type="noConversion"/>
  </si>
  <si>
    <t>Initial stock price</t>
    <phoneticPr fontId="4" type="noConversion"/>
  </si>
  <si>
    <t>Exercise price</t>
    <phoneticPr fontId="4" type="noConversion"/>
  </si>
  <si>
    <t>Section d.</t>
    <phoneticPr fontId="4" type="noConversion"/>
  </si>
  <si>
    <t>cost</t>
    <phoneticPr fontId="4" type="noConversion"/>
  </si>
  <si>
    <t>BOBOW</t>
    <phoneticPr fontId="4" type="noConversion"/>
  </si>
  <si>
    <t>Date 2 Exercise price</t>
    <phoneticPr fontId="4" type="noConversion"/>
  </si>
  <si>
    <t>Date 1 Exercise price</t>
    <phoneticPr fontId="4" type="noConversion"/>
  </si>
  <si>
    <t>yes, will</t>
    <phoneticPr fontId="4" type="noConversion"/>
  </si>
  <si>
    <t>answer</t>
    <phoneticPr fontId="4" type="noConversion"/>
  </si>
  <si>
    <t>dividend</t>
    <phoneticPr fontId="4" type="noConversion"/>
  </si>
  <si>
    <t>sigma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</si>
</sst>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00"/>
    <numFmt numFmtId="177" formatCode="0.0000"/>
    <numFmt numFmtId="181" formatCode="0.000000"/>
    <numFmt numFmtId="186" formatCode="0.000000%"/>
    <numFmt numFmtId="191" formatCode="0.000000000"/>
    <numFmt numFmtId="202" formatCode="0.00000000%"/>
    <numFmt numFmtId="203" formatCode="0.0000000%"/>
  </numFmts>
  <fonts count="6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0"/>
      <name val="Arial"/>
    </font>
    <font>
      <sz val="9"/>
      <name val="宋体"/>
      <family val="3"/>
      <charset val="134"/>
    </font>
    <font>
      <sz val="10"/>
      <color rgb="FF1A1819"/>
      <name val="Helvetic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22">
    <xf numFmtId="0" fontId="0" fillId="0" borderId="0" xfId="0"/>
    <xf numFmtId="0" fontId="1" fillId="0" borderId="0" xfId="0" applyFont="1"/>
    <xf numFmtId="9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77" fontId="0" fillId="0" borderId="0" xfId="0" applyNumberFormat="1" applyAlignment="1">
      <alignment horizontal="center"/>
    </xf>
    <xf numFmtId="177" fontId="0" fillId="0" borderId="0" xfId="0" quotePrefix="1" applyNumberFormat="1"/>
    <xf numFmtId="176" fontId="0" fillId="0" borderId="0" xfId="0" applyNumberFormat="1" applyAlignment="1">
      <alignment horizontal="right"/>
    </xf>
    <xf numFmtId="176" fontId="0" fillId="0" borderId="0" xfId="0" applyNumberFormat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0" xfId="0" applyNumberFormat="1"/>
    <xf numFmtId="181" fontId="0" fillId="0" borderId="0" xfId="0" applyNumberFormat="1"/>
    <xf numFmtId="186" fontId="0" fillId="0" borderId="0" xfId="0" applyNumberFormat="1"/>
    <xf numFmtId="0" fontId="5" fillId="0" borderId="0" xfId="0" applyFont="1"/>
    <xf numFmtId="191" fontId="0" fillId="0" borderId="0" xfId="0" applyNumberFormat="1"/>
    <xf numFmtId="191" fontId="2" fillId="0" borderId="0" xfId="0" applyNumberFormat="1" applyFont="1" applyAlignment="1">
      <alignment horizontal="right"/>
    </xf>
    <xf numFmtId="202" fontId="0" fillId="0" borderId="0" xfId="0" applyNumberFormat="1"/>
    <xf numFmtId="203" fontId="0" fillId="0" borderId="0" xfId="1" applyNumberFormat="1" applyFont="1" applyAlignment="1"/>
  </cellXfs>
  <cellStyles count="2">
    <cellStyle name="百分比" xfId="1" builtinId="5"/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76200</xdr:rowOff>
    </xdr:from>
    <xdr:to>
      <xdr:col>2</xdr:col>
      <xdr:colOff>0</xdr:colOff>
      <xdr:row>10</xdr:row>
      <xdr:rowOff>85725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ShapeType="1"/>
        </xdr:cNvSpPr>
      </xdr:nvSpPr>
      <xdr:spPr bwMode="auto">
        <a:xfrm flipV="1">
          <a:off x="1104900" y="1533525"/>
          <a:ext cx="60960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10</xdr:row>
      <xdr:rowOff>95250</xdr:rowOff>
    </xdr:from>
    <xdr:to>
      <xdr:col>2</xdr:col>
      <xdr:colOff>9525</xdr:colOff>
      <xdr:row>11</xdr:row>
      <xdr:rowOff>85725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ShapeType="1"/>
        </xdr:cNvSpPr>
      </xdr:nvSpPr>
      <xdr:spPr bwMode="auto">
        <a:xfrm>
          <a:off x="1104900" y="1714500"/>
          <a:ext cx="619125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57150</xdr:rowOff>
    </xdr:from>
    <xdr:to>
      <xdr:col>8</xdr:col>
      <xdr:colOff>0</xdr:colOff>
      <xdr:row>10</xdr:row>
      <xdr:rowOff>95250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ShapeType="1"/>
        </xdr:cNvSpPr>
      </xdr:nvSpPr>
      <xdr:spPr bwMode="auto">
        <a:xfrm flipV="1">
          <a:off x="5495925" y="1514475"/>
          <a:ext cx="600075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10</xdr:row>
      <xdr:rowOff>104775</xdr:rowOff>
    </xdr:from>
    <xdr:to>
      <xdr:col>7</xdr:col>
      <xdr:colOff>600075</xdr:colOff>
      <xdr:row>11</xdr:row>
      <xdr:rowOff>95250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ShapeType="1"/>
        </xdr:cNvSpPr>
      </xdr:nvSpPr>
      <xdr:spPr bwMode="auto">
        <a:xfrm>
          <a:off x="5486400" y="1724025"/>
          <a:ext cx="600075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234</xdr:row>
      <xdr:rowOff>0</xdr:rowOff>
    </xdr:from>
    <xdr:to>
      <xdr:col>2</xdr:col>
      <xdr:colOff>600075</xdr:colOff>
      <xdr:row>234</xdr:row>
      <xdr:rowOff>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 noChangeShapeType="1"/>
        </xdr:cNvSpPr>
      </xdr:nvSpPr>
      <xdr:spPr bwMode="auto">
        <a:xfrm flipV="1">
          <a:off x="1714500" y="37890450"/>
          <a:ext cx="600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234</xdr:row>
      <xdr:rowOff>0</xdr:rowOff>
    </xdr:from>
    <xdr:to>
      <xdr:col>7</xdr:col>
      <xdr:colOff>0</xdr:colOff>
      <xdr:row>234</xdr:row>
      <xdr:rowOff>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ShapeType="1"/>
        </xdr:cNvSpPr>
      </xdr:nvSpPr>
      <xdr:spPr bwMode="auto">
        <a:xfrm flipV="1">
          <a:off x="4876800" y="37890450"/>
          <a:ext cx="609600" cy="0"/>
        </a:xfrm>
        <a:prstGeom prst="line">
          <a:avLst/>
        </a:prstGeom>
        <a:noFill/>
        <a:ln w="1">
          <a:solidFill>
            <a:srgbClr val="FFFFFF"/>
          </a:solidFill>
          <a:prstDash val="dash"/>
          <a:round/>
          <a:headEnd/>
          <a:tailEnd/>
        </a:ln>
      </xdr:spPr>
    </xdr:sp>
    <xdr:clientData/>
  </xdr:twoCellAnchor>
  <xdr:twoCellAnchor>
    <xdr:from>
      <xdr:col>8</xdr:col>
      <xdr:colOff>0</xdr:colOff>
      <xdr:row>234</xdr:row>
      <xdr:rowOff>0</xdr:rowOff>
    </xdr:from>
    <xdr:to>
      <xdr:col>9</xdr:col>
      <xdr:colOff>0</xdr:colOff>
      <xdr:row>234</xdr:row>
      <xdr:rowOff>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 noChangeShapeType="1"/>
        </xdr:cNvSpPr>
      </xdr:nvSpPr>
      <xdr:spPr bwMode="auto">
        <a:xfrm flipV="1">
          <a:off x="6096000" y="37890450"/>
          <a:ext cx="609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600075</xdr:colOff>
      <xdr:row>234</xdr:row>
      <xdr:rowOff>0</xdr:rowOff>
    </xdr:from>
    <xdr:to>
      <xdr:col>9</xdr:col>
      <xdr:colOff>0</xdr:colOff>
      <xdr:row>234</xdr:row>
      <xdr:rowOff>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>
          <a:spLocks noChangeShapeType="1"/>
        </xdr:cNvSpPr>
      </xdr:nvSpPr>
      <xdr:spPr bwMode="auto">
        <a:xfrm>
          <a:off x="6086475" y="37890450"/>
          <a:ext cx="6191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0</xdr:colOff>
      <xdr:row>234</xdr:row>
      <xdr:rowOff>0</xdr:rowOff>
    </xdr:from>
    <xdr:to>
      <xdr:col>8</xdr:col>
      <xdr:colOff>600075</xdr:colOff>
      <xdr:row>234</xdr:row>
      <xdr:rowOff>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>
          <a:spLocks noChangeShapeType="1"/>
        </xdr:cNvSpPr>
      </xdr:nvSpPr>
      <xdr:spPr bwMode="auto">
        <a:xfrm flipV="1">
          <a:off x="6096000" y="37890450"/>
          <a:ext cx="600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9525</xdr:colOff>
      <xdr:row>8</xdr:row>
      <xdr:rowOff>57150</xdr:rowOff>
    </xdr:from>
    <xdr:to>
      <xdr:col>4</xdr:col>
      <xdr:colOff>0</xdr:colOff>
      <xdr:row>9</xdr:row>
      <xdr:rowOff>66675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>
          <a:spLocks noChangeShapeType="1"/>
        </xdr:cNvSpPr>
      </xdr:nvSpPr>
      <xdr:spPr bwMode="auto">
        <a:xfrm flipV="1">
          <a:off x="2333625" y="135255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28575</xdr:colOff>
      <xdr:row>9</xdr:row>
      <xdr:rowOff>57150</xdr:rowOff>
    </xdr:from>
    <xdr:to>
      <xdr:col>4</xdr:col>
      <xdr:colOff>9525</xdr:colOff>
      <xdr:row>10</xdr:row>
      <xdr:rowOff>85725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>
          <a:spLocks noChangeShapeType="1"/>
        </xdr:cNvSpPr>
      </xdr:nvSpPr>
      <xdr:spPr bwMode="auto">
        <a:xfrm>
          <a:off x="2352675" y="151447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10</xdr:row>
      <xdr:rowOff>95250</xdr:rowOff>
    </xdr:from>
    <xdr:to>
      <xdr:col>3</xdr:col>
      <xdr:colOff>600075</xdr:colOff>
      <xdr:row>11</xdr:row>
      <xdr:rowOff>104775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>
          <a:spLocks noChangeShapeType="1"/>
        </xdr:cNvSpPr>
      </xdr:nvSpPr>
      <xdr:spPr bwMode="auto">
        <a:xfrm flipV="1">
          <a:off x="2324100" y="171450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11</xdr:row>
      <xdr:rowOff>104775</xdr:rowOff>
    </xdr:from>
    <xdr:to>
      <xdr:col>4</xdr:col>
      <xdr:colOff>0</xdr:colOff>
      <xdr:row>12</xdr:row>
      <xdr:rowOff>95250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>
          <a:spLocks noChangeShapeType="1"/>
        </xdr:cNvSpPr>
      </xdr:nvSpPr>
      <xdr:spPr bwMode="auto">
        <a:xfrm>
          <a:off x="2324100" y="1885950"/>
          <a:ext cx="60960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9525</xdr:colOff>
      <xdr:row>8</xdr:row>
      <xdr:rowOff>57150</xdr:rowOff>
    </xdr:from>
    <xdr:to>
      <xdr:col>10</xdr:col>
      <xdr:colOff>0</xdr:colOff>
      <xdr:row>9</xdr:row>
      <xdr:rowOff>66675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>
          <a:spLocks noChangeShapeType="1"/>
        </xdr:cNvSpPr>
      </xdr:nvSpPr>
      <xdr:spPr bwMode="auto">
        <a:xfrm flipV="1">
          <a:off x="6715125" y="135255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28575</xdr:colOff>
      <xdr:row>9</xdr:row>
      <xdr:rowOff>57150</xdr:rowOff>
    </xdr:from>
    <xdr:to>
      <xdr:col>10</xdr:col>
      <xdr:colOff>9525</xdr:colOff>
      <xdr:row>10</xdr:row>
      <xdr:rowOff>85725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>
          <a:spLocks noChangeShapeType="1"/>
        </xdr:cNvSpPr>
      </xdr:nvSpPr>
      <xdr:spPr bwMode="auto">
        <a:xfrm>
          <a:off x="6734175" y="151447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0</xdr:colOff>
      <xdr:row>10</xdr:row>
      <xdr:rowOff>95250</xdr:rowOff>
    </xdr:from>
    <xdr:to>
      <xdr:col>9</xdr:col>
      <xdr:colOff>600075</xdr:colOff>
      <xdr:row>11</xdr:row>
      <xdr:rowOff>104775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>
          <a:spLocks noChangeShapeType="1"/>
        </xdr:cNvSpPr>
      </xdr:nvSpPr>
      <xdr:spPr bwMode="auto">
        <a:xfrm flipV="1">
          <a:off x="6705600" y="171450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0</xdr:colOff>
      <xdr:row>11</xdr:row>
      <xdr:rowOff>104775</xdr:rowOff>
    </xdr:from>
    <xdr:to>
      <xdr:col>10</xdr:col>
      <xdr:colOff>0</xdr:colOff>
      <xdr:row>12</xdr:row>
      <xdr:rowOff>95250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>
          <a:spLocks noChangeShapeType="1"/>
        </xdr:cNvSpPr>
      </xdr:nvSpPr>
      <xdr:spPr bwMode="auto">
        <a:xfrm>
          <a:off x="6705600" y="1885950"/>
          <a:ext cx="60960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25</xdr:row>
      <xdr:rowOff>76200</xdr:rowOff>
    </xdr:from>
    <xdr:to>
      <xdr:col>2</xdr:col>
      <xdr:colOff>0</xdr:colOff>
      <xdr:row>26</xdr:row>
      <xdr:rowOff>85725</xdr:rowOff>
    </xdr:to>
    <xdr:sp macro="" textlink="">
      <xdr:nvSpPr>
        <xdr:cNvPr id="19" name="Line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>
          <a:spLocks noChangeShapeType="1"/>
        </xdr:cNvSpPr>
      </xdr:nvSpPr>
      <xdr:spPr bwMode="auto">
        <a:xfrm flipV="1">
          <a:off x="1104900" y="4124325"/>
          <a:ext cx="60960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26</xdr:row>
      <xdr:rowOff>95250</xdr:rowOff>
    </xdr:from>
    <xdr:to>
      <xdr:col>2</xdr:col>
      <xdr:colOff>9525</xdr:colOff>
      <xdr:row>27</xdr:row>
      <xdr:rowOff>85725</xdr:rowOff>
    </xdr:to>
    <xdr:sp macro="" textlink="">
      <xdr:nvSpPr>
        <xdr:cNvPr id="20" name="Line 37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>
          <a:spLocks noChangeShapeType="1"/>
        </xdr:cNvSpPr>
      </xdr:nvSpPr>
      <xdr:spPr bwMode="auto">
        <a:xfrm>
          <a:off x="1104900" y="4305300"/>
          <a:ext cx="619125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9525</xdr:colOff>
      <xdr:row>24</xdr:row>
      <xdr:rowOff>57150</xdr:rowOff>
    </xdr:from>
    <xdr:to>
      <xdr:col>4</xdr:col>
      <xdr:colOff>0</xdr:colOff>
      <xdr:row>25</xdr:row>
      <xdr:rowOff>66675</xdr:rowOff>
    </xdr:to>
    <xdr:sp macro="" textlink="">
      <xdr:nvSpPr>
        <xdr:cNvPr id="21" name="Line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>
          <a:spLocks noChangeShapeType="1"/>
        </xdr:cNvSpPr>
      </xdr:nvSpPr>
      <xdr:spPr bwMode="auto">
        <a:xfrm flipV="1">
          <a:off x="2333625" y="394335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28575</xdr:colOff>
      <xdr:row>25</xdr:row>
      <xdr:rowOff>57150</xdr:rowOff>
    </xdr:from>
    <xdr:to>
      <xdr:col>4</xdr:col>
      <xdr:colOff>9525</xdr:colOff>
      <xdr:row>26</xdr:row>
      <xdr:rowOff>85725</xdr:rowOff>
    </xdr:to>
    <xdr:sp macro="" textlink="">
      <xdr:nvSpPr>
        <xdr:cNvPr id="22" name="Line 3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>
          <a:spLocks noChangeShapeType="1"/>
        </xdr:cNvSpPr>
      </xdr:nvSpPr>
      <xdr:spPr bwMode="auto">
        <a:xfrm>
          <a:off x="2352675" y="410527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26</xdr:row>
      <xdr:rowOff>95250</xdr:rowOff>
    </xdr:from>
    <xdr:to>
      <xdr:col>3</xdr:col>
      <xdr:colOff>600075</xdr:colOff>
      <xdr:row>27</xdr:row>
      <xdr:rowOff>104775</xdr:rowOff>
    </xdr:to>
    <xdr:sp macro="" textlink="">
      <xdr:nvSpPr>
        <xdr:cNvPr id="23" name="Line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>
          <a:spLocks noChangeShapeType="1"/>
        </xdr:cNvSpPr>
      </xdr:nvSpPr>
      <xdr:spPr bwMode="auto">
        <a:xfrm flipV="1">
          <a:off x="2324100" y="430530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27</xdr:row>
      <xdr:rowOff>104775</xdr:rowOff>
    </xdr:from>
    <xdr:to>
      <xdr:col>4</xdr:col>
      <xdr:colOff>0</xdr:colOff>
      <xdr:row>28</xdr:row>
      <xdr:rowOff>95250</xdr:rowOff>
    </xdr:to>
    <xdr:sp macro="" textlink="">
      <xdr:nvSpPr>
        <xdr:cNvPr id="24" name="Line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>
          <a:spLocks noChangeShapeType="1"/>
        </xdr:cNvSpPr>
      </xdr:nvSpPr>
      <xdr:spPr bwMode="auto">
        <a:xfrm>
          <a:off x="2324100" y="4476750"/>
          <a:ext cx="60960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17</xdr:row>
      <xdr:rowOff>76200</xdr:rowOff>
    </xdr:from>
    <xdr:to>
      <xdr:col>8</xdr:col>
      <xdr:colOff>0</xdr:colOff>
      <xdr:row>18</xdr:row>
      <xdr:rowOff>85725</xdr:rowOff>
    </xdr:to>
    <xdr:sp macro="" textlink="">
      <xdr:nvSpPr>
        <xdr:cNvPr id="25" name="Line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>
          <a:spLocks noChangeShapeType="1"/>
        </xdr:cNvSpPr>
      </xdr:nvSpPr>
      <xdr:spPr bwMode="auto">
        <a:xfrm flipV="1">
          <a:off x="5486400" y="2828925"/>
          <a:ext cx="60960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18</xdr:row>
      <xdr:rowOff>95250</xdr:rowOff>
    </xdr:from>
    <xdr:to>
      <xdr:col>8</xdr:col>
      <xdr:colOff>9525</xdr:colOff>
      <xdr:row>19</xdr:row>
      <xdr:rowOff>85725</xdr:rowOff>
    </xdr:to>
    <xdr:sp macro="" textlink="">
      <xdr:nvSpPr>
        <xdr:cNvPr id="26" name="Line 61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>
          <a:spLocks noChangeShapeType="1"/>
        </xdr:cNvSpPr>
      </xdr:nvSpPr>
      <xdr:spPr bwMode="auto">
        <a:xfrm>
          <a:off x="5486400" y="3009900"/>
          <a:ext cx="619125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9525</xdr:colOff>
      <xdr:row>16</xdr:row>
      <xdr:rowOff>57150</xdr:rowOff>
    </xdr:from>
    <xdr:to>
      <xdr:col>10</xdr:col>
      <xdr:colOff>0</xdr:colOff>
      <xdr:row>17</xdr:row>
      <xdr:rowOff>66675</xdr:rowOff>
    </xdr:to>
    <xdr:sp macro="" textlink="">
      <xdr:nvSpPr>
        <xdr:cNvPr id="27" name="Line 6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>
          <a:spLocks noChangeShapeType="1"/>
        </xdr:cNvSpPr>
      </xdr:nvSpPr>
      <xdr:spPr bwMode="auto">
        <a:xfrm flipV="1">
          <a:off x="6715125" y="264795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28575</xdr:colOff>
      <xdr:row>17</xdr:row>
      <xdr:rowOff>57150</xdr:rowOff>
    </xdr:from>
    <xdr:to>
      <xdr:col>10</xdr:col>
      <xdr:colOff>9525</xdr:colOff>
      <xdr:row>18</xdr:row>
      <xdr:rowOff>85725</xdr:rowOff>
    </xdr:to>
    <xdr:sp macro="" textlink="">
      <xdr:nvSpPr>
        <xdr:cNvPr id="28" name="Line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SpPr>
          <a:spLocks noChangeShapeType="1"/>
        </xdr:cNvSpPr>
      </xdr:nvSpPr>
      <xdr:spPr bwMode="auto">
        <a:xfrm>
          <a:off x="6734175" y="280987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0</xdr:colOff>
      <xdr:row>18</xdr:row>
      <xdr:rowOff>95250</xdr:rowOff>
    </xdr:from>
    <xdr:to>
      <xdr:col>9</xdr:col>
      <xdr:colOff>600075</xdr:colOff>
      <xdr:row>19</xdr:row>
      <xdr:rowOff>104775</xdr:rowOff>
    </xdr:to>
    <xdr:sp macro="" textlink="">
      <xdr:nvSpPr>
        <xdr:cNvPr id="29" name="Line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SpPr>
          <a:spLocks noChangeShapeType="1"/>
        </xdr:cNvSpPr>
      </xdr:nvSpPr>
      <xdr:spPr bwMode="auto">
        <a:xfrm flipV="1">
          <a:off x="6705600" y="300990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0</xdr:colOff>
      <xdr:row>19</xdr:row>
      <xdr:rowOff>104775</xdr:rowOff>
    </xdr:from>
    <xdr:to>
      <xdr:col>10</xdr:col>
      <xdr:colOff>0</xdr:colOff>
      <xdr:row>20</xdr:row>
      <xdr:rowOff>95250</xdr:rowOff>
    </xdr:to>
    <xdr:sp macro="" textlink="">
      <xdr:nvSpPr>
        <xdr:cNvPr id="30" name="Line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SpPr>
          <a:spLocks noChangeShapeType="1"/>
        </xdr:cNvSpPr>
      </xdr:nvSpPr>
      <xdr:spPr bwMode="auto">
        <a:xfrm>
          <a:off x="6705600" y="3181350"/>
          <a:ext cx="60960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18</xdr:row>
      <xdr:rowOff>95250</xdr:rowOff>
    </xdr:from>
    <xdr:to>
      <xdr:col>8</xdr:col>
      <xdr:colOff>9525</xdr:colOff>
      <xdr:row>19</xdr:row>
      <xdr:rowOff>85725</xdr:rowOff>
    </xdr:to>
    <xdr:sp macro="" textlink="">
      <xdr:nvSpPr>
        <xdr:cNvPr id="31" name="Line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SpPr>
          <a:spLocks noChangeShapeType="1"/>
        </xdr:cNvSpPr>
      </xdr:nvSpPr>
      <xdr:spPr bwMode="auto">
        <a:xfrm>
          <a:off x="5486400" y="3009900"/>
          <a:ext cx="619125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0</xdr:colOff>
      <xdr:row>18</xdr:row>
      <xdr:rowOff>95250</xdr:rowOff>
    </xdr:from>
    <xdr:to>
      <xdr:col>8</xdr:col>
      <xdr:colOff>9525</xdr:colOff>
      <xdr:row>19</xdr:row>
      <xdr:rowOff>85725</xdr:rowOff>
    </xdr:to>
    <xdr:sp macro="" textlink="">
      <xdr:nvSpPr>
        <xdr:cNvPr id="32" name="Line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SpPr>
          <a:spLocks noChangeShapeType="1"/>
        </xdr:cNvSpPr>
      </xdr:nvSpPr>
      <xdr:spPr bwMode="auto">
        <a:xfrm>
          <a:off x="5486400" y="3009900"/>
          <a:ext cx="619125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17</xdr:row>
      <xdr:rowOff>76200</xdr:rowOff>
    </xdr:from>
    <xdr:to>
      <xdr:col>2</xdr:col>
      <xdr:colOff>0</xdr:colOff>
      <xdr:row>18</xdr:row>
      <xdr:rowOff>85725</xdr:rowOff>
    </xdr:to>
    <xdr:sp macro="" textlink="">
      <xdr:nvSpPr>
        <xdr:cNvPr id="33" name="Line 140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SpPr>
          <a:spLocks noChangeShapeType="1"/>
        </xdr:cNvSpPr>
      </xdr:nvSpPr>
      <xdr:spPr bwMode="auto">
        <a:xfrm flipV="1">
          <a:off x="1104900" y="2828925"/>
          <a:ext cx="60960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18</xdr:row>
      <xdr:rowOff>95250</xdr:rowOff>
    </xdr:from>
    <xdr:to>
      <xdr:col>2</xdr:col>
      <xdr:colOff>9525</xdr:colOff>
      <xdr:row>19</xdr:row>
      <xdr:rowOff>85725</xdr:rowOff>
    </xdr:to>
    <xdr:sp macro="" textlink="">
      <xdr:nvSpPr>
        <xdr:cNvPr id="34" name="Line 141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SpPr>
          <a:spLocks noChangeShapeType="1"/>
        </xdr:cNvSpPr>
      </xdr:nvSpPr>
      <xdr:spPr bwMode="auto">
        <a:xfrm>
          <a:off x="1104900" y="3009900"/>
          <a:ext cx="619125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9525</xdr:colOff>
      <xdr:row>16</xdr:row>
      <xdr:rowOff>57150</xdr:rowOff>
    </xdr:from>
    <xdr:to>
      <xdr:col>4</xdr:col>
      <xdr:colOff>0</xdr:colOff>
      <xdr:row>17</xdr:row>
      <xdr:rowOff>66675</xdr:rowOff>
    </xdr:to>
    <xdr:sp macro="" textlink="">
      <xdr:nvSpPr>
        <xdr:cNvPr id="35" name="Line 142">
          <a:extLst>
            <a:ext uri="{FF2B5EF4-FFF2-40B4-BE49-F238E27FC236}">
              <a16:creationId xmlns:a16="http://schemas.microsoft.com/office/drawing/2014/main" id="{00000000-0008-0000-0800-00005F000000}"/>
            </a:ext>
          </a:extLst>
        </xdr:cNvPr>
        <xdr:cNvSpPr>
          <a:spLocks noChangeShapeType="1"/>
        </xdr:cNvSpPr>
      </xdr:nvSpPr>
      <xdr:spPr bwMode="auto">
        <a:xfrm flipV="1">
          <a:off x="2333625" y="264795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28575</xdr:colOff>
      <xdr:row>17</xdr:row>
      <xdr:rowOff>57150</xdr:rowOff>
    </xdr:from>
    <xdr:to>
      <xdr:col>4</xdr:col>
      <xdr:colOff>9525</xdr:colOff>
      <xdr:row>18</xdr:row>
      <xdr:rowOff>85725</xdr:rowOff>
    </xdr:to>
    <xdr:sp macro="" textlink="">
      <xdr:nvSpPr>
        <xdr:cNvPr id="36" name="Line 143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SpPr>
          <a:spLocks noChangeShapeType="1"/>
        </xdr:cNvSpPr>
      </xdr:nvSpPr>
      <xdr:spPr bwMode="auto">
        <a:xfrm>
          <a:off x="2352675" y="2809875"/>
          <a:ext cx="590550" cy="190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18</xdr:row>
      <xdr:rowOff>95250</xdr:rowOff>
    </xdr:from>
    <xdr:to>
      <xdr:col>3</xdr:col>
      <xdr:colOff>600075</xdr:colOff>
      <xdr:row>19</xdr:row>
      <xdr:rowOff>104775</xdr:rowOff>
    </xdr:to>
    <xdr:sp macro="" textlink="">
      <xdr:nvSpPr>
        <xdr:cNvPr id="37" name="Line 144">
          <a:extLst>
            <a:ext uri="{FF2B5EF4-FFF2-40B4-BE49-F238E27FC236}">
              <a16:creationId xmlns:a16="http://schemas.microsoft.com/office/drawing/2014/main" id="{00000000-0008-0000-0800-000061000000}"/>
            </a:ext>
          </a:extLst>
        </xdr:cNvPr>
        <xdr:cNvSpPr>
          <a:spLocks noChangeShapeType="1"/>
        </xdr:cNvSpPr>
      </xdr:nvSpPr>
      <xdr:spPr bwMode="auto">
        <a:xfrm flipV="1">
          <a:off x="2324100" y="3009900"/>
          <a:ext cx="600075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0</xdr:colOff>
      <xdr:row>19</xdr:row>
      <xdr:rowOff>104775</xdr:rowOff>
    </xdr:from>
    <xdr:to>
      <xdr:col>4</xdr:col>
      <xdr:colOff>0</xdr:colOff>
      <xdr:row>20</xdr:row>
      <xdr:rowOff>95250</xdr:rowOff>
    </xdr:to>
    <xdr:sp macro="" textlink="">
      <xdr:nvSpPr>
        <xdr:cNvPr id="38" name="Line 145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SpPr>
          <a:spLocks noChangeShapeType="1"/>
        </xdr:cNvSpPr>
      </xdr:nvSpPr>
      <xdr:spPr bwMode="auto">
        <a:xfrm>
          <a:off x="2324100" y="3181350"/>
          <a:ext cx="60960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D1622-745A-BC4B-A4B7-D8C77652A110}">
  <dimension ref="A1:E29"/>
  <sheetViews>
    <sheetView topLeftCell="B1" zoomScaleNormal="100" workbookViewId="0">
      <selection sqref="A1:E29"/>
    </sheetView>
  </sheetViews>
  <sheetFormatPr baseColWidth="10" defaultRowHeight="13"/>
  <sheetData>
    <row r="1" spans="1:5">
      <c r="A1" s="13" t="s">
        <v>13</v>
      </c>
      <c r="B1">
        <v>25</v>
      </c>
    </row>
    <row r="2" spans="1:5">
      <c r="A2" s="13" t="s">
        <v>14</v>
      </c>
      <c r="B2">
        <v>1</v>
      </c>
    </row>
    <row r="3" spans="1:5">
      <c r="A3" s="13" t="s">
        <v>15</v>
      </c>
      <c r="B3" s="2">
        <v>0.03</v>
      </c>
    </row>
    <row r="4" spans="1:5">
      <c r="A4" s="13" t="s">
        <v>16</v>
      </c>
      <c r="B4">
        <v>35</v>
      </c>
    </row>
    <row r="5" spans="1:5">
      <c r="A5" s="13" t="s">
        <v>17</v>
      </c>
      <c r="B5">
        <v>20</v>
      </c>
    </row>
    <row r="7" spans="1:5">
      <c r="A7" s="13" t="s">
        <v>18</v>
      </c>
    </row>
    <row r="8" spans="1:5">
      <c r="A8" s="13" t="s">
        <v>20</v>
      </c>
      <c r="B8">
        <v>30</v>
      </c>
    </row>
    <row r="9" spans="1:5">
      <c r="B9">
        <f>B4</f>
        <v>35</v>
      </c>
      <c r="E9">
        <f>(1+B3)*D10</f>
        <v>1.03</v>
      </c>
    </row>
    <row r="10" spans="1:5">
      <c r="A10">
        <f>B1</f>
        <v>25</v>
      </c>
      <c r="D10">
        <v>1</v>
      </c>
    </row>
    <row r="11" spans="1:5">
      <c r="B11">
        <f>B5</f>
        <v>20</v>
      </c>
      <c r="E11">
        <f>(1+B3)*D10</f>
        <v>1.03</v>
      </c>
    </row>
    <row r="12" spans="1:5">
      <c r="B12">
        <f>B9-B8</f>
        <v>5</v>
      </c>
    </row>
    <row r="13" spans="1:5">
      <c r="A13" s="13" t="s">
        <v>19</v>
      </c>
      <c r="D13" s="13"/>
    </row>
    <row r="14" spans="1:5">
      <c r="B14" s="13">
        <v>0</v>
      </c>
    </row>
    <row r="15" spans="1:5">
      <c r="A15" s="13" t="s">
        <v>22</v>
      </c>
      <c r="B15">
        <f>(B12-B14)/(B9-B11)</f>
        <v>0.33333333333333331</v>
      </c>
    </row>
    <row r="16" spans="1:5">
      <c r="A16" s="13" t="s">
        <v>23</v>
      </c>
      <c r="B16">
        <f>(B14-B11*B15)/E11</f>
        <v>-6.4724919093851128</v>
      </c>
    </row>
    <row r="17" spans="1:2">
      <c r="A17" s="13" t="s">
        <v>19</v>
      </c>
      <c r="B17">
        <f>B15*A10+B16</f>
        <v>1.8608414239482194</v>
      </c>
    </row>
    <row r="19" spans="1:2">
      <c r="A19" s="13" t="s">
        <v>24</v>
      </c>
    </row>
    <row r="20" spans="1:2">
      <c r="A20" s="13" t="s">
        <v>20</v>
      </c>
      <c r="B20">
        <v>30</v>
      </c>
    </row>
    <row r="21" spans="1:2">
      <c r="B21">
        <f>0</f>
        <v>0</v>
      </c>
    </row>
    <row r="22" spans="1:2">
      <c r="A22" s="13" t="s">
        <v>21</v>
      </c>
    </row>
    <row r="23" spans="1:2">
      <c r="B23">
        <f>B8-B11</f>
        <v>10</v>
      </c>
    </row>
    <row r="24" spans="1:2">
      <c r="A24" s="13" t="s">
        <v>22</v>
      </c>
      <c r="B24">
        <f>-B23/(B9-B11)</f>
        <v>-0.66666666666666663</v>
      </c>
    </row>
    <row r="25" spans="1:2">
      <c r="A25" s="13" t="s">
        <v>23</v>
      </c>
      <c r="B25">
        <f>-B9*B24/E11</f>
        <v>22.653721682847895</v>
      </c>
    </row>
    <row r="26" spans="1:2">
      <c r="A26" s="13" t="s">
        <v>21</v>
      </c>
      <c r="B26">
        <f>B24*A10+B25</f>
        <v>5.9870550161812304</v>
      </c>
    </row>
    <row r="28" spans="1:2">
      <c r="A28" s="13" t="s">
        <v>26</v>
      </c>
    </row>
    <row r="29" spans="1:2">
      <c r="A29" s="13" t="s">
        <v>25</v>
      </c>
      <c r="B29">
        <f>B17+B8/E11-B1</f>
        <v>5.9870550161812268</v>
      </c>
    </row>
  </sheetData>
  <phoneticPr fontId="4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F7E14-F86F-514B-BC17-0C7515F68F82}">
  <dimension ref="A1:E16"/>
  <sheetViews>
    <sheetView zoomScaleNormal="100" workbookViewId="0">
      <selection activeCell="C6" sqref="C6"/>
    </sheetView>
  </sheetViews>
  <sheetFormatPr baseColWidth="10" defaultRowHeight="13"/>
  <sheetData>
    <row r="1" spans="1:5">
      <c r="A1" s="13" t="s">
        <v>13</v>
      </c>
      <c r="B1">
        <v>30</v>
      </c>
    </row>
    <row r="2" spans="1:5">
      <c r="A2" s="13" t="s">
        <v>20</v>
      </c>
      <c r="B2">
        <v>40</v>
      </c>
    </row>
    <row r="3" spans="1:5">
      <c r="A3" s="13" t="s">
        <v>16</v>
      </c>
      <c r="B3">
        <f>B2-5</f>
        <v>35</v>
      </c>
    </row>
    <row r="4" spans="1:5">
      <c r="A4" s="13" t="s">
        <v>17</v>
      </c>
      <c r="B4">
        <f>B2-20</f>
        <v>20</v>
      </c>
    </row>
    <row r="5" spans="1:5">
      <c r="A5" s="13" t="s">
        <v>21</v>
      </c>
      <c r="B5">
        <v>9.5</v>
      </c>
    </row>
    <row r="6" spans="1:5">
      <c r="A6" s="13" t="s">
        <v>15</v>
      </c>
      <c r="B6" s="16">
        <v>1.2654291375000222E-2</v>
      </c>
    </row>
    <row r="7" spans="1:5">
      <c r="A7" s="13" t="s">
        <v>14</v>
      </c>
      <c r="B7">
        <v>1</v>
      </c>
    </row>
    <row r="8" spans="1:5">
      <c r="B8">
        <f>B3</f>
        <v>35</v>
      </c>
      <c r="E8">
        <f>(1+B6)*D9</f>
        <v>1.0126542913750003</v>
      </c>
    </row>
    <row r="9" spans="1:5">
      <c r="A9" s="13">
        <f>B1</f>
        <v>30</v>
      </c>
      <c r="D9">
        <v>1</v>
      </c>
    </row>
    <row r="10" spans="1:5">
      <c r="B10">
        <f>B4</f>
        <v>20</v>
      </c>
      <c r="E10" s="14">
        <f>(1+B6)*D9</f>
        <v>1.0126542913750003</v>
      </c>
    </row>
    <row r="11" spans="1:5">
      <c r="B11">
        <f>B2-B8</f>
        <v>5</v>
      </c>
    </row>
    <row r="12" spans="1:5">
      <c r="A12" s="13" t="s">
        <v>21</v>
      </c>
    </row>
    <row r="13" spans="1:5">
      <c r="B13">
        <f>B2-B10</f>
        <v>20</v>
      </c>
    </row>
    <row r="14" spans="1:5">
      <c r="A14" s="13" t="s">
        <v>22</v>
      </c>
      <c r="B14" s="15">
        <f>(B11-B13)/(B8-B10)</f>
        <v>-1</v>
      </c>
    </row>
    <row r="15" spans="1:5">
      <c r="A15" s="13" t="s">
        <v>23</v>
      </c>
      <c r="B15">
        <f>(B13-B10*B14)/E10</f>
        <v>39.500153547650775</v>
      </c>
    </row>
    <row r="16" spans="1:5">
      <c r="A16" s="13" t="s">
        <v>21</v>
      </c>
      <c r="B16" s="13">
        <f>B14*B1+B15</f>
        <v>9.5001535476507755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19327-F93A-1C44-B59C-9A9BF24800E0}">
  <dimension ref="A1:E21"/>
  <sheetViews>
    <sheetView zoomScaleNormal="100" workbookViewId="0">
      <selection activeCell="A22" sqref="A22"/>
    </sheetView>
  </sheetViews>
  <sheetFormatPr baseColWidth="10" defaultRowHeight="13"/>
  <sheetData>
    <row r="1" spans="1:5">
      <c r="A1" s="13" t="s">
        <v>13</v>
      </c>
      <c r="B1">
        <v>50</v>
      </c>
    </row>
    <row r="2" spans="1:5">
      <c r="A2" s="13" t="s">
        <v>14</v>
      </c>
      <c r="B2">
        <v>1</v>
      </c>
    </row>
    <row r="3" spans="1:5">
      <c r="B3" s="13" t="s">
        <v>28</v>
      </c>
      <c r="C3" s="13" t="s">
        <v>27</v>
      </c>
    </row>
    <row r="4" spans="1:5">
      <c r="A4" s="13" t="s">
        <v>16</v>
      </c>
      <c r="B4">
        <v>65</v>
      </c>
      <c r="C4">
        <v>0.6</v>
      </c>
    </row>
    <row r="5" spans="1:5">
      <c r="A5" s="13" t="s">
        <v>17</v>
      </c>
      <c r="B5">
        <v>45</v>
      </c>
      <c r="C5">
        <v>0.4</v>
      </c>
    </row>
    <row r="6" spans="1:5">
      <c r="A6" s="13" t="s">
        <v>15</v>
      </c>
      <c r="B6" s="2">
        <v>0.03</v>
      </c>
    </row>
    <row r="8" spans="1:5">
      <c r="A8" s="13" t="s">
        <v>18</v>
      </c>
    </row>
    <row r="9" spans="1:5">
      <c r="A9" s="13" t="s">
        <v>20</v>
      </c>
      <c r="B9">
        <v>50</v>
      </c>
    </row>
    <row r="10" spans="1:5">
      <c r="B10">
        <f>B4</f>
        <v>65</v>
      </c>
      <c r="E10">
        <f>(1+B6)*D11</f>
        <v>1.03</v>
      </c>
    </row>
    <row r="11" spans="1:5">
      <c r="A11">
        <f>B1</f>
        <v>50</v>
      </c>
      <c r="D11">
        <v>1</v>
      </c>
    </row>
    <row r="12" spans="1:5">
      <c r="B12">
        <f>B5</f>
        <v>45</v>
      </c>
      <c r="E12">
        <f>(1+B6)*D11</f>
        <v>1.03</v>
      </c>
    </row>
    <row r="13" spans="1:5">
      <c r="B13">
        <f>B4-B9</f>
        <v>15</v>
      </c>
    </row>
    <row r="14" spans="1:5">
      <c r="A14" s="13" t="s">
        <v>19</v>
      </c>
    </row>
    <row r="15" spans="1:5">
      <c r="B15">
        <f>0</f>
        <v>0</v>
      </c>
    </row>
    <row r="16" spans="1:5">
      <c r="A16" s="13" t="s">
        <v>22</v>
      </c>
      <c r="B16">
        <f>(B13-B15)/(B10-B12)</f>
        <v>0.75</v>
      </c>
    </row>
    <row r="17" spans="1:2">
      <c r="A17" s="13" t="s">
        <v>23</v>
      </c>
      <c r="B17">
        <f>-B12*B16/E12</f>
        <v>-32.766990291262132</v>
      </c>
    </row>
    <row r="18" spans="1:2">
      <c r="A18" s="13" t="s">
        <v>19</v>
      </c>
      <c r="B18">
        <f>B16*B1+B17</f>
        <v>4.7330097087378675</v>
      </c>
    </row>
    <row r="20" spans="1:2">
      <c r="A20" s="13" t="s">
        <v>24</v>
      </c>
    </row>
    <row r="21" spans="1:2">
      <c r="A21" s="13" t="s">
        <v>29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8BF65-AD08-4248-85EB-7C26CAE24094}">
  <dimension ref="A1:E16"/>
  <sheetViews>
    <sheetView zoomScaleNormal="100" workbookViewId="0">
      <selection activeCell="A11" sqref="A11:B13"/>
    </sheetView>
  </sheetViews>
  <sheetFormatPr baseColWidth="10" defaultRowHeight="13"/>
  <sheetData>
    <row r="1" spans="1:5">
      <c r="A1" s="13" t="s">
        <v>13</v>
      </c>
      <c r="B1">
        <v>60</v>
      </c>
    </row>
    <row r="2" spans="1:5">
      <c r="A2" s="17" t="s">
        <v>30</v>
      </c>
      <c r="B2" s="2">
        <v>0.25</v>
      </c>
    </row>
    <row r="3" spans="1:5">
      <c r="A3" s="13" t="s">
        <v>31</v>
      </c>
      <c r="B3" s="2">
        <v>0.2</v>
      </c>
    </row>
    <row r="4" spans="1:5">
      <c r="A4" s="13" t="s">
        <v>15</v>
      </c>
      <c r="B4" s="2">
        <v>0.05</v>
      </c>
    </row>
    <row r="5" spans="1:5">
      <c r="A5" s="13" t="s">
        <v>16</v>
      </c>
      <c r="B5">
        <f>B1*(1+B2)</f>
        <v>75</v>
      </c>
    </row>
    <row r="6" spans="1:5">
      <c r="A6" s="13" t="s">
        <v>17</v>
      </c>
      <c r="B6">
        <f>B1*(1-B3)</f>
        <v>48</v>
      </c>
    </row>
    <row r="7" spans="1:5">
      <c r="A7" s="13" t="s">
        <v>20</v>
      </c>
      <c r="B7" s="14">
        <v>55</v>
      </c>
    </row>
    <row r="8" spans="1:5">
      <c r="B8">
        <f>B5</f>
        <v>75</v>
      </c>
      <c r="E8">
        <f>(1+B4)*D9</f>
        <v>1.05</v>
      </c>
    </row>
    <row r="9" spans="1:5">
      <c r="A9">
        <v>60</v>
      </c>
      <c r="D9">
        <v>1</v>
      </c>
    </row>
    <row r="10" spans="1:5">
      <c r="B10">
        <f>B6</f>
        <v>48</v>
      </c>
      <c r="E10">
        <f>(1+B4)*D9</f>
        <v>1.05</v>
      </c>
    </row>
    <row r="11" spans="1:5">
      <c r="B11">
        <v>0</v>
      </c>
    </row>
    <row r="12" spans="1:5">
      <c r="A12" s="13" t="s">
        <v>21</v>
      </c>
    </row>
    <row r="13" spans="1:5">
      <c r="B13">
        <f>B7-B10</f>
        <v>7</v>
      </c>
    </row>
    <row r="14" spans="1:5">
      <c r="A14" s="13" t="s">
        <v>22</v>
      </c>
      <c r="B14" s="13">
        <f>-B13/(B8-B10)</f>
        <v>-0.25925925925925924</v>
      </c>
    </row>
    <row r="15" spans="1:5">
      <c r="A15" s="13" t="s">
        <v>23</v>
      </c>
      <c r="B15">
        <f>(B13-B10*B14)/E10</f>
        <v>18.518518518518515</v>
      </c>
    </row>
    <row r="16" spans="1:5">
      <c r="A16" s="13" t="s">
        <v>21</v>
      </c>
      <c r="B16">
        <f>B14*B1+B15</f>
        <v>2.9629629629629601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758AE-5958-1848-AECB-2871E49990D0}">
  <dimension ref="A1:K30"/>
  <sheetViews>
    <sheetView zoomScaleNormal="100" workbookViewId="0">
      <selection sqref="A1:K30"/>
    </sheetView>
  </sheetViews>
  <sheetFormatPr baseColWidth="10" defaultRowHeight="13"/>
  <cols>
    <col min="1" max="1" width="14.83203125" bestFit="1" customWidth="1"/>
    <col min="2" max="2" width="13.6640625" bestFit="1" customWidth="1"/>
    <col min="3" max="3" width="8" bestFit="1" customWidth="1"/>
    <col min="4" max="4" width="9.83203125" bestFit="1" customWidth="1"/>
    <col min="5" max="5" width="13.6640625" bestFit="1" customWidth="1"/>
    <col min="6" max="6" width="6" bestFit="1" customWidth="1"/>
    <col min="7" max="7" width="9.6640625" bestFit="1" customWidth="1"/>
    <col min="8" max="8" width="13.6640625" bestFit="1" customWidth="1"/>
    <col min="10" max="10" width="9.83203125" bestFit="1" customWidth="1"/>
    <col min="11" max="11" width="13.6640625" bestFit="1" customWidth="1"/>
  </cols>
  <sheetData>
    <row r="1" spans="1:11">
      <c r="A1" s="13" t="s">
        <v>15</v>
      </c>
      <c r="B1" s="2">
        <v>0.03</v>
      </c>
    </row>
    <row r="2" spans="1:11">
      <c r="A2" s="13" t="s">
        <v>32</v>
      </c>
      <c r="B2" s="2">
        <v>0.15</v>
      </c>
    </row>
    <row r="3" spans="1:11">
      <c r="A3" s="13" t="s">
        <v>33</v>
      </c>
      <c r="B3" s="2">
        <v>0.1</v>
      </c>
    </row>
    <row r="4" spans="1:11">
      <c r="A4" s="13" t="s">
        <v>34</v>
      </c>
      <c r="B4" s="14">
        <v>50</v>
      </c>
    </row>
    <row r="5" spans="1:11">
      <c r="A5" s="13" t="s">
        <v>35</v>
      </c>
      <c r="B5" s="14">
        <v>60</v>
      </c>
    </row>
    <row r="6" spans="1:11">
      <c r="C6">
        <f>B7*(1+B2)</f>
        <v>66.124999999999986</v>
      </c>
      <c r="G6">
        <f>F7*(1+B1)</f>
        <v>1.0609</v>
      </c>
    </row>
    <row r="7" spans="1:11">
      <c r="B7">
        <f>A8*(1+B2)</f>
        <v>57.499999999999993</v>
      </c>
      <c r="F7">
        <f>E8*(1+B1)</f>
        <v>1.03</v>
      </c>
    </row>
    <row r="8" spans="1:11">
      <c r="A8">
        <f>B4</f>
        <v>50</v>
      </c>
      <c r="C8">
        <f>B7*(1-B3)</f>
        <v>51.749999999999993</v>
      </c>
      <c r="E8">
        <v>1</v>
      </c>
      <c r="G8">
        <f>F7*(1+B1)</f>
        <v>1.0609</v>
      </c>
    </row>
    <row r="9" spans="1:11">
      <c r="B9">
        <f>A8*(1-B3)</f>
        <v>45</v>
      </c>
      <c r="F9">
        <f>E8*(1+B1)</f>
        <v>1.03</v>
      </c>
    </row>
    <row r="10" spans="1:11">
      <c r="C10">
        <f>B9*(1-B3)</f>
        <v>40.5</v>
      </c>
      <c r="G10">
        <f>F9*(1+B1)</f>
        <v>1.0609</v>
      </c>
    </row>
    <row r="12" spans="1:11">
      <c r="A12" s="13" t="s">
        <v>18</v>
      </c>
      <c r="D12" s="13" t="s">
        <v>24</v>
      </c>
      <c r="G12" s="13" t="s">
        <v>26</v>
      </c>
      <c r="J12" s="13" t="s">
        <v>36</v>
      </c>
    </row>
    <row r="13" spans="1:11">
      <c r="B13">
        <f>MAX(0,C8-B5)</f>
        <v>0</v>
      </c>
      <c r="E13">
        <f>MAX(0,B5-C8)</f>
        <v>8.2500000000000071</v>
      </c>
      <c r="H13">
        <f>MAX(0,$C$8-$B$5)</f>
        <v>0</v>
      </c>
      <c r="K13">
        <f>MAX(0,B5-C8)</f>
        <v>8.2500000000000071</v>
      </c>
    </row>
    <row r="14" spans="1:11">
      <c r="A14" s="13" t="s">
        <v>19</v>
      </c>
      <c r="D14" s="13" t="s">
        <v>21</v>
      </c>
      <c r="G14" s="13" t="s">
        <v>19</v>
      </c>
      <c r="J14" s="13" t="s">
        <v>21</v>
      </c>
    </row>
    <row r="15" spans="1:11">
      <c r="B15">
        <f>MAX(0,C10-B5)</f>
        <v>0</v>
      </c>
      <c r="E15">
        <f>MAX(0,B5-C10)</f>
        <v>19.5</v>
      </c>
      <c r="H15">
        <f>MAX(0,$C$10-$B$5)</f>
        <v>0</v>
      </c>
      <c r="K15">
        <f>MAX(0,B5-C10)</f>
        <v>19.5</v>
      </c>
    </row>
    <row r="16" spans="1:11">
      <c r="A16" s="13" t="s">
        <v>22</v>
      </c>
      <c r="B16">
        <f>(B13-B15)/(C8-C10)</f>
        <v>0</v>
      </c>
      <c r="D16" s="13" t="s">
        <v>22</v>
      </c>
      <c r="E16" s="15">
        <f>(E13-E15)/(C8-C10)</f>
        <v>-1</v>
      </c>
      <c r="G16" s="13" t="s">
        <v>22</v>
      </c>
      <c r="H16">
        <f>(H13-H15)/($C$8-$C$10)</f>
        <v>0</v>
      </c>
      <c r="J16" s="13" t="s">
        <v>22</v>
      </c>
      <c r="K16" s="15">
        <f>(K13-K15)/(C8-C10)</f>
        <v>-1</v>
      </c>
    </row>
    <row r="17" spans="1:11">
      <c r="A17" s="13" t="s">
        <v>23</v>
      </c>
      <c r="B17">
        <f>(B13-C8*B16)/G8</f>
        <v>0</v>
      </c>
      <c r="D17" s="13" t="s">
        <v>23</v>
      </c>
      <c r="E17">
        <f>(E13-C8*E16)/G8</f>
        <v>56.555754548025263</v>
      </c>
      <c r="G17" s="13" t="s">
        <v>23</v>
      </c>
      <c r="H17">
        <f>(H13-$C$8*H16)/$G$8</f>
        <v>0</v>
      </c>
      <c r="J17" s="13" t="s">
        <v>23</v>
      </c>
      <c r="K17">
        <f>(K13-C8*K16)/G8</f>
        <v>56.555754548025263</v>
      </c>
    </row>
    <row r="18" spans="1:11">
      <c r="A18" s="13" t="s">
        <v>19</v>
      </c>
      <c r="B18">
        <f>B16*B9+B17*F9</f>
        <v>0</v>
      </c>
      <c r="D18" s="13" t="s">
        <v>21</v>
      </c>
      <c r="E18">
        <f>E16*B9+E17*F9</f>
        <v>13.252427184466022</v>
      </c>
      <c r="G18" s="13" t="s">
        <v>19</v>
      </c>
      <c r="H18">
        <f>H16*$B$9+H17*$F$9</f>
        <v>0</v>
      </c>
      <c r="J18" s="13" t="s">
        <v>21</v>
      </c>
      <c r="K18">
        <f>MAX(K16*B9+K17*F9,B5-B9)</f>
        <v>15</v>
      </c>
    </row>
    <row r="19" spans="1:11">
      <c r="B19">
        <f>MAX(0,C6-B5)</f>
        <v>6.1249999999999858</v>
      </c>
      <c r="E19">
        <f>MAX(0,B5-C6)</f>
        <v>0</v>
      </c>
      <c r="H19">
        <f>MAX(0,$C$6-$B$5)</f>
        <v>6.1249999999999858</v>
      </c>
      <c r="K19">
        <f>MAX(0,B5-C6)</f>
        <v>0</v>
      </c>
    </row>
    <row r="20" spans="1:11">
      <c r="A20" s="13" t="s">
        <v>19</v>
      </c>
      <c r="D20" s="13" t="s">
        <v>21</v>
      </c>
      <c r="G20" s="13" t="s">
        <v>19</v>
      </c>
      <c r="J20" s="13" t="s">
        <v>21</v>
      </c>
    </row>
    <row r="21" spans="1:11">
      <c r="B21">
        <f>MAX(0,C8-B5)</f>
        <v>0</v>
      </c>
      <c r="E21">
        <f>MAX(0,B5-C8)</f>
        <v>8.2500000000000071</v>
      </c>
      <c r="H21">
        <f>MAX(0,$C$8-$B$5)</f>
        <v>0</v>
      </c>
      <c r="K21">
        <f>MAX(0,B5-C8)</f>
        <v>8.2500000000000071</v>
      </c>
    </row>
    <row r="22" spans="1:11">
      <c r="A22" s="13" t="s">
        <v>22</v>
      </c>
      <c r="B22">
        <f>(B19-B21)/(C6-C8)</f>
        <v>0.42608695652173834</v>
      </c>
      <c r="D22" s="13" t="s">
        <v>22</v>
      </c>
      <c r="E22">
        <f>(E19-E21)/(C6-C8)</f>
        <v>-0.57391304347826166</v>
      </c>
      <c r="G22" s="13" t="s">
        <v>22</v>
      </c>
      <c r="H22">
        <f>(H19-H21)/($C$6-$C$8)</f>
        <v>0.42608695652173834</v>
      </c>
      <c r="J22" s="13" t="s">
        <v>22</v>
      </c>
      <c r="K22">
        <f>(K19-K21)/(C6-C8)</f>
        <v>-0.57391304347826166</v>
      </c>
    </row>
    <row r="23" spans="1:11">
      <c r="A23" s="13" t="s">
        <v>23</v>
      </c>
      <c r="B23">
        <f>(B19-C6*B22)/G6</f>
        <v>-20.784239796399241</v>
      </c>
      <c r="D23" s="13" t="s">
        <v>23</v>
      </c>
      <c r="E23">
        <f>(E19-C6*E22)/G6</f>
        <v>35.771514751626022</v>
      </c>
      <c r="G23" s="13" t="s">
        <v>23</v>
      </c>
      <c r="H23">
        <f>(H19-$C$6*H22)/$G$6</f>
        <v>-20.784239796399241</v>
      </c>
      <c r="J23" s="13" t="s">
        <v>23</v>
      </c>
      <c r="K23">
        <f>(K19-C6*K22)/G6</f>
        <v>35.771514751626022</v>
      </c>
    </row>
    <row r="24" spans="1:11">
      <c r="A24" s="13" t="s">
        <v>19</v>
      </c>
      <c r="B24">
        <f>B22*B7+B23*F9</f>
        <v>3.0922330097087318</v>
      </c>
      <c r="D24" s="13" t="s">
        <v>21</v>
      </c>
      <c r="E24">
        <f>E22*B7+E23*F7</f>
        <v>3.8446601941747574</v>
      </c>
      <c r="G24" s="13" t="s">
        <v>19</v>
      </c>
      <c r="H24">
        <f>H22*$B$7+H23*$F$9</f>
        <v>3.0922330097087318</v>
      </c>
      <c r="J24" s="13" t="s">
        <v>21</v>
      </c>
      <c r="K24">
        <f>MAX(K22*B7+K23*F7,B5-B7)</f>
        <v>3.8446601941747574</v>
      </c>
    </row>
    <row r="25" spans="1:11">
      <c r="B25">
        <f>B24</f>
        <v>3.0922330097087318</v>
      </c>
      <c r="E25">
        <f>E24</f>
        <v>3.8446601941747574</v>
      </c>
      <c r="H25">
        <f>H24</f>
        <v>3.0922330097087318</v>
      </c>
      <c r="K25">
        <f>K24</f>
        <v>3.8446601941747574</v>
      </c>
    </row>
    <row r="26" spans="1:11">
      <c r="A26" s="13" t="s">
        <v>19</v>
      </c>
      <c r="D26" s="13" t="s">
        <v>21</v>
      </c>
      <c r="G26" s="13" t="s">
        <v>19</v>
      </c>
      <c r="J26" s="13" t="s">
        <v>21</v>
      </c>
    </row>
    <row r="27" spans="1:11">
      <c r="B27">
        <f>B18</f>
        <v>0</v>
      </c>
      <c r="E27">
        <f>E18</f>
        <v>13.252427184466022</v>
      </c>
      <c r="H27">
        <f>H18</f>
        <v>0</v>
      </c>
      <c r="K27">
        <f>K18</f>
        <v>15</v>
      </c>
    </row>
    <row r="28" spans="1:11">
      <c r="A28" s="13" t="s">
        <v>22</v>
      </c>
      <c r="B28">
        <f>(B25-B27)/(B7-B9)</f>
        <v>0.24737864077669869</v>
      </c>
      <c r="D28" s="13" t="s">
        <v>22</v>
      </c>
      <c r="E28">
        <f>(E25-E27)/(B7-B9)</f>
        <v>-0.75262135922330164</v>
      </c>
      <c r="G28" s="13" t="s">
        <v>22</v>
      </c>
      <c r="H28">
        <f>(H25-H27)/($B$7-$B$9)</f>
        <v>0.24737864077669869</v>
      </c>
      <c r="J28" s="13" t="s">
        <v>22</v>
      </c>
      <c r="K28">
        <f>(K25-K27)/(B7-B9)</f>
        <v>-0.89242718446601987</v>
      </c>
    </row>
    <row r="29" spans="1:11">
      <c r="A29" s="13" t="s">
        <v>23</v>
      </c>
      <c r="B29">
        <f>(B25-B7*B28)/F7</f>
        <v>-10.807804694127613</v>
      </c>
      <c r="D29" s="13" t="s">
        <v>23</v>
      </c>
      <c r="E29">
        <f>(E25-B7*E28)/F7</f>
        <v>45.747949853897666</v>
      </c>
      <c r="G29" s="13" t="s">
        <v>23</v>
      </c>
      <c r="H29">
        <f>(H25-$B$7*H28)/$F$7</f>
        <v>-10.807804694127613</v>
      </c>
      <c r="J29" s="13" t="s">
        <v>23</v>
      </c>
      <c r="K29">
        <f>(K25-B7*K28)/F7</f>
        <v>53.552643981525136</v>
      </c>
    </row>
    <row r="30" spans="1:11">
      <c r="A30" s="13" t="s">
        <v>19</v>
      </c>
      <c r="B30" s="18">
        <f>B28*A8+B29*E8</f>
        <v>1.5611273447073213</v>
      </c>
      <c r="D30" s="13" t="s">
        <v>21</v>
      </c>
      <c r="E30">
        <f>E28*A8+E29*E8</f>
        <v>8.1168818927325859</v>
      </c>
      <c r="G30" s="13" t="s">
        <v>19</v>
      </c>
      <c r="H30" s="18">
        <f>H28*$A$8+H29*$E$8</f>
        <v>1.5611273447073213</v>
      </c>
      <c r="J30" s="13" t="s">
        <v>21</v>
      </c>
      <c r="K30">
        <f>MAX(K28*A8+K29*E8,B5-A8)</f>
        <v>10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6F2F4-38BA-9A47-B162-16D706DE72D0}">
  <dimension ref="A1:P30"/>
  <sheetViews>
    <sheetView zoomScaleNormal="100" workbookViewId="0">
      <selection activeCell="B13" sqref="B13"/>
    </sheetView>
  </sheetViews>
  <sheetFormatPr baseColWidth="10" defaultRowHeight="13"/>
  <cols>
    <col min="1" max="1" width="14.83203125" bestFit="1" customWidth="1"/>
    <col min="2" max="2" width="13.6640625" bestFit="1" customWidth="1"/>
    <col min="3" max="3" width="6" bestFit="1" customWidth="1"/>
    <col min="4" max="4" width="13.6640625" bestFit="1" customWidth="1"/>
    <col min="5" max="6" width="6" bestFit="1" customWidth="1"/>
    <col min="7" max="7" width="8" bestFit="1" customWidth="1"/>
    <col min="8" max="8" width="9.83203125" bestFit="1" customWidth="1"/>
    <col min="9" max="9" width="10" bestFit="1" customWidth="1"/>
    <col min="10" max="10" width="9.83203125" bestFit="1" customWidth="1"/>
    <col min="11" max="11" width="9.6640625" bestFit="1" customWidth="1"/>
    <col min="12" max="12" width="10" bestFit="1" customWidth="1"/>
    <col min="14" max="14" width="5" bestFit="1" customWidth="1"/>
    <col min="15" max="15" width="3" bestFit="1" customWidth="1"/>
    <col min="16" max="16" width="5" bestFit="1" customWidth="1"/>
  </cols>
  <sheetData>
    <row r="1" spans="1:16">
      <c r="A1" s="13" t="s">
        <v>15</v>
      </c>
      <c r="B1" s="2">
        <v>0.25</v>
      </c>
    </row>
    <row r="2" spans="1:16">
      <c r="A2" s="13" t="s">
        <v>32</v>
      </c>
      <c r="B2" s="2">
        <v>0.3</v>
      </c>
    </row>
    <row r="3" spans="1:16">
      <c r="A3" s="13" t="s">
        <v>33</v>
      </c>
      <c r="B3" s="2">
        <v>0.1</v>
      </c>
    </row>
    <row r="4" spans="1:16">
      <c r="A4" s="13" t="s">
        <v>34</v>
      </c>
      <c r="B4" s="14">
        <v>30</v>
      </c>
    </row>
    <row r="5" spans="1:16">
      <c r="A5" s="13" t="s">
        <v>35</v>
      </c>
      <c r="B5" s="14">
        <v>30</v>
      </c>
    </row>
    <row r="6" spans="1:16">
      <c r="C6">
        <f>B7*(1+B2)</f>
        <v>50.7</v>
      </c>
      <c r="G6">
        <f>F7*(1+B1)</f>
        <v>1.5625</v>
      </c>
    </row>
    <row r="7" spans="1:16">
      <c r="B7">
        <f>A8*(1+B2)</f>
        <v>39</v>
      </c>
      <c r="F7">
        <f>E8*(1+B1)</f>
        <v>1.25</v>
      </c>
    </row>
    <row r="8" spans="1:16">
      <c r="A8">
        <f>B4</f>
        <v>30</v>
      </c>
      <c r="C8">
        <f>B7*(1-B3)</f>
        <v>35.1</v>
      </c>
      <c r="E8">
        <v>1</v>
      </c>
      <c r="G8">
        <f>F7*(1+B1)</f>
        <v>1.5625</v>
      </c>
    </row>
    <row r="9" spans="1:16">
      <c r="B9">
        <f>A8*(1-B3)</f>
        <v>27</v>
      </c>
      <c r="F9">
        <f>E8*(1+B1)</f>
        <v>1.25</v>
      </c>
    </row>
    <row r="10" spans="1:16">
      <c r="C10">
        <f>B9*(1-B3)</f>
        <v>24.3</v>
      </c>
      <c r="G10">
        <f>F9*(1+B1)</f>
        <v>1.5625</v>
      </c>
    </row>
    <row r="12" spans="1:16">
      <c r="A12" s="13" t="s">
        <v>18</v>
      </c>
      <c r="H12" s="13" t="s">
        <v>24</v>
      </c>
      <c r="K12" s="13" t="s">
        <v>26</v>
      </c>
    </row>
    <row r="13" spans="1:16">
      <c r="B13">
        <f>MAX(0,$C$8-$B$5)</f>
        <v>5.1000000000000014</v>
      </c>
      <c r="F13">
        <f>B19</f>
        <v>20.700000000000003</v>
      </c>
      <c r="I13">
        <f>MAX(0,$B$5-$C$8)</f>
        <v>0</v>
      </c>
      <c r="L13">
        <f>MAX(0,$B$5-$C$8)</f>
        <v>0</v>
      </c>
      <c r="P13">
        <f>L19</f>
        <v>0</v>
      </c>
    </row>
    <row r="14" spans="1:16">
      <c r="A14" s="13" t="s">
        <v>19</v>
      </c>
      <c r="E14">
        <f>B24</f>
        <v>15</v>
      </c>
      <c r="H14" s="13" t="s">
        <v>21</v>
      </c>
      <c r="K14" s="13" t="s">
        <v>21</v>
      </c>
      <c r="O14">
        <f>L25</f>
        <v>0</v>
      </c>
    </row>
    <row r="15" spans="1:16">
      <c r="B15">
        <f>MAX(0,$C$10-$B$5)</f>
        <v>0</v>
      </c>
      <c r="D15" s="18">
        <f>B30</f>
        <v>10.856999999999996</v>
      </c>
      <c r="F15">
        <f>B21</f>
        <v>5.1000000000000014</v>
      </c>
      <c r="I15">
        <f>MAX(0,$B$5-$C$10)</f>
        <v>5.6999999999999993</v>
      </c>
      <c r="L15">
        <f>MAX(0,$B$5-$C$10)</f>
        <v>5.6999999999999993</v>
      </c>
      <c r="N15">
        <f>L30</f>
        <v>0.29999999999999982</v>
      </c>
      <c r="P15">
        <f>L21</f>
        <v>0</v>
      </c>
    </row>
    <row r="16" spans="1:16">
      <c r="A16" s="13" t="s">
        <v>22</v>
      </c>
      <c r="B16">
        <f>(B13-B15)/($C$8-$C$10)</f>
        <v>0.47222222222222232</v>
      </c>
      <c r="E16">
        <f>B18</f>
        <v>3.5700000000000021</v>
      </c>
      <c r="H16" s="13" t="s">
        <v>22</v>
      </c>
      <c r="I16" s="15">
        <f>(I13-I15)/($C$8-$C$10)</f>
        <v>-0.52777777777777768</v>
      </c>
      <c r="K16" s="13" t="s">
        <v>22</v>
      </c>
      <c r="L16" s="15">
        <f>(L13-L15)/($C$8-$C$10)</f>
        <v>-0.52777777777777768</v>
      </c>
      <c r="O16">
        <f>L27</f>
        <v>3</v>
      </c>
    </row>
    <row r="17" spans="1:16">
      <c r="A17" s="13" t="s">
        <v>23</v>
      </c>
      <c r="B17">
        <f>(B13-$C$8*B16)/$G$8</f>
        <v>-7.3440000000000012</v>
      </c>
      <c r="F17">
        <f>B15</f>
        <v>0</v>
      </c>
      <c r="H17" s="13" t="s">
        <v>23</v>
      </c>
      <c r="I17">
        <f>(I13-$C$8*I16)/$G$8</f>
        <v>11.856</v>
      </c>
      <c r="K17" s="13" t="s">
        <v>23</v>
      </c>
      <c r="L17">
        <f>(L13-$C$8*L16)/$G$8</f>
        <v>11.856</v>
      </c>
      <c r="P17">
        <f>L15</f>
        <v>5.6999999999999993</v>
      </c>
    </row>
    <row r="18" spans="1:16">
      <c r="A18" s="13" t="s">
        <v>19</v>
      </c>
      <c r="B18">
        <f>B16*$B$9+B17*$F$9</f>
        <v>3.5700000000000021</v>
      </c>
      <c r="H18" s="13" t="s">
        <v>21</v>
      </c>
      <c r="I18">
        <f>I16*$B$9+I17*$F$9</f>
        <v>0.57000000000000384</v>
      </c>
      <c r="K18" s="13" t="s">
        <v>21</v>
      </c>
      <c r="L18">
        <f>MAX(L16*$B$9+L17*$F$9,$B$5-$B$9)</f>
        <v>3</v>
      </c>
    </row>
    <row r="19" spans="1:16">
      <c r="B19">
        <f>MAX(0,$C$6-$B$5)</f>
        <v>20.700000000000003</v>
      </c>
      <c r="I19">
        <f>MAX(0,$B$5-$C$6)</f>
        <v>0</v>
      </c>
      <c r="L19">
        <f>MAX(0,$B$5-$C$6)</f>
        <v>0</v>
      </c>
    </row>
    <row r="20" spans="1:16">
      <c r="A20" s="13" t="s">
        <v>19</v>
      </c>
      <c r="H20" s="13" t="s">
        <v>21</v>
      </c>
      <c r="K20" s="13" t="s">
        <v>21</v>
      </c>
    </row>
    <row r="21" spans="1:16">
      <c r="B21">
        <f>MAX(0,$C$8-$B$5)</f>
        <v>5.1000000000000014</v>
      </c>
      <c r="I21">
        <f>MAX(0,$B$5-$C$8)</f>
        <v>0</v>
      </c>
      <c r="L21">
        <f>MAX(0,$B$5-$C$8)</f>
        <v>0</v>
      </c>
    </row>
    <row r="22" spans="1:16">
      <c r="A22" s="13" t="s">
        <v>22</v>
      </c>
      <c r="B22">
        <f>(B19-B21)/($C$6-$C$8)</f>
        <v>1</v>
      </c>
      <c r="H22" s="13" t="s">
        <v>22</v>
      </c>
      <c r="I22">
        <f>(I19-I21)/($C$6-$C$8)</f>
        <v>0</v>
      </c>
      <c r="K22" s="13" t="s">
        <v>22</v>
      </c>
      <c r="L22">
        <f>(L19-L21)/($C$6-$C$8)</f>
        <v>0</v>
      </c>
    </row>
    <row r="23" spans="1:16">
      <c r="A23" s="13" t="s">
        <v>23</v>
      </c>
      <c r="B23">
        <f>(B19-$C$6*B22)/$G$6</f>
        <v>-19.2</v>
      </c>
      <c r="H23" s="13" t="s">
        <v>23</v>
      </c>
      <c r="I23">
        <f>(I19-$C$6*I22)/$G$6</f>
        <v>0</v>
      </c>
      <c r="K23" s="13" t="s">
        <v>23</v>
      </c>
      <c r="L23">
        <f>(L19-$C$6*L22)/$G$6</f>
        <v>0</v>
      </c>
    </row>
    <row r="24" spans="1:16">
      <c r="A24" s="13" t="s">
        <v>19</v>
      </c>
      <c r="B24">
        <f>B22*$B$7+B23*$F$9</f>
        <v>15</v>
      </c>
      <c r="H24" s="13" t="s">
        <v>21</v>
      </c>
      <c r="I24">
        <f>I22*$B$7+I23*$F$7</f>
        <v>0</v>
      </c>
      <c r="K24" s="13" t="s">
        <v>21</v>
      </c>
      <c r="L24">
        <f>MAX(L22*$B$7+L23*$F$7,$B$5-$B$7)</f>
        <v>0</v>
      </c>
    </row>
    <row r="25" spans="1:16">
      <c r="B25">
        <f>B24</f>
        <v>15</v>
      </c>
      <c r="I25">
        <f>I24</f>
        <v>0</v>
      </c>
      <c r="L25">
        <f>L24</f>
        <v>0</v>
      </c>
    </row>
    <row r="26" spans="1:16">
      <c r="A26" s="13" t="s">
        <v>19</v>
      </c>
      <c r="H26" s="13" t="s">
        <v>21</v>
      </c>
      <c r="K26" s="13" t="s">
        <v>21</v>
      </c>
    </row>
    <row r="27" spans="1:16">
      <c r="B27">
        <f>B18</f>
        <v>3.5700000000000021</v>
      </c>
      <c r="I27">
        <f>I18</f>
        <v>0.57000000000000384</v>
      </c>
      <c r="L27">
        <f>L18</f>
        <v>3</v>
      </c>
    </row>
    <row r="28" spans="1:16">
      <c r="A28" s="13" t="s">
        <v>22</v>
      </c>
      <c r="B28">
        <f>(B25-B27)/($B$7-$B$9)</f>
        <v>0.95249999999999979</v>
      </c>
      <c r="H28" s="13" t="s">
        <v>22</v>
      </c>
      <c r="I28">
        <f>(I25-I27)/($B$7-$B$9)</f>
        <v>-4.750000000000032E-2</v>
      </c>
      <c r="K28" s="13" t="s">
        <v>22</v>
      </c>
      <c r="L28">
        <f>(L25-L27)/($B$7-$B$9)</f>
        <v>-0.25</v>
      </c>
    </row>
    <row r="29" spans="1:16">
      <c r="A29" s="13" t="s">
        <v>23</v>
      </c>
      <c r="B29">
        <f>(B25-$B$7*B28)/$F$7</f>
        <v>-17.717999999999996</v>
      </c>
      <c r="H29" s="13" t="s">
        <v>23</v>
      </c>
      <c r="I29">
        <f>(I25-$B$7*I28)/$F$7</f>
        <v>1.48200000000001</v>
      </c>
      <c r="K29" s="13" t="s">
        <v>23</v>
      </c>
      <c r="L29">
        <f>(L25-$B$7*L28)/$F$7</f>
        <v>7.8</v>
      </c>
    </row>
    <row r="30" spans="1:16">
      <c r="A30" s="13" t="s">
        <v>19</v>
      </c>
      <c r="B30" s="18">
        <f>B28*$A$8+B29*$E$8</f>
        <v>10.856999999999996</v>
      </c>
      <c r="H30" s="13" t="s">
        <v>21</v>
      </c>
      <c r="I30">
        <f>I28*$A$8+I29*$E$8</f>
        <v>5.7000000000000384E-2</v>
      </c>
      <c r="K30" s="13" t="s">
        <v>21</v>
      </c>
      <c r="L30">
        <f>MAX(L28*$A$8+L29*$E$8,$B$5-$A$8)</f>
        <v>0.29999999999999982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35"/>
  <sheetViews>
    <sheetView zoomScaleNormal="100" workbookViewId="0">
      <selection activeCell="S1" sqref="A1:S1048576"/>
    </sheetView>
  </sheetViews>
  <sheetFormatPr baseColWidth="10" defaultColWidth="8.83203125" defaultRowHeight="13"/>
  <cols>
    <col min="1" max="1" width="16.5" customWidth="1"/>
    <col min="5" max="5" width="9.1640625" style="3" customWidth="1"/>
    <col min="6" max="6" width="20" bestFit="1" customWidth="1"/>
    <col min="9" max="10" width="9.1640625" style="3" customWidth="1"/>
    <col min="12" max="12" width="20" bestFit="1" customWidth="1"/>
    <col min="13" max="13" width="14.83203125" bestFit="1" customWidth="1"/>
    <col min="14" max="14" width="13.6640625" bestFit="1" customWidth="1"/>
    <col min="15" max="15" width="8" bestFit="1" customWidth="1"/>
    <col min="16" max="16" width="9.83203125" bestFit="1" customWidth="1"/>
    <col min="17" max="17" width="13.6640625" bestFit="1" customWidth="1"/>
    <col min="18" max="18" width="6" bestFit="1" customWidth="1"/>
    <col min="19" max="19" width="9.6640625" bestFit="1" customWidth="1"/>
    <col min="20" max="20" width="13.6640625" bestFit="1" customWidth="1"/>
    <col min="21" max="21" width="10.83203125"/>
    <col min="22" max="22" width="9.83203125" bestFit="1" customWidth="1"/>
    <col min="23" max="23" width="13.6640625" bestFit="1" customWidth="1"/>
  </cols>
  <sheetData>
    <row r="1" spans="1:23">
      <c r="A1" t="s">
        <v>0</v>
      </c>
      <c r="B1" s="2">
        <v>0.3</v>
      </c>
      <c r="M1" s="13" t="s">
        <v>15</v>
      </c>
      <c r="N1" s="2">
        <f>B5</f>
        <v>0.06</v>
      </c>
    </row>
    <row r="2" spans="1:23">
      <c r="A2" t="s">
        <v>1</v>
      </c>
      <c r="B2" s="2">
        <v>-0.1</v>
      </c>
      <c r="E2"/>
      <c r="M2" s="13" t="s">
        <v>32</v>
      </c>
      <c r="N2" s="2">
        <f>B1</f>
        <v>0.3</v>
      </c>
    </row>
    <row r="3" spans="1:23">
      <c r="E3" s="7"/>
      <c r="G3" s="9"/>
      <c r="M3" s="13" t="s">
        <v>33</v>
      </c>
      <c r="N3" s="2">
        <f>-B2</f>
        <v>0.1</v>
      </c>
    </row>
    <row r="4" spans="1:23">
      <c r="A4" t="s">
        <v>2</v>
      </c>
      <c r="B4">
        <v>60</v>
      </c>
      <c r="E4" s="7"/>
      <c r="G4" s="9"/>
      <c r="M4" s="13" t="s">
        <v>34</v>
      </c>
      <c r="N4" s="14">
        <f>B4</f>
        <v>60</v>
      </c>
    </row>
    <row r="5" spans="1:23">
      <c r="A5" t="s">
        <v>3</v>
      </c>
      <c r="B5" s="2">
        <v>0.06</v>
      </c>
      <c r="M5" s="13" t="s">
        <v>35</v>
      </c>
      <c r="N5" s="14">
        <f>B6</f>
        <v>70</v>
      </c>
    </row>
    <row r="6" spans="1:23">
      <c r="A6" t="s">
        <v>4</v>
      </c>
      <c r="B6">
        <v>70</v>
      </c>
      <c r="O6">
        <f>N7*(1+N2)</f>
        <v>101.4</v>
      </c>
      <c r="S6">
        <f>R7*(1+N1)</f>
        <v>1.1236000000000002</v>
      </c>
    </row>
    <row r="7" spans="1:23">
      <c r="N7">
        <f>M8*(1+N2)</f>
        <v>78</v>
      </c>
      <c r="R7">
        <f>Q8*(1+N1)</f>
        <v>1.06</v>
      </c>
    </row>
    <row r="8" spans="1:23">
      <c r="A8" s="1" t="s">
        <v>5</v>
      </c>
      <c r="E8"/>
      <c r="G8" s="1" t="s">
        <v>6</v>
      </c>
      <c r="M8">
        <f>N4</f>
        <v>60</v>
      </c>
      <c r="O8">
        <f>N7*(1-N3)</f>
        <v>70.2</v>
      </c>
      <c r="Q8">
        <v>1</v>
      </c>
      <c r="S8">
        <f>R7*(1+N1)</f>
        <v>1.1236000000000002</v>
      </c>
    </row>
    <row r="9" spans="1:23">
      <c r="C9" s="3"/>
      <c r="D9" s="3"/>
      <c r="E9" s="10">
        <f>C10*(1+B1)</f>
        <v>101.4</v>
      </c>
      <c r="K9" s="10">
        <f>I10*(1+B5)</f>
        <v>1.1236000000000002</v>
      </c>
      <c r="N9">
        <f>M8*(1-N3)</f>
        <v>54</v>
      </c>
      <c r="R9">
        <f>Q8*(1+N1)</f>
        <v>1.06</v>
      </c>
    </row>
    <row r="10" spans="1:23">
      <c r="C10" s="10">
        <f>B4*(1+B1)</f>
        <v>78</v>
      </c>
      <c r="D10" s="3"/>
      <c r="E10" s="5"/>
      <c r="I10" s="10">
        <f>G11*(1+B5)</f>
        <v>1.06</v>
      </c>
      <c r="K10" s="6"/>
      <c r="O10">
        <f>N9*(1-N3)</f>
        <v>48.6</v>
      </c>
      <c r="S10">
        <f>R9*(1+N1)</f>
        <v>1.1236000000000002</v>
      </c>
    </row>
    <row r="11" spans="1:23">
      <c r="A11">
        <f>B4</f>
        <v>60</v>
      </c>
      <c r="C11" s="4"/>
      <c r="D11" s="3"/>
      <c r="E11" s="10">
        <f>C10*(1+B2)</f>
        <v>70.2</v>
      </c>
      <c r="G11">
        <v>1</v>
      </c>
      <c r="I11" s="4"/>
      <c r="K11" s="10">
        <f>I10*(1+B5)</f>
        <v>1.1236000000000002</v>
      </c>
    </row>
    <row r="12" spans="1:23">
      <c r="C12" s="10">
        <f>A11*(1+B2)</f>
        <v>54</v>
      </c>
      <c r="D12" s="3"/>
      <c r="E12" s="5"/>
      <c r="I12" s="10">
        <f>G11*(1+B5)</f>
        <v>1.06</v>
      </c>
      <c r="K12" s="6"/>
      <c r="M12" s="13" t="s">
        <v>18</v>
      </c>
      <c r="P12" s="13" t="s">
        <v>24</v>
      </c>
      <c r="S12" s="13"/>
      <c r="V12" s="13" t="s">
        <v>36</v>
      </c>
    </row>
    <row r="13" spans="1:23">
      <c r="C13" s="4"/>
      <c r="E13" s="10">
        <f>C12*(1+B2)</f>
        <v>48.6</v>
      </c>
      <c r="J13"/>
      <c r="K13" s="10">
        <f>I12*(1+B5)</f>
        <v>1.1236000000000002</v>
      </c>
      <c r="N13">
        <f>MAX(0,O8-N5)</f>
        <v>0.20000000000000284</v>
      </c>
      <c r="Q13">
        <f>MAX(0,N5-O8)</f>
        <v>0</v>
      </c>
      <c r="W13">
        <f>MAX(0,N5-O8)</f>
        <v>0</v>
      </c>
    </row>
    <row r="14" spans="1:23">
      <c r="A14" s="11" t="s">
        <v>8</v>
      </c>
      <c r="B14" s="11"/>
      <c r="C14" s="11" t="s">
        <v>10</v>
      </c>
      <c r="D14" s="11"/>
      <c r="E14" s="11" t="s">
        <v>9</v>
      </c>
      <c r="G14" s="11" t="s">
        <v>8</v>
      </c>
      <c r="H14" s="11"/>
      <c r="I14" s="11" t="s">
        <v>10</v>
      </c>
      <c r="J14" s="11"/>
      <c r="K14" s="11" t="s">
        <v>9</v>
      </c>
      <c r="M14" s="13" t="s">
        <v>19</v>
      </c>
      <c r="P14" s="13" t="s">
        <v>21</v>
      </c>
      <c r="S14" s="13"/>
      <c r="V14" s="13" t="s">
        <v>21</v>
      </c>
    </row>
    <row r="15" spans="1:23">
      <c r="C15" s="4"/>
      <c r="E15" s="4"/>
      <c r="N15">
        <f>MAX(0,O10-N5)</f>
        <v>0</v>
      </c>
      <c r="Q15">
        <f>MAX(0,N5-O10)</f>
        <v>21.4</v>
      </c>
      <c r="W15">
        <f>MAX(0,N5-O10)</f>
        <v>21.4</v>
      </c>
    </row>
    <row r="16" spans="1:23">
      <c r="A16" s="1" t="s">
        <v>7</v>
      </c>
      <c r="C16" s="4"/>
      <c r="E16" s="4"/>
      <c r="G16" s="1" t="s">
        <v>11</v>
      </c>
      <c r="I16" s="4"/>
      <c r="J16"/>
      <c r="K16" s="4"/>
      <c r="M16" s="13" t="s">
        <v>22</v>
      </c>
      <c r="N16">
        <f>(N13-N15)/(O8-O10)</f>
        <v>9.2592592592593906E-3</v>
      </c>
      <c r="P16" s="13" t="s">
        <v>22</v>
      </c>
      <c r="Q16" s="15">
        <f>(Q13-Q15)/(O8-O10)</f>
        <v>-0.99074074074074059</v>
      </c>
      <c r="S16" s="13"/>
      <c r="V16" s="13" t="s">
        <v>22</v>
      </c>
      <c r="W16" s="15">
        <f>(W13-W15)/(O8-O10)</f>
        <v>-0.99074074074074059</v>
      </c>
    </row>
    <row r="17" spans="1:24">
      <c r="D17" s="3"/>
      <c r="E17" s="10">
        <f>N19</f>
        <v>31.400000000000006</v>
      </c>
      <c r="I17"/>
      <c r="K17" s="10">
        <f>Q19</f>
        <v>0</v>
      </c>
      <c r="M17" s="13" t="s">
        <v>23</v>
      </c>
      <c r="N17">
        <f>(N13-O8*N16)/S8</f>
        <v>-0.40049839800641363</v>
      </c>
      <c r="P17" s="13" t="s">
        <v>23</v>
      </c>
      <c r="Q17">
        <f>(Q13-O8*Q16)/S8</f>
        <v>61.899252402990378</v>
      </c>
      <c r="S17" s="13"/>
      <c r="V17" s="13" t="s">
        <v>23</v>
      </c>
      <c r="W17">
        <f>(W13-O8*W16)/S8</f>
        <v>61.899252402990378</v>
      </c>
    </row>
    <row r="18" spans="1:24">
      <c r="C18" s="10">
        <f>N25</f>
        <v>11.962264150943398</v>
      </c>
      <c r="D18" s="3"/>
      <c r="E18" s="5"/>
      <c r="I18" s="10">
        <f>Q25</f>
        <v>0</v>
      </c>
      <c r="K18" s="5"/>
      <c r="M18" s="13" t="s">
        <v>19</v>
      </c>
      <c r="N18">
        <f>N16*N9+N17*R9</f>
        <v>7.5471698113208641E-2</v>
      </c>
      <c r="P18" s="13" t="s">
        <v>21</v>
      </c>
      <c r="Q18">
        <f>Q16*N9+Q17*R9</f>
        <v>12.113207547169814</v>
      </c>
      <c r="S18" s="13"/>
      <c r="V18" s="13" t="s">
        <v>21</v>
      </c>
      <c r="W18">
        <f>MAX(W16*N9+W17*R9,N5-N9)</f>
        <v>16</v>
      </c>
      <c r="X18" s="13"/>
    </row>
    <row r="19" spans="1:24">
      <c r="A19" s="19">
        <f>N30</f>
        <v>4.5567817728729096</v>
      </c>
      <c r="C19" s="4"/>
      <c r="D19" s="3"/>
      <c r="E19" s="10">
        <f>N13</f>
        <v>0.20000000000000284</v>
      </c>
      <c r="G19" s="8">
        <f>Q30</f>
        <v>6.8565325738696998</v>
      </c>
      <c r="I19" s="4"/>
      <c r="K19" s="10">
        <f>Q13</f>
        <v>0</v>
      </c>
      <c r="N19">
        <f>MAX(0,O6-N5)</f>
        <v>31.400000000000006</v>
      </c>
      <c r="Q19">
        <f>MAX(0,N5-O6)</f>
        <v>0</v>
      </c>
      <c r="W19">
        <f>MAX(0,N5-O6)</f>
        <v>0</v>
      </c>
    </row>
    <row r="20" spans="1:24">
      <c r="C20" s="10">
        <f>N27</f>
        <v>7.5471698113208641E-2</v>
      </c>
      <c r="D20" s="3"/>
      <c r="E20" s="5"/>
      <c r="I20" s="10">
        <f>Q27</f>
        <v>12.113207547169814</v>
      </c>
      <c r="K20" s="5"/>
      <c r="M20" s="13" t="s">
        <v>19</v>
      </c>
      <c r="P20" s="13" t="s">
        <v>21</v>
      </c>
      <c r="S20" s="13"/>
      <c r="V20" s="13" t="s">
        <v>21</v>
      </c>
    </row>
    <row r="21" spans="1:24">
      <c r="E21" s="10">
        <f>N15</f>
        <v>0</v>
      </c>
      <c r="I21"/>
      <c r="J21"/>
      <c r="K21" s="10">
        <f>Q15</f>
        <v>21.4</v>
      </c>
      <c r="N21">
        <f>MAX(0,O8-N5)</f>
        <v>0.20000000000000284</v>
      </c>
      <c r="Q21">
        <f>MAX(0,N5-O8)</f>
        <v>0</v>
      </c>
      <c r="W21">
        <f>MAX(0,N5-O8)</f>
        <v>0</v>
      </c>
    </row>
    <row r="22" spans="1:24">
      <c r="A22" s="11" t="s">
        <v>8</v>
      </c>
      <c r="B22" s="11"/>
      <c r="C22" s="11" t="s">
        <v>10</v>
      </c>
      <c r="D22" s="11"/>
      <c r="E22" s="11" t="s">
        <v>9</v>
      </c>
      <c r="G22" s="11" t="s">
        <v>8</v>
      </c>
      <c r="H22" s="11"/>
      <c r="I22" s="11" t="s">
        <v>10</v>
      </c>
      <c r="J22" s="11"/>
      <c r="K22" s="11" t="s">
        <v>9</v>
      </c>
      <c r="M22" s="13" t="s">
        <v>22</v>
      </c>
      <c r="N22">
        <f>(N19-N21)/(O6-O8)</f>
        <v>1</v>
      </c>
      <c r="P22" s="13" t="s">
        <v>22</v>
      </c>
      <c r="Q22">
        <f>(Q19-Q21)/(O6-O8)</f>
        <v>0</v>
      </c>
      <c r="S22" s="13"/>
      <c r="V22" s="13" t="s">
        <v>22</v>
      </c>
      <c r="W22">
        <f>(W19-W21)/(O6-O8)</f>
        <v>0</v>
      </c>
    </row>
    <row r="23" spans="1:24">
      <c r="M23" s="13" t="s">
        <v>23</v>
      </c>
      <c r="N23">
        <f>(N19-O6*N22)/S6</f>
        <v>-62.29975080099679</v>
      </c>
      <c r="P23" s="13" t="s">
        <v>23</v>
      </c>
      <c r="Q23">
        <f>(Q19-O6*Q22)/S6</f>
        <v>0</v>
      </c>
      <c r="S23" s="13"/>
      <c r="V23" s="13" t="s">
        <v>23</v>
      </c>
      <c r="W23">
        <f>(W19-O6*W22)/S6</f>
        <v>0</v>
      </c>
    </row>
    <row r="24" spans="1:24">
      <c r="A24" s="1" t="s">
        <v>12</v>
      </c>
      <c r="C24" s="4"/>
      <c r="E24" s="4"/>
      <c r="M24" s="13" t="s">
        <v>19</v>
      </c>
      <c r="N24">
        <f>N22*N7+N23*R9</f>
        <v>11.962264150943398</v>
      </c>
      <c r="P24" s="13" t="s">
        <v>21</v>
      </c>
      <c r="Q24">
        <f>Q22*N7+Q23*R7</f>
        <v>0</v>
      </c>
      <c r="S24" s="13"/>
      <c r="V24" s="13" t="s">
        <v>21</v>
      </c>
      <c r="W24">
        <f>MAX(W22*N7+W23*R7,N5-N7)</f>
        <v>0</v>
      </c>
    </row>
    <row r="25" spans="1:24">
      <c r="D25" s="3"/>
      <c r="E25" s="10">
        <f>W19</f>
        <v>0</v>
      </c>
      <c r="N25">
        <f>N24</f>
        <v>11.962264150943398</v>
      </c>
      <c r="Q25">
        <f>Q24</f>
        <v>0</v>
      </c>
      <c r="W25">
        <f>W24</f>
        <v>0</v>
      </c>
    </row>
    <row r="26" spans="1:24">
      <c r="C26" s="10">
        <f>W25</f>
        <v>0</v>
      </c>
      <c r="D26" s="3"/>
      <c r="E26" s="5"/>
      <c r="M26" s="13" t="s">
        <v>19</v>
      </c>
      <c r="P26" s="13" t="s">
        <v>21</v>
      </c>
      <c r="S26" s="13"/>
      <c r="V26" s="13" t="s">
        <v>21</v>
      </c>
    </row>
    <row r="27" spans="1:24">
      <c r="A27" s="12">
        <f>W30</f>
        <v>10</v>
      </c>
      <c r="C27" s="4"/>
      <c r="D27" s="3"/>
      <c r="E27" s="10">
        <f>W21</f>
        <v>0</v>
      </c>
      <c r="N27">
        <f>N18</f>
        <v>7.5471698113208641E-2</v>
      </c>
      <c r="Q27">
        <f>Q18</f>
        <v>12.113207547169814</v>
      </c>
      <c r="W27">
        <f>W18</f>
        <v>16</v>
      </c>
    </row>
    <row r="28" spans="1:24">
      <c r="C28" s="10">
        <f>W27</f>
        <v>16</v>
      </c>
      <c r="D28" s="3"/>
      <c r="E28" s="5"/>
      <c r="M28" s="13" t="s">
        <v>22</v>
      </c>
      <c r="N28">
        <f>(N25-N27)/(N7-N9)</f>
        <v>0.49528301886792453</v>
      </c>
      <c r="P28" s="13" t="s">
        <v>22</v>
      </c>
      <c r="Q28">
        <f>(Q25-Q27)/(N7-N9)</f>
        <v>-0.50471698113207564</v>
      </c>
      <c r="S28" s="13"/>
      <c r="V28" s="13" t="s">
        <v>22</v>
      </c>
      <c r="W28">
        <f>(W25-W27)/(N7-N9)</f>
        <v>-0.66666666666666663</v>
      </c>
    </row>
    <row r="29" spans="1:24">
      <c r="E29" s="10">
        <f>W15</f>
        <v>21.4</v>
      </c>
      <c r="M29" s="13" t="s">
        <v>23</v>
      </c>
      <c r="N29">
        <f>(N25-N7*N28)/R7</f>
        <v>-25.160199359202561</v>
      </c>
      <c r="P29" s="13" t="s">
        <v>23</v>
      </c>
      <c r="Q29">
        <f>(Q25-N7*Q28)/R7</f>
        <v>37.139551441794239</v>
      </c>
      <c r="S29" s="13"/>
      <c r="V29" s="13" t="s">
        <v>23</v>
      </c>
      <c r="W29">
        <f>(W25-N7*W28)/R7</f>
        <v>49.056603773584904</v>
      </c>
    </row>
    <row r="30" spans="1:24">
      <c r="A30" s="11" t="s">
        <v>8</v>
      </c>
      <c r="B30" s="11"/>
      <c r="C30" s="11" t="s">
        <v>10</v>
      </c>
      <c r="D30" s="11"/>
      <c r="E30" s="11" t="s">
        <v>9</v>
      </c>
      <c r="M30" s="13" t="s">
        <v>19</v>
      </c>
      <c r="N30" s="18">
        <f>N28*M8+N29*Q8</f>
        <v>4.5567817728729096</v>
      </c>
      <c r="P30" s="13" t="s">
        <v>21</v>
      </c>
      <c r="Q30">
        <f>Q28*M8+Q29*Q8</f>
        <v>6.8565325738696998</v>
      </c>
      <c r="S30" s="13"/>
      <c r="T30" s="18"/>
      <c r="V30" s="13" t="s">
        <v>21</v>
      </c>
      <c r="W30">
        <f>MAX(W28*M8+W29*Q8,N5-M8)</f>
        <v>10</v>
      </c>
    </row>
    <row r="31" spans="1:24">
      <c r="C31" s="3"/>
      <c r="D31" s="3"/>
      <c r="E31"/>
    </row>
    <row r="35" customFormat="1" ht="12.75" customHeight="1"/>
  </sheetData>
  <phoneticPr fontId="4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B55FD-ED7B-854E-B241-3D443BC99C7F}">
  <dimension ref="A1:E12"/>
  <sheetViews>
    <sheetView zoomScaleNormal="100" workbookViewId="0">
      <selection activeCell="B13" sqref="B13"/>
    </sheetView>
  </sheetViews>
  <sheetFormatPr baseColWidth="10" defaultRowHeight="13"/>
  <sheetData>
    <row r="1" spans="1:5">
      <c r="A1" s="13" t="s">
        <v>37</v>
      </c>
      <c r="B1">
        <v>10</v>
      </c>
    </row>
    <row r="2" spans="1:5">
      <c r="A2" s="13" t="s">
        <v>14</v>
      </c>
      <c r="B2">
        <v>5</v>
      </c>
    </row>
    <row r="3" spans="1:5">
      <c r="A3" s="13" t="s">
        <v>15</v>
      </c>
      <c r="B3" s="2">
        <v>0.06</v>
      </c>
    </row>
    <row r="4" spans="1:5">
      <c r="B4">
        <v>2500</v>
      </c>
      <c r="E4">
        <f>D5*(1+B3)</f>
        <v>1.06</v>
      </c>
    </row>
    <row r="5" spans="1:5">
      <c r="A5">
        <v>1500</v>
      </c>
      <c r="D5">
        <v>1</v>
      </c>
    </row>
    <row r="6" spans="1:5">
      <c r="B6">
        <v>1200</v>
      </c>
      <c r="E6">
        <f>D5*(1+B3)</f>
        <v>1.06</v>
      </c>
    </row>
    <row r="7" spans="1:5">
      <c r="B7">
        <f>B1*(1+1.2*(B4/A5- 1))</f>
        <v>18</v>
      </c>
    </row>
    <row r="8" spans="1:5">
      <c r="A8" s="13" t="s">
        <v>38</v>
      </c>
    </row>
    <row r="9" spans="1:5">
      <c r="B9">
        <f>B1</f>
        <v>10</v>
      </c>
    </row>
    <row r="10" spans="1:5">
      <c r="A10" s="13" t="s">
        <v>22</v>
      </c>
      <c r="B10">
        <f>(B7-B9)/(B4-B6)</f>
        <v>6.1538461538461538E-3</v>
      </c>
    </row>
    <row r="11" spans="1:5">
      <c r="A11" s="13" t="s">
        <v>23</v>
      </c>
      <c r="B11">
        <f>(B7-B4*B10)/E4</f>
        <v>2.4673439767779386</v>
      </c>
    </row>
    <row r="12" spans="1:5">
      <c r="A12" s="13" t="s">
        <v>38</v>
      </c>
      <c r="B12">
        <f>B10*A5+B11*D5</f>
        <v>11.698113207547168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ED9B9-C2B7-A441-B2D5-6F3DDC4E0172}">
  <dimension ref="A1:K31"/>
  <sheetViews>
    <sheetView zoomScaleNormal="100" workbookViewId="0">
      <selection activeCell="B32" sqref="B32"/>
    </sheetView>
  </sheetViews>
  <sheetFormatPr baseColWidth="10" defaultRowHeight="13"/>
  <cols>
    <col min="1" max="1" width="19" bestFit="1" customWidth="1"/>
    <col min="2" max="2" width="13.6640625" bestFit="1" customWidth="1"/>
    <col min="3" max="3" width="8" bestFit="1" customWidth="1"/>
    <col min="5" max="5" width="3" bestFit="1" customWidth="1"/>
    <col min="6" max="6" width="6" bestFit="1" customWidth="1"/>
    <col min="7" max="7" width="8" customWidth="1"/>
  </cols>
  <sheetData>
    <row r="1" spans="1:10">
      <c r="A1" s="13" t="s">
        <v>15</v>
      </c>
      <c r="B1" s="2">
        <v>0.03</v>
      </c>
    </row>
    <row r="2" spans="1:10">
      <c r="A2" s="13" t="s">
        <v>32</v>
      </c>
      <c r="B2" s="2">
        <v>0.25</v>
      </c>
    </row>
    <row r="3" spans="1:10">
      <c r="A3" s="13" t="s">
        <v>33</v>
      </c>
      <c r="B3" s="2">
        <v>0.1</v>
      </c>
    </row>
    <row r="4" spans="1:10">
      <c r="A4" s="13" t="s">
        <v>34</v>
      </c>
      <c r="B4" s="14">
        <v>50</v>
      </c>
    </row>
    <row r="5" spans="1:10">
      <c r="A5" s="13" t="s">
        <v>40</v>
      </c>
      <c r="B5" s="14">
        <v>55</v>
      </c>
    </row>
    <row r="6" spans="1:10">
      <c r="A6" s="13" t="s">
        <v>39</v>
      </c>
      <c r="B6" s="14">
        <v>60</v>
      </c>
    </row>
    <row r="7" spans="1:10">
      <c r="C7">
        <f>B8*(1+B2)</f>
        <v>78.125</v>
      </c>
      <c r="G7">
        <f>F8*(1+B1)</f>
        <v>1.0609</v>
      </c>
    </row>
    <row r="8" spans="1:10">
      <c r="B8">
        <f>A9*(1+B2)</f>
        <v>62.5</v>
      </c>
      <c r="F8">
        <f>E9*(1+B1)</f>
        <v>1.03</v>
      </c>
    </row>
    <row r="9" spans="1:10">
      <c r="A9">
        <f>B4</f>
        <v>50</v>
      </c>
      <c r="C9">
        <f>B8*(1-B3)</f>
        <v>56.25</v>
      </c>
      <c r="E9">
        <v>1</v>
      </c>
      <c r="G9">
        <f>F8*(1+B1)</f>
        <v>1.0609</v>
      </c>
    </row>
    <row r="10" spans="1:10">
      <c r="B10">
        <f>A9*(1-B3)</f>
        <v>45</v>
      </c>
      <c r="F10">
        <f>E9*(1+B1)</f>
        <v>1.03</v>
      </c>
    </row>
    <row r="11" spans="1:10">
      <c r="C11">
        <f>B10*(1-B3)</f>
        <v>40.5</v>
      </c>
      <c r="G11">
        <f>F10*(1+B1)</f>
        <v>1.0609</v>
      </c>
    </row>
    <row r="13" spans="1:10">
      <c r="A13" s="13" t="s">
        <v>18</v>
      </c>
      <c r="D13" s="13" t="s">
        <v>24</v>
      </c>
      <c r="G13" s="13"/>
      <c r="J13" s="13"/>
    </row>
    <row r="14" spans="1:10">
      <c r="B14">
        <f>MAX(0,C9-B6)</f>
        <v>0</v>
      </c>
      <c r="D14" s="13" t="s">
        <v>41</v>
      </c>
    </row>
    <row r="15" spans="1:10">
      <c r="A15" s="13" t="s">
        <v>19</v>
      </c>
      <c r="D15" s="13"/>
      <c r="G15" s="13"/>
      <c r="J15" s="13"/>
    </row>
    <row r="16" spans="1:10">
      <c r="B16">
        <f>MAX(0,C11-B6)</f>
        <v>0</v>
      </c>
    </row>
    <row r="17" spans="1:11">
      <c r="A17" s="13" t="s">
        <v>22</v>
      </c>
      <c r="B17">
        <f>(B14-B16)/(C9-C11)</f>
        <v>0</v>
      </c>
      <c r="D17" s="13"/>
      <c r="E17" s="15"/>
      <c r="G17" s="13"/>
      <c r="J17" s="13"/>
      <c r="K17" s="15"/>
    </row>
    <row r="18" spans="1:11">
      <c r="A18" s="13" t="s">
        <v>23</v>
      </c>
      <c r="B18">
        <f>(B14-C9*B17)/G9</f>
        <v>0</v>
      </c>
      <c r="D18" s="13"/>
      <c r="G18" s="13"/>
      <c r="J18" s="13"/>
    </row>
    <row r="19" spans="1:11">
      <c r="A19" s="13" t="s">
        <v>19</v>
      </c>
      <c r="B19">
        <f>B17*B10+B18*F10</f>
        <v>0</v>
      </c>
      <c r="D19" s="13"/>
      <c r="G19" s="13"/>
      <c r="J19" s="13"/>
    </row>
    <row r="20" spans="1:11">
      <c r="B20">
        <f>MAX(0,C7-B6)</f>
        <v>18.125</v>
      </c>
    </row>
    <row r="21" spans="1:11">
      <c r="A21" s="13" t="s">
        <v>19</v>
      </c>
      <c r="D21" s="13"/>
      <c r="G21" s="13"/>
      <c r="J21" s="13"/>
    </row>
    <row r="22" spans="1:11">
      <c r="B22">
        <f>MAX(0,C9-B6)</f>
        <v>0</v>
      </c>
    </row>
    <row r="23" spans="1:11">
      <c r="A23" s="13" t="s">
        <v>22</v>
      </c>
      <c r="B23">
        <f>(B20-B22)/(C7-C9)</f>
        <v>0.82857142857142863</v>
      </c>
      <c r="D23" s="13"/>
      <c r="G23" s="13"/>
      <c r="J23" s="13"/>
    </row>
    <row r="24" spans="1:11">
      <c r="A24" s="13" t="s">
        <v>23</v>
      </c>
      <c r="B24">
        <f>(B20-C7*B23)/G7</f>
        <v>-43.931702193555346</v>
      </c>
      <c r="D24" s="13"/>
      <c r="G24" s="13"/>
      <c r="J24" s="13"/>
    </row>
    <row r="25" spans="1:11">
      <c r="A25" s="13" t="s">
        <v>19</v>
      </c>
      <c r="B25">
        <f>B23*B8+B24*F10</f>
        <v>6.5360610263522858</v>
      </c>
      <c r="D25" s="13"/>
      <c r="G25" s="13"/>
      <c r="J25" s="13"/>
    </row>
    <row r="26" spans="1:11">
      <c r="B26">
        <f>MAX(B25,B8-B5)</f>
        <v>7.5</v>
      </c>
    </row>
    <row r="27" spans="1:11">
      <c r="A27" s="13" t="s">
        <v>19</v>
      </c>
      <c r="D27" s="13"/>
      <c r="G27" s="13"/>
      <c r="J27" s="13"/>
    </row>
    <row r="28" spans="1:11">
      <c r="B28">
        <f>MAX(B19,B10-B5)</f>
        <v>0</v>
      </c>
    </row>
    <row r="29" spans="1:11">
      <c r="A29" s="13" t="s">
        <v>22</v>
      </c>
      <c r="B29">
        <f>(B26-B28)/(B8-B10)</f>
        <v>0.42857142857142855</v>
      </c>
      <c r="D29" s="13"/>
      <c r="G29" s="13"/>
      <c r="J29" s="13"/>
    </row>
    <row r="30" spans="1:11">
      <c r="A30" s="13" t="s">
        <v>23</v>
      </c>
      <c r="B30">
        <f>(B26-B8*B29)/F8</f>
        <v>-18.723994452149789</v>
      </c>
      <c r="D30" s="13"/>
      <c r="G30" s="13"/>
      <c r="J30" s="13"/>
    </row>
    <row r="31" spans="1:11">
      <c r="A31" s="13" t="s">
        <v>19</v>
      </c>
      <c r="B31" s="18">
        <f>B29*A9+B30*E9</f>
        <v>2.7045769764216381</v>
      </c>
      <c r="D31" s="13"/>
      <c r="G31" s="13"/>
      <c r="H31" s="18"/>
      <c r="J31" s="13"/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89BEB-CD45-AA4A-8501-CC1284653269}">
  <dimension ref="A1:K32"/>
  <sheetViews>
    <sheetView tabSelected="1" zoomScaleNormal="100" workbookViewId="0">
      <selection activeCell="H20" sqref="H20"/>
    </sheetView>
  </sheetViews>
  <sheetFormatPr baseColWidth="10" defaultRowHeight="13"/>
  <cols>
    <col min="1" max="1" width="14.83203125" bestFit="1" customWidth="1"/>
    <col min="2" max="2" width="18" bestFit="1" customWidth="1"/>
    <col min="3" max="3" width="7" bestFit="1" customWidth="1"/>
    <col min="4" max="4" width="9.83203125" bestFit="1" customWidth="1"/>
    <col min="5" max="5" width="13.6640625" bestFit="1" customWidth="1"/>
    <col min="6" max="6" width="6" bestFit="1" customWidth="1"/>
    <col min="7" max="7" width="8" bestFit="1" customWidth="1"/>
    <col min="10" max="10" width="9.83203125" bestFit="1" customWidth="1"/>
    <col min="11" max="11" width="13.6640625" bestFit="1" customWidth="1"/>
  </cols>
  <sheetData>
    <row r="1" spans="1:11">
      <c r="A1" s="13" t="s">
        <v>15</v>
      </c>
      <c r="B1" s="2">
        <v>0.06</v>
      </c>
    </row>
    <row r="2" spans="1:11">
      <c r="A2" s="13" t="s">
        <v>32</v>
      </c>
      <c r="B2" s="2">
        <v>0.3</v>
      </c>
    </row>
    <row r="3" spans="1:11">
      <c r="A3" s="13" t="s">
        <v>33</v>
      </c>
      <c r="B3" s="2">
        <v>0.1</v>
      </c>
    </row>
    <row r="4" spans="1:11">
      <c r="A4" s="13" t="s">
        <v>34</v>
      </c>
      <c r="B4" s="14">
        <v>60</v>
      </c>
    </row>
    <row r="5" spans="1:11">
      <c r="A5" s="13" t="s">
        <v>35</v>
      </c>
      <c r="B5" s="14">
        <v>70</v>
      </c>
    </row>
    <row r="6" spans="1:11">
      <c r="C6">
        <f>B7*(1+B2)</f>
        <v>101.4</v>
      </c>
      <c r="G6">
        <f>F7*(1+B1)</f>
        <v>1.1236000000000002</v>
      </c>
    </row>
    <row r="7" spans="1:11">
      <c r="B7">
        <f>A8*(1+B2)</f>
        <v>78</v>
      </c>
      <c r="F7">
        <f>E8*(1+B1)</f>
        <v>1.06</v>
      </c>
    </row>
    <row r="8" spans="1:11">
      <c r="A8">
        <f>B4</f>
        <v>60</v>
      </c>
      <c r="C8">
        <f>B7*(1-B3)</f>
        <v>70.2</v>
      </c>
      <c r="E8">
        <v>1</v>
      </c>
      <c r="G8">
        <f>F7*(1+B1)</f>
        <v>1.1236000000000002</v>
      </c>
    </row>
    <row r="9" spans="1:11">
      <c r="B9">
        <f>A8*(1-B3)</f>
        <v>54</v>
      </c>
      <c r="F9">
        <f>E8*(1+B1)</f>
        <v>1.06</v>
      </c>
    </row>
    <row r="10" spans="1:11">
      <c r="C10">
        <f>B9*(1-B3)</f>
        <v>48.6</v>
      </c>
      <c r="G10">
        <f>F9*(1+B1)</f>
        <v>1.1236000000000002</v>
      </c>
    </row>
    <row r="12" spans="1:11">
      <c r="A12" s="13"/>
      <c r="D12" s="13" t="s">
        <v>24</v>
      </c>
      <c r="G12" s="13"/>
      <c r="J12" s="13" t="s">
        <v>36</v>
      </c>
    </row>
    <row r="13" spans="1:11">
      <c r="E13">
        <f>MAX(0,B5-C8)</f>
        <v>0</v>
      </c>
      <c r="K13">
        <f>MAX(0,B5-C8)</f>
        <v>0</v>
      </c>
    </row>
    <row r="14" spans="1:11">
      <c r="A14" s="13"/>
      <c r="D14" s="13" t="s">
        <v>21</v>
      </c>
      <c r="G14" s="13"/>
      <c r="J14" s="13" t="s">
        <v>21</v>
      </c>
    </row>
    <row r="15" spans="1:11">
      <c r="E15">
        <f>MAX(0,B5-C10)</f>
        <v>21.4</v>
      </c>
      <c r="K15">
        <f>MAX(0,B5-C10)</f>
        <v>21.4</v>
      </c>
    </row>
    <row r="16" spans="1:11">
      <c r="A16" s="13"/>
      <c r="D16" s="13" t="s">
        <v>22</v>
      </c>
      <c r="E16" s="15">
        <f>(E13-E15)/(C8-C10)</f>
        <v>-0.99074074074074059</v>
      </c>
      <c r="G16" s="13"/>
      <c r="J16" s="13" t="s">
        <v>22</v>
      </c>
      <c r="K16" s="15">
        <f>(K13-K15)/(C8-C10)</f>
        <v>-0.99074074074074059</v>
      </c>
    </row>
    <row r="17" spans="1:11">
      <c r="A17" s="13"/>
      <c r="D17" s="13" t="s">
        <v>23</v>
      </c>
      <c r="E17">
        <f>(E13-C8*E16)/G8</f>
        <v>61.899252402990378</v>
      </c>
      <c r="G17" s="13"/>
      <c r="J17" s="13" t="s">
        <v>23</v>
      </c>
      <c r="K17">
        <f>(K13-C8*K16)/G8</f>
        <v>61.899252402990378</v>
      </c>
    </row>
    <row r="18" spans="1:11">
      <c r="A18" s="13"/>
      <c r="D18" s="13" t="s">
        <v>21</v>
      </c>
      <c r="E18">
        <f>E16*B9+E17*F9</f>
        <v>12.113207547169814</v>
      </c>
      <c r="G18" s="13"/>
      <c r="J18" s="13" t="s">
        <v>21</v>
      </c>
      <c r="K18">
        <f>MAX(K16*B9+K17*F9,B5-B9)</f>
        <v>16</v>
      </c>
    </row>
    <row r="19" spans="1:11">
      <c r="E19">
        <f>MAX(0,B5-C6)</f>
        <v>0</v>
      </c>
      <c r="K19">
        <f>MAX(0,B5-C6)</f>
        <v>0</v>
      </c>
    </row>
    <row r="20" spans="1:11">
      <c r="A20" s="13"/>
      <c r="D20" s="13" t="s">
        <v>21</v>
      </c>
      <c r="G20" s="13"/>
      <c r="J20" s="13" t="s">
        <v>21</v>
      </c>
    </row>
    <row r="21" spans="1:11">
      <c r="E21">
        <f>MAX(0,B5-C8)</f>
        <v>0</v>
      </c>
      <c r="K21">
        <f>MAX(0,B5-C8)</f>
        <v>0</v>
      </c>
    </row>
    <row r="22" spans="1:11">
      <c r="A22" s="13"/>
      <c r="D22" s="13" t="s">
        <v>22</v>
      </c>
      <c r="E22">
        <f>(E19-E21)/(C6-C8)</f>
        <v>0</v>
      </c>
      <c r="G22" s="13"/>
      <c r="J22" s="13" t="s">
        <v>22</v>
      </c>
      <c r="K22">
        <f>(K19-K21)/(C6-C8)</f>
        <v>0</v>
      </c>
    </row>
    <row r="23" spans="1:11">
      <c r="A23" s="13"/>
      <c r="D23" s="13" t="s">
        <v>23</v>
      </c>
      <c r="E23">
        <f>(E19-C6*E22)/G6</f>
        <v>0</v>
      </c>
      <c r="G23" s="13"/>
      <c r="J23" s="13" t="s">
        <v>23</v>
      </c>
      <c r="K23">
        <f>(K19-C6*K22)/G6</f>
        <v>0</v>
      </c>
    </row>
    <row r="24" spans="1:11">
      <c r="A24" s="13"/>
      <c r="D24" s="13" t="s">
        <v>21</v>
      </c>
      <c r="E24">
        <f>E22*B7+E23*F7</f>
        <v>0</v>
      </c>
      <c r="G24" s="13"/>
      <c r="J24" s="13" t="s">
        <v>21</v>
      </c>
      <c r="K24">
        <f>MAX(K22*B7+K23*F7,B5-B7)</f>
        <v>0</v>
      </c>
    </row>
    <row r="25" spans="1:11">
      <c r="E25">
        <f>E24</f>
        <v>0</v>
      </c>
      <c r="K25">
        <f>K24</f>
        <v>0</v>
      </c>
    </row>
    <row r="26" spans="1:11">
      <c r="A26" s="13"/>
      <c r="D26" s="13" t="s">
        <v>21</v>
      </c>
      <c r="G26" s="13"/>
      <c r="J26" s="13" t="s">
        <v>21</v>
      </c>
    </row>
    <row r="27" spans="1:11">
      <c r="E27">
        <f>E18</f>
        <v>12.113207547169814</v>
      </c>
      <c r="K27">
        <f>K18</f>
        <v>16</v>
      </c>
    </row>
    <row r="28" spans="1:11">
      <c r="A28" s="13"/>
      <c r="D28" s="13" t="s">
        <v>22</v>
      </c>
      <c r="E28">
        <f>(E25-E27)/(B7-B9)</f>
        <v>-0.50471698113207564</v>
      </c>
      <c r="G28" s="13"/>
      <c r="J28" s="13" t="s">
        <v>22</v>
      </c>
      <c r="K28">
        <f>(K25-K27)/(B7-B9)</f>
        <v>-0.66666666666666663</v>
      </c>
    </row>
    <row r="29" spans="1:11">
      <c r="A29" s="13"/>
      <c r="D29" s="13" t="s">
        <v>23</v>
      </c>
      <c r="E29">
        <f>(E25-B7*E28)/F7</f>
        <v>37.139551441794239</v>
      </c>
      <c r="G29" s="13"/>
      <c r="J29" s="13" t="s">
        <v>23</v>
      </c>
      <c r="K29">
        <f>(K25-B7*K28)/F7</f>
        <v>49.056603773584904</v>
      </c>
    </row>
    <row r="30" spans="1:11">
      <c r="A30" s="13"/>
      <c r="B30" s="18"/>
      <c r="D30" s="13" t="s">
        <v>21</v>
      </c>
      <c r="E30">
        <f>E28*A8+E29*E8</f>
        <v>6.8565325738696998</v>
      </c>
      <c r="G30" s="13"/>
      <c r="H30" s="18"/>
      <c r="J30" s="13" t="s">
        <v>21</v>
      </c>
      <c r="K30">
        <f>MAX(K28*A8+K29*E8,B5-A8)</f>
        <v>10</v>
      </c>
    </row>
    <row r="32" spans="1:11">
      <c r="A32" s="13" t="s">
        <v>42</v>
      </c>
      <c r="B32" t="str">
        <f>IF(ABS(E30-9)&lt;ABS(K30-9),"European put option", "American put option")</f>
        <v>American put option</v>
      </c>
    </row>
  </sheetData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A34AB-20D3-7B42-A474-EB66F2FC97E1}">
  <dimension ref="A1:K31"/>
  <sheetViews>
    <sheetView zoomScaleNormal="100" workbookViewId="0">
      <selection activeCell="G1" sqref="A1:G1048576"/>
    </sheetView>
  </sheetViews>
  <sheetFormatPr baseColWidth="10" defaultRowHeight="13"/>
  <cols>
    <col min="1" max="1" width="14.83203125" bestFit="1" customWidth="1"/>
    <col min="2" max="2" width="13.6640625" bestFit="1" customWidth="1"/>
    <col min="3" max="3" width="5" bestFit="1" customWidth="1"/>
    <col min="5" max="5" width="3" bestFit="1" customWidth="1"/>
    <col min="6" max="6" width="6" bestFit="1" customWidth="1"/>
    <col min="7" max="7" width="8" bestFit="1" customWidth="1"/>
  </cols>
  <sheetData>
    <row r="1" spans="1:10">
      <c r="A1" s="13" t="s">
        <v>15</v>
      </c>
      <c r="B1" s="2">
        <v>0.06</v>
      </c>
    </row>
    <row r="2" spans="1:10">
      <c r="A2" s="13" t="s">
        <v>32</v>
      </c>
      <c r="B2" s="2">
        <v>0.3</v>
      </c>
    </row>
    <row r="3" spans="1:10">
      <c r="A3" s="13" t="s">
        <v>33</v>
      </c>
      <c r="B3" s="2">
        <v>0.1</v>
      </c>
    </row>
    <row r="4" spans="1:10">
      <c r="A4" s="13" t="s">
        <v>34</v>
      </c>
      <c r="B4" s="14">
        <v>100</v>
      </c>
    </row>
    <row r="5" spans="1:10">
      <c r="A5" s="13" t="s">
        <v>35</v>
      </c>
      <c r="B5" s="14">
        <v>110</v>
      </c>
    </row>
    <row r="6" spans="1:10">
      <c r="A6" s="13" t="s">
        <v>43</v>
      </c>
      <c r="B6" s="14">
        <v>3</v>
      </c>
    </row>
    <row r="7" spans="1:10">
      <c r="C7">
        <f>B8*(1+B2)-B6</f>
        <v>166</v>
      </c>
      <c r="G7">
        <f>F8*(1+B1)</f>
        <v>1.1236000000000002</v>
      </c>
    </row>
    <row r="8" spans="1:10">
      <c r="B8">
        <f>A9*(1+B2)</f>
        <v>130</v>
      </c>
      <c r="F8">
        <f>E9*(1+B1)</f>
        <v>1.06</v>
      </c>
    </row>
    <row r="9" spans="1:10">
      <c r="A9">
        <f>B4</f>
        <v>100</v>
      </c>
      <c r="C9">
        <f>B8*(1-B3)-B6</f>
        <v>114</v>
      </c>
      <c r="E9">
        <v>1</v>
      </c>
      <c r="G9">
        <f>F8*(1+B1)</f>
        <v>1.1236000000000002</v>
      </c>
    </row>
    <row r="10" spans="1:10">
      <c r="B10">
        <f>A9*(1-B3)</f>
        <v>90</v>
      </c>
      <c r="F10">
        <f>E9*(1+B1)</f>
        <v>1.06</v>
      </c>
    </row>
    <row r="11" spans="1:10">
      <c r="C11">
        <f>B10*(1-B3)-B6</f>
        <v>78</v>
      </c>
      <c r="G11">
        <f>F10*(1+B1)</f>
        <v>1.1236000000000002</v>
      </c>
    </row>
    <row r="13" spans="1:10">
      <c r="A13" s="13" t="s">
        <v>18</v>
      </c>
      <c r="D13" s="13"/>
      <c r="G13" s="13"/>
      <c r="J13" s="13"/>
    </row>
    <row r="14" spans="1:10">
      <c r="B14">
        <f>MAX(0,C9-B5)</f>
        <v>4</v>
      </c>
    </row>
    <row r="15" spans="1:10">
      <c r="A15" s="13" t="s">
        <v>19</v>
      </c>
      <c r="D15" s="13"/>
      <c r="G15" s="13"/>
      <c r="J15" s="13"/>
    </row>
    <row r="16" spans="1:10">
      <c r="B16">
        <f>MAX(0,C11-B5)</f>
        <v>0</v>
      </c>
    </row>
    <row r="17" spans="1:11">
      <c r="A17" s="13" t="s">
        <v>22</v>
      </c>
      <c r="B17">
        <f>(B14-B16)/(C9-C11)</f>
        <v>0.1111111111111111</v>
      </c>
      <c r="D17" s="13"/>
      <c r="E17" s="15"/>
      <c r="G17" s="13"/>
      <c r="J17" s="13"/>
      <c r="K17" s="15"/>
    </row>
    <row r="18" spans="1:11">
      <c r="A18" s="13" t="s">
        <v>23</v>
      </c>
      <c r="B18">
        <f>(B14-C9*B17)/G9</f>
        <v>-7.7133024801234109</v>
      </c>
      <c r="D18" s="13"/>
      <c r="G18" s="13"/>
      <c r="J18" s="13"/>
    </row>
    <row r="19" spans="1:11">
      <c r="A19" s="13" t="s">
        <v>19</v>
      </c>
      <c r="B19">
        <f>B17*B10+B18*F10</f>
        <v>1.8238993710691833</v>
      </c>
      <c r="D19" s="13"/>
      <c r="G19" s="13"/>
      <c r="J19" s="13"/>
    </row>
    <row r="20" spans="1:11">
      <c r="B20">
        <f>MAX(0,C7-B5)</f>
        <v>56</v>
      </c>
    </row>
    <row r="21" spans="1:11">
      <c r="A21" s="13" t="s">
        <v>19</v>
      </c>
      <c r="D21" s="13"/>
      <c r="G21" s="13"/>
      <c r="J21" s="13"/>
    </row>
    <row r="22" spans="1:11">
      <c r="B22">
        <f>MAX(0,C9-B5)</f>
        <v>4</v>
      </c>
    </row>
    <row r="23" spans="1:11">
      <c r="A23" s="13" t="s">
        <v>22</v>
      </c>
      <c r="B23">
        <f>(B20-B22)/(C7-C9)</f>
        <v>1</v>
      </c>
      <c r="D23" s="13"/>
      <c r="G23" s="13"/>
      <c r="J23" s="13"/>
    </row>
    <row r="24" spans="1:11">
      <c r="A24" s="13" t="s">
        <v>23</v>
      </c>
      <c r="B24">
        <f>(B20-C7*B23)/G7</f>
        <v>-97.899608401566383</v>
      </c>
      <c r="D24" s="13"/>
      <c r="G24" s="13"/>
      <c r="J24" s="13"/>
    </row>
    <row r="25" spans="1:11">
      <c r="A25" s="13" t="s">
        <v>19</v>
      </c>
      <c r="B25">
        <f>B23*B8+B24*F10</f>
        <v>26.226415094339629</v>
      </c>
      <c r="D25" s="13"/>
      <c r="G25" s="13"/>
      <c r="J25" s="13"/>
    </row>
    <row r="26" spans="1:11">
      <c r="B26">
        <f>B25</f>
        <v>26.226415094339629</v>
      </c>
    </row>
    <row r="27" spans="1:11">
      <c r="A27" s="13" t="s">
        <v>19</v>
      </c>
      <c r="D27" s="13"/>
      <c r="G27" s="13"/>
      <c r="J27" s="13"/>
    </row>
    <row r="28" spans="1:11">
      <c r="B28">
        <f>B19</f>
        <v>1.8238993710691833</v>
      </c>
    </row>
    <row r="29" spans="1:11">
      <c r="A29" s="13" t="s">
        <v>22</v>
      </c>
      <c r="B29">
        <f>(B26-B28)/(B8-B10)</f>
        <v>0.6100628930817612</v>
      </c>
      <c r="D29" s="13"/>
      <c r="G29" s="13"/>
      <c r="J29" s="13"/>
    </row>
    <row r="30" spans="1:11">
      <c r="A30" s="13" t="s">
        <v>23</v>
      </c>
      <c r="B30">
        <f>(B26-B8*B29)/F8</f>
        <v>-50.077133024801249</v>
      </c>
      <c r="D30" s="13"/>
      <c r="G30" s="13"/>
      <c r="J30" s="13"/>
    </row>
    <row r="31" spans="1:11">
      <c r="A31" s="13" t="s">
        <v>19</v>
      </c>
      <c r="B31" s="18">
        <f>B29*A9+B30*E9</f>
        <v>10.929156283374873</v>
      </c>
      <c r="D31" s="13"/>
      <c r="G31" s="13"/>
      <c r="H31" s="18"/>
      <c r="J31" s="13"/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A8C05-9C5C-E044-90C7-DE80B1048A3F}">
  <dimension ref="A1:K30"/>
  <sheetViews>
    <sheetView zoomScaleNormal="100" workbookViewId="0"/>
  </sheetViews>
  <sheetFormatPr baseColWidth="10" defaultRowHeight="13"/>
  <cols>
    <col min="1" max="1" width="14.83203125" bestFit="1" customWidth="1"/>
    <col min="2" max="2" width="7.83203125" bestFit="1" customWidth="1"/>
    <col min="3" max="3" width="8" bestFit="1" customWidth="1"/>
    <col min="5" max="5" width="3" bestFit="1" customWidth="1"/>
    <col min="6" max="6" width="6" bestFit="1" customWidth="1"/>
    <col min="7" max="7" width="8" bestFit="1" customWidth="1"/>
    <col min="10" max="10" width="9.83203125" bestFit="1" customWidth="1"/>
    <col min="11" max="11" width="13.6640625" bestFit="1" customWidth="1"/>
  </cols>
  <sheetData>
    <row r="1" spans="1:11">
      <c r="A1" s="13" t="s">
        <v>15</v>
      </c>
      <c r="B1" s="2">
        <v>0.05</v>
      </c>
    </row>
    <row r="2" spans="1:11">
      <c r="A2" s="13" t="s">
        <v>32</v>
      </c>
      <c r="B2" s="2">
        <v>0.15</v>
      </c>
    </row>
    <row r="3" spans="1:11">
      <c r="A3" s="13" t="s">
        <v>33</v>
      </c>
      <c r="B3" s="2">
        <v>0.05</v>
      </c>
    </row>
    <row r="4" spans="1:11">
      <c r="A4" s="13" t="s">
        <v>34</v>
      </c>
      <c r="B4" s="14">
        <v>42</v>
      </c>
    </row>
    <row r="5" spans="1:11">
      <c r="A5" s="13" t="s">
        <v>35</v>
      </c>
      <c r="B5" s="14">
        <v>45</v>
      </c>
    </row>
    <row r="6" spans="1:11">
      <c r="C6">
        <f>B7*(1+B2)</f>
        <v>55.544999999999995</v>
      </c>
      <c r="G6">
        <f>F7*(1+B1)</f>
        <v>1.1025</v>
      </c>
    </row>
    <row r="7" spans="1:11">
      <c r="B7">
        <f>A8*(1+B2)</f>
        <v>48.3</v>
      </c>
      <c r="F7">
        <f>E8*(1+B1)</f>
        <v>1.05</v>
      </c>
    </row>
    <row r="8" spans="1:11">
      <c r="A8">
        <f>B4</f>
        <v>42</v>
      </c>
      <c r="C8">
        <f>B7*(1-B3)</f>
        <v>45.884999999999998</v>
      </c>
      <c r="E8">
        <v>1</v>
      </c>
      <c r="G8">
        <f>F7*(1+B1)</f>
        <v>1.1025</v>
      </c>
    </row>
    <row r="9" spans="1:11">
      <c r="B9">
        <f>A8*(1-B3)</f>
        <v>39.9</v>
      </c>
      <c r="F9">
        <f>E8*(1+B1)</f>
        <v>1.05</v>
      </c>
    </row>
    <row r="10" spans="1:11">
      <c r="C10">
        <f>B9*(1-B3)</f>
        <v>37.904999999999994</v>
      </c>
      <c r="G10">
        <f>F9*(1+B1)</f>
        <v>1.1025</v>
      </c>
    </row>
    <row r="12" spans="1:11">
      <c r="A12" s="13" t="s">
        <v>42</v>
      </c>
      <c r="B12" s="13" t="s">
        <v>41</v>
      </c>
      <c r="D12" s="13"/>
      <c r="G12" s="13"/>
      <c r="J12" s="13" t="s">
        <v>36</v>
      </c>
    </row>
    <row r="13" spans="1:11">
      <c r="K13">
        <f>MAX(0,B5-C8)</f>
        <v>0</v>
      </c>
    </row>
    <row r="14" spans="1:11">
      <c r="A14" s="13"/>
      <c r="D14" s="13"/>
      <c r="G14" s="13"/>
      <c r="J14" s="13" t="s">
        <v>21</v>
      </c>
    </row>
    <row r="15" spans="1:11">
      <c r="K15">
        <f>MAX(0,B5-C10)</f>
        <v>7.095000000000006</v>
      </c>
    </row>
    <row r="16" spans="1:11">
      <c r="A16" s="13"/>
      <c r="D16" s="13"/>
      <c r="E16" s="15"/>
      <c r="G16" s="13"/>
      <c r="J16" s="13" t="s">
        <v>22</v>
      </c>
      <c r="K16" s="15">
        <f>(K13-K15)/(C8-C10)</f>
        <v>-0.88909774436090261</v>
      </c>
    </row>
    <row r="17" spans="1:11">
      <c r="A17" s="13"/>
      <c r="D17" s="13"/>
      <c r="G17" s="13"/>
      <c r="J17" s="13" t="s">
        <v>23</v>
      </c>
      <c r="K17">
        <f>(K13-C8*K16)/G8</f>
        <v>37.003401360544231</v>
      </c>
    </row>
    <row r="18" spans="1:11">
      <c r="A18" s="13"/>
      <c r="D18" s="13"/>
      <c r="G18" s="13"/>
      <c r="J18" s="13" t="s">
        <v>21</v>
      </c>
      <c r="K18">
        <f>MAX(K16*B9+K17*F9,B5-B9)</f>
        <v>5.1000000000000014</v>
      </c>
    </row>
    <row r="19" spans="1:11">
      <c r="K19">
        <f>MAX(0,B5-C6)</f>
        <v>0</v>
      </c>
    </row>
    <row r="20" spans="1:11">
      <c r="A20" s="13"/>
      <c r="D20" s="13"/>
      <c r="G20" s="13"/>
      <c r="J20" s="13" t="s">
        <v>21</v>
      </c>
    </row>
    <row r="21" spans="1:11">
      <c r="K21">
        <f>MAX(0,B5-C8)</f>
        <v>0</v>
      </c>
    </row>
    <row r="22" spans="1:11">
      <c r="A22" s="13"/>
      <c r="D22" s="13"/>
      <c r="G22" s="13"/>
      <c r="J22" s="13" t="s">
        <v>22</v>
      </c>
      <c r="K22">
        <f>(K19-K21)/(C6-C8)</f>
        <v>0</v>
      </c>
    </row>
    <row r="23" spans="1:11">
      <c r="A23" s="13"/>
      <c r="D23" s="13"/>
      <c r="G23" s="13"/>
      <c r="J23" s="13" t="s">
        <v>23</v>
      </c>
      <c r="K23">
        <f>(K19-C6*K22)/G6</f>
        <v>0</v>
      </c>
    </row>
    <row r="24" spans="1:11">
      <c r="A24" s="13"/>
      <c r="D24" s="13"/>
      <c r="G24" s="13"/>
      <c r="J24" s="13" t="s">
        <v>21</v>
      </c>
      <c r="K24">
        <f>MAX(K22*B7+K23*F7,B5-B7)</f>
        <v>0</v>
      </c>
    </row>
    <row r="25" spans="1:11">
      <c r="K25">
        <f>K24</f>
        <v>0</v>
      </c>
    </row>
    <row r="26" spans="1:11">
      <c r="A26" s="13"/>
      <c r="D26" s="13"/>
      <c r="G26" s="13"/>
      <c r="J26" s="13" t="s">
        <v>21</v>
      </c>
    </row>
    <row r="27" spans="1:11">
      <c r="K27">
        <f>K18</f>
        <v>5.1000000000000014</v>
      </c>
    </row>
    <row r="28" spans="1:11">
      <c r="A28" s="13"/>
      <c r="D28" s="13"/>
      <c r="G28" s="13"/>
      <c r="J28" s="13" t="s">
        <v>22</v>
      </c>
      <c r="K28">
        <f>(K25-K27)/(B7-B9)</f>
        <v>-0.60714285714285743</v>
      </c>
    </row>
    <row r="29" spans="1:11">
      <c r="A29" s="13"/>
      <c r="D29" s="13"/>
      <c r="G29" s="13"/>
      <c r="J29" s="13" t="s">
        <v>23</v>
      </c>
      <c r="K29">
        <f>(K25-B7*K28)/F7</f>
        <v>27.928571428571441</v>
      </c>
    </row>
    <row r="30" spans="1:11">
      <c r="A30" s="13"/>
      <c r="B30" s="18"/>
      <c r="D30" s="13"/>
      <c r="G30" s="13"/>
      <c r="H30" s="18"/>
      <c r="J30" s="13" t="s">
        <v>21</v>
      </c>
      <c r="K30">
        <f>MAX(K28*A8+K29*E8,B5-A8)</f>
        <v>3</v>
      </c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0579C-1CD9-034E-86F6-0731CFE1A6D9}">
  <dimension ref="A1:E29"/>
  <sheetViews>
    <sheetView zoomScaleNormal="100" workbookViewId="0">
      <selection activeCell="B30" sqref="B30"/>
    </sheetView>
  </sheetViews>
  <sheetFormatPr baseColWidth="10" defaultRowHeight="13"/>
  <cols>
    <col min="2" max="2" width="14.6640625" bestFit="1" customWidth="1"/>
  </cols>
  <sheetData>
    <row r="1" spans="1:5">
      <c r="A1" s="13" t="s">
        <v>13</v>
      </c>
      <c r="B1">
        <v>25</v>
      </c>
    </row>
    <row r="2" spans="1:5">
      <c r="A2" s="13" t="s">
        <v>14</v>
      </c>
      <c r="B2">
        <v>1</v>
      </c>
    </row>
    <row r="3" spans="1:5">
      <c r="A3" s="13" t="s">
        <v>15</v>
      </c>
      <c r="B3" s="2">
        <v>0.03</v>
      </c>
    </row>
    <row r="4" spans="1:5">
      <c r="A4" s="13" t="s">
        <v>44</v>
      </c>
      <c r="B4" s="2">
        <v>0.5</v>
      </c>
    </row>
    <row r="5" spans="1:5">
      <c r="A5" s="13" t="s">
        <v>32</v>
      </c>
      <c r="B5" s="20">
        <f>EXP(B4)-1</f>
        <v>0.64872127070012819</v>
      </c>
    </row>
    <row r="6" spans="1:5">
      <c r="A6" s="13" t="s">
        <v>33</v>
      </c>
      <c r="B6" s="21">
        <f>EXP(-B4)-1</f>
        <v>-0.39346934028736658</v>
      </c>
    </row>
    <row r="7" spans="1:5">
      <c r="A7" s="13" t="s">
        <v>20</v>
      </c>
      <c r="B7">
        <v>30</v>
      </c>
    </row>
    <row r="9" spans="1:5">
      <c r="A9" s="13" t="s">
        <v>18</v>
      </c>
    </row>
    <row r="10" spans="1:5">
      <c r="B10">
        <f>A11*(1+B5)</f>
        <v>41.218031767503206</v>
      </c>
      <c r="E10">
        <f>(1+B3)*D11</f>
        <v>1.03</v>
      </c>
    </row>
    <row r="11" spans="1:5">
      <c r="A11">
        <f>B1</f>
        <v>25</v>
      </c>
      <c r="D11">
        <v>1</v>
      </c>
    </row>
    <row r="12" spans="1:5">
      <c r="B12">
        <f>A11*(1+B6)</f>
        <v>15.163266492815836</v>
      </c>
      <c r="E12">
        <f>(1+B3)*D11</f>
        <v>1.03</v>
      </c>
    </row>
    <row r="13" spans="1:5">
      <c r="B13">
        <f>B10-B7</f>
        <v>11.218031767503206</v>
      </c>
    </row>
    <row r="14" spans="1:5">
      <c r="A14" s="13" t="s">
        <v>19</v>
      </c>
      <c r="D14" s="13"/>
    </row>
    <row r="15" spans="1:5">
      <c r="B15" s="13">
        <v>0</v>
      </c>
    </row>
    <row r="16" spans="1:5">
      <c r="A16" s="13" t="s">
        <v>22</v>
      </c>
      <c r="B16">
        <f>(B13-B15)/(B10-B12)</f>
        <v>0.43055585606836028</v>
      </c>
    </row>
    <row r="17" spans="1:2">
      <c r="A17" s="13" t="s">
        <v>23</v>
      </c>
      <c r="B17">
        <f>(B15-B12*B16)/E12</f>
        <v>-6.3384788209776755</v>
      </c>
    </row>
    <row r="18" spans="1:2">
      <c r="A18" s="13" t="s">
        <v>19</v>
      </c>
      <c r="B18">
        <f>B16*A11+B17</f>
        <v>4.425417580731331</v>
      </c>
    </row>
    <row r="20" spans="1:2">
      <c r="A20" s="13" t="s">
        <v>24</v>
      </c>
    </row>
    <row r="21" spans="1:2">
      <c r="B21">
        <f>0</f>
        <v>0</v>
      </c>
    </row>
    <row r="22" spans="1:2">
      <c r="A22" s="13" t="s">
        <v>21</v>
      </c>
    </row>
    <row r="23" spans="1:2">
      <c r="B23">
        <f>B7-B12</f>
        <v>14.836733507184164</v>
      </c>
    </row>
    <row r="24" spans="1:2">
      <c r="A24" s="13" t="s">
        <v>22</v>
      </c>
      <c r="B24">
        <f>-B23/(B10-B12)</f>
        <v>-0.56944414393163978</v>
      </c>
    </row>
    <row r="25" spans="1:2">
      <c r="A25" s="13" t="s">
        <v>23</v>
      </c>
      <c r="B25">
        <f>-B10*B24/E12</f>
        <v>22.787734771255337</v>
      </c>
    </row>
    <row r="26" spans="1:2">
      <c r="A26" s="13" t="s">
        <v>21</v>
      </c>
      <c r="B26">
        <f>B24*A11+B25</f>
        <v>8.5516311729643419</v>
      </c>
    </row>
    <row r="28" spans="1:2">
      <c r="A28" s="13" t="s">
        <v>26</v>
      </c>
    </row>
    <row r="29" spans="1:2">
      <c r="A29" s="13" t="s">
        <v>25</v>
      </c>
      <c r="B29">
        <f>B18+B7/E12-B1</f>
        <v>8.5516311729643348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EoC Exercise 1 Template</vt:lpstr>
      <vt:lpstr>EoC Exercise 2 Template</vt:lpstr>
      <vt:lpstr>EoC Exercise 3 Template</vt:lpstr>
      <vt:lpstr>EoC Exercise 4 Template</vt:lpstr>
      <vt:lpstr>EoC Exercise 5 Template</vt:lpstr>
      <vt:lpstr>EoC Exercise 6 Template</vt:lpstr>
      <vt:lpstr>EoC Exercise 7 Template</vt:lpstr>
      <vt:lpstr>EoC Exercise 8 Template</vt:lpstr>
      <vt:lpstr>EoC Exercise 9 Template</vt:lpstr>
      <vt:lpstr>EoC Exercise 10 Template</vt:lpstr>
      <vt:lpstr>EoC Exercise 11 Template</vt:lpstr>
      <vt:lpstr>EoC Exercise 12 Template</vt:lpstr>
      <vt:lpstr>EoC Exercise 13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benninga</dc:creator>
  <cp:lastModifiedBy>天强 帅</cp:lastModifiedBy>
  <cp:lastPrinted>1997-04-26T18:50:38Z</cp:lastPrinted>
  <dcterms:created xsi:type="dcterms:W3CDTF">1997-05-27T07:04:02Z</dcterms:created>
  <dcterms:modified xsi:type="dcterms:W3CDTF">2023-12-18T16:39:29Z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PFE3_Ch20_student materials.xlsm</vt:lpwstr>
  </property>
</Properties>
</file>