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61BB3848-D853-BD4F-BC90-340F5FEF2727}" xr6:coauthVersionLast="47" xr6:coauthVersionMax="47" xr10:uidLastSave="{00000000-0000-0000-0000-000000000000}"/>
  <bookViews>
    <workbookView xWindow="4340" yWindow="500" windowWidth="24460" windowHeight="16060" activeTab="2" xr2:uid="{00000000-000D-0000-FFFF-FFFF00000000}"/>
  </bookViews>
  <sheets>
    <sheet name="Exercise1 template" sheetId="4" r:id="rId1"/>
    <sheet name="Excercise2 template" sheetId="6" r:id="rId2"/>
    <sheet name="Exercise3 template" sheetId="8" r:id="rId3"/>
    <sheet name="Exercise4 template" sheetId="9" r:id="rId4"/>
  </sheets>
  <functionGroups builtInGroupCount="19"/>
  <definedNames>
    <definedName name="solver_adj" localSheetId="2" hidden="1">'Exercise3 template'!$B$20</definedName>
    <definedName name="solver_adj" localSheetId="3" hidden="1">'Exercise4 template'!$B$41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'Exercise3 template'!$B$23</definedName>
    <definedName name="solver_lhs1" localSheetId="3" hidden="1">'Exercise4 template'!$B$41</definedName>
    <definedName name="solver_lhs2" localSheetId="3" hidden="1">'Exercise4 template'!$B$41</definedName>
    <definedName name="solver_lin" localSheetId="2" hidden="1">2</definedName>
    <definedName name="solver_lin" localSheetId="3" hidden="1">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1</definedName>
    <definedName name="solver_num" localSheetId="3" hidden="1">2</definedName>
    <definedName name="solver_opt" localSheetId="2" hidden="1">'Exercise3 template'!$B$25</definedName>
    <definedName name="solver_opt" localSheetId="3" hidden="1">'Exercise4 template'!$B$42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3</definedName>
    <definedName name="solver_rel1" localSheetId="3" hidden="1">1</definedName>
    <definedName name="solver_rel2" localSheetId="3" hidden="1">3</definedName>
    <definedName name="solver_rhs1" localSheetId="2" hidden="1">0.18</definedName>
    <definedName name="solver_rhs1" localSheetId="3" hidden="1">0</definedName>
    <definedName name="solver_rhs2" localSheetId="3" hidden="1">-10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3</definedName>
    <definedName name="solver_val" localSheetId="2" hidden="1">0</definedName>
    <definedName name="solver_val" localSheetId="3" hidden="1">0</definedName>
    <definedName name="solver_ver" localSheetId="2" hidden="1">2</definedName>
    <definedName name="solver_ver" localSheetId="3" hidden="1">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9" l="1"/>
  <c r="B38" i="9"/>
  <c r="B2" i="9"/>
  <c r="B5" i="9" s="1"/>
  <c r="B21" i="8"/>
  <c r="B24" i="8" s="1"/>
  <c r="B25" i="8" s="1"/>
  <c r="B10" i="4"/>
  <c r="B13" i="8"/>
  <c r="B16" i="8" s="1"/>
  <c r="B17" i="8" s="1"/>
  <c r="B7" i="6"/>
  <c r="B8" i="6" s="1"/>
  <c r="B6" i="6"/>
  <c r="B5" i="6"/>
  <c r="C6" i="6"/>
  <c r="C8" i="6"/>
  <c r="C13" i="8"/>
  <c r="C7" i="6"/>
  <c r="C12" i="6"/>
  <c r="C17" i="8"/>
  <c r="C16" i="8"/>
  <c r="C15" i="8"/>
  <c r="C10" i="4"/>
  <c r="B23" i="8" l="1"/>
  <c r="B9" i="6"/>
  <c r="B15" i="8"/>
  <c r="B10" i="6" l="1"/>
  <c r="B12" i="6" s="1"/>
</calcChain>
</file>

<file path=xl/sharedStrings.xml><?xml version="1.0" encoding="utf-8"?>
<sst xmlns="http://schemas.openxmlformats.org/spreadsheetml/2006/main" count="37" uniqueCount="25">
  <si>
    <t>Discount rate</t>
  </si>
  <si>
    <t>Year</t>
  </si>
  <si>
    <t>Cash flow</t>
  </si>
  <si>
    <t>Present value</t>
  </si>
  <si>
    <t>Year 1 cash flow</t>
  </si>
  <si>
    <t>Cash flow growth rate</t>
  </si>
  <si>
    <t>Internal rate of return</t>
  </si>
  <si>
    <t>Stock A</t>
  </si>
  <si>
    <r>
      <t>Expected return E(r</t>
    </r>
    <r>
      <rPr>
        <vertAlign val="subscript"/>
        <sz val="11"/>
        <color theme="1"/>
        <rFont val="宋体"/>
        <family val="2"/>
        <scheme val="minor"/>
      </rPr>
      <t>A</t>
    </r>
    <r>
      <rPr>
        <sz val="11"/>
        <color theme="1"/>
        <rFont val="宋体"/>
        <family val="2"/>
        <scheme val="minor"/>
      </rPr>
      <t>)</t>
    </r>
  </si>
  <si>
    <r>
      <t xml:space="preserve">Return standard deviation,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宋体"/>
        <family val="2"/>
        <scheme val="minor"/>
      </rPr>
      <t>A</t>
    </r>
  </si>
  <si>
    <t>Stock B</t>
  </si>
  <si>
    <r>
      <t>Expected return E(r</t>
    </r>
    <r>
      <rPr>
        <vertAlign val="subscript"/>
        <sz val="11"/>
        <color theme="1"/>
        <rFont val="宋体"/>
        <family val="2"/>
        <scheme val="minor"/>
      </rPr>
      <t>B</t>
    </r>
    <r>
      <rPr>
        <sz val="11"/>
        <color theme="1"/>
        <rFont val="宋体"/>
        <family val="2"/>
        <scheme val="minor"/>
      </rPr>
      <t>)</t>
    </r>
  </si>
  <si>
    <r>
      <t xml:space="preserve">Return standard deviation,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宋体"/>
        <family val="2"/>
        <scheme val="minor"/>
      </rPr>
      <t>B</t>
    </r>
  </si>
  <si>
    <r>
      <t xml:space="preserve">Correlation of A and B returns, </t>
    </r>
    <r>
      <rPr>
        <sz val="11"/>
        <color theme="1"/>
        <rFont val="Symbol"/>
        <family val="1"/>
        <charset val="2"/>
      </rPr>
      <t>r</t>
    </r>
  </si>
  <si>
    <t>Portfolio</t>
  </si>
  <si>
    <r>
      <t>Proportion of A, x</t>
    </r>
    <r>
      <rPr>
        <vertAlign val="subscript"/>
        <sz val="11"/>
        <color theme="1"/>
        <rFont val="宋体"/>
        <family val="2"/>
        <scheme val="minor"/>
      </rPr>
      <t>A</t>
    </r>
  </si>
  <si>
    <r>
      <t>Proportion of B, x</t>
    </r>
    <r>
      <rPr>
        <vertAlign val="subscript"/>
        <sz val="11"/>
        <color theme="1"/>
        <rFont val="宋体"/>
        <family val="2"/>
        <scheme val="minor"/>
      </rPr>
      <t>B</t>
    </r>
  </si>
  <si>
    <r>
      <t xml:space="preserve">Portfolio expected return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宋体"/>
        <family val="2"/>
        <scheme val="minor"/>
      </rPr>
      <t>p</t>
    </r>
  </si>
  <si>
    <r>
      <t>Portfolio expected return E(r</t>
    </r>
    <r>
      <rPr>
        <vertAlign val="subscript"/>
        <sz val="11"/>
        <color theme="1"/>
        <rFont val="宋体"/>
        <family val="2"/>
        <scheme val="minor"/>
      </rPr>
      <t>p</t>
    </r>
    <r>
      <rPr>
        <sz val="11"/>
        <color theme="1"/>
        <rFont val="宋体"/>
        <family val="2"/>
        <scheme val="minor"/>
      </rPr>
      <t>)</t>
    </r>
  </si>
  <si>
    <r>
      <t xml:space="preserve">Portfolio variance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宋体"/>
        <family val="2"/>
        <scheme val="minor"/>
      </rPr>
      <t>p</t>
    </r>
    <r>
      <rPr>
        <vertAlign val="superscript"/>
        <sz val="11"/>
        <color theme="1"/>
        <rFont val="宋体"/>
        <family val="2"/>
        <scheme val="minor"/>
      </rPr>
      <t>2</t>
    </r>
  </si>
  <si>
    <t>Section b.</t>
    <phoneticPr fontId="6" type="noConversion"/>
  </si>
  <si>
    <t>x</t>
    <phoneticPr fontId="6" type="noConversion"/>
  </si>
  <si>
    <t>y</t>
    <phoneticPr fontId="6" type="noConversion"/>
  </si>
  <si>
    <t>Section a.</t>
    <phoneticPr fontId="6" type="noConversion"/>
  </si>
  <si>
    <t>Section c.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</si>
</sst>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%"/>
    <numFmt numFmtId="177" formatCode="0.0000"/>
  </numFmts>
  <fonts count="7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vertAlign val="subscript"/>
      <sz val="11"/>
      <color theme="1"/>
      <name val="宋体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0" applyNumberFormat="1"/>
    <xf numFmtId="10" fontId="0" fillId="0" borderId="0" xfId="0" applyNumberFormat="1"/>
    <xf numFmtId="4" fontId="0" fillId="0" borderId="0" xfId="0" applyNumberFormat="1"/>
    <xf numFmtId="10" fontId="2" fillId="0" borderId="0" xfId="0" applyNumberFormat="1" applyFont="1" applyAlignment="1">
      <alignment horizontal="center"/>
    </xf>
    <xf numFmtId="0" fontId="2" fillId="0" borderId="0" xfId="0" applyFont="1"/>
    <xf numFmtId="10" fontId="0" fillId="0" borderId="0" xfId="1" applyNumberFormat="1" applyFont="1"/>
    <xf numFmtId="176" fontId="0" fillId="0" borderId="0" xfId="0" applyNumberFormat="1"/>
    <xf numFmtId="177" fontId="0" fillId="0" borderId="0" xfId="0" applyNumberForma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'Exercise4 template'!$A$6:$A$34</c:f>
              <c:numCache>
                <c:formatCode>General</c:formatCode>
                <c:ptCount val="29"/>
                <c:pt idx="0">
                  <c:v>-4</c:v>
                </c:pt>
                <c:pt idx="1">
                  <c:v>-3.75</c:v>
                </c:pt>
                <c:pt idx="2">
                  <c:v>-3.5</c:v>
                </c:pt>
                <c:pt idx="3">
                  <c:v>-3.25</c:v>
                </c:pt>
                <c:pt idx="4">
                  <c:v>-3</c:v>
                </c:pt>
                <c:pt idx="5">
                  <c:v>-2.75</c:v>
                </c:pt>
                <c:pt idx="6">
                  <c:v>-2.5</c:v>
                </c:pt>
                <c:pt idx="7">
                  <c:v>-2.25</c:v>
                </c:pt>
                <c:pt idx="8">
                  <c:v>-2</c:v>
                </c:pt>
                <c:pt idx="9">
                  <c:v>-1.75</c:v>
                </c:pt>
                <c:pt idx="10">
                  <c:v>-1.5</c:v>
                </c:pt>
                <c:pt idx="11">
                  <c:v>-1.25</c:v>
                </c:pt>
                <c:pt idx="12">
                  <c:v>-1</c:v>
                </c:pt>
                <c:pt idx="13">
                  <c:v>-0.75</c:v>
                </c:pt>
                <c:pt idx="14">
                  <c:v>-0.5</c:v>
                </c:pt>
                <c:pt idx="15">
                  <c:v>-0.25</c:v>
                </c:pt>
                <c:pt idx="16">
                  <c:v>0</c:v>
                </c:pt>
                <c:pt idx="17">
                  <c:v>0.25</c:v>
                </c:pt>
                <c:pt idx="18">
                  <c:v>0.5</c:v>
                </c:pt>
                <c:pt idx="19">
                  <c:v>0.75</c:v>
                </c:pt>
                <c:pt idx="20">
                  <c:v>1</c:v>
                </c:pt>
                <c:pt idx="21">
                  <c:v>1.25</c:v>
                </c:pt>
                <c:pt idx="22">
                  <c:v>1.5</c:v>
                </c:pt>
                <c:pt idx="23">
                  <c:v>1.75</c:v>
                </c:pt>
                <c:pt idx="24">
                  <c:v>2</c:v>
                </c:pt>
                <c:pt idx="25">
                  <c:v>2.25</c:v>
                </c:pt>
                <c:pt idx="26">
                  <c:v>2.5</c:v>
                </c:pt>
                <c:pt idx="27">
                  <c:v>2.75</c:v>
                </c:pt>
                <c:pt idx="28">
                  <c:v>3</c:v>
                </c:pt>
              </c:numCache>
            </c:numRef>
          </c:xVal>
          <c:yVal>
            <c:numRef>
              <c:f>'Exercise4 template'!$B$6:$B$34</c:f>
              <c:numCache>
                <c:formatCode>General</c:formatCode>
                <c:ptCount val="29"/>
                <c:pt idx="0">
                  <c:v>-10</c:v>
                </c:pt>
                <c:pt idx="1">
                  <c:v>-6.625</c:v>
                </c:pt>
                <c:pt idx="2">
                  <c:v>-3.5</c:v>
                </c:pt>
                <c:pt idx="3">
                  <c:v>-0.625</c:v>
                </c:pt>
                <c:pt idx="4">
                  <c:v>2</c:v>
                </c:pt>
                <c:pt idx="5">
                  <c:v>4.375</c:v>
                </c:pt>
                <c:pt idx="6">
                  <c:v>6.5</c:v>
                </c:pt>
                <c:pt idx="7">
                  <c:v>8.375</c:v>
                </c:pt>
                <c:pt idx="8">
                  <c:v>10</c:v>
                </c:pt>
                <c:pt idx="9">
                  <c:v>11.375</c:v>
                </c:pt>
                <c:pt idx="10">
                  <c:v>12.5</c:v>
                </c:pt>
                <c:pt idx="11">
                  <c:v>13.375</c:v>
                </c:pt>
                <c:pt idx="12">
                  <c:v>14</c:v>
                </c:pt>
                <c:pt idx="13">
                  <c:v>14.375</c:v>
                </c:pt>
                <c:pt idx="14">
                  <c:v>14.5</c:v>
                </c:pt>
                <c:pt idx="15">
                  <c:v>14.375</c:v>
                </c:pt>
                <c:pt idx="16">
                  <c:v>14</c:v>
                </c:pt>
                <c:pt idx="17">
                  <c:v>13.375</c:v>
                </c:pt>
                <c:pt idx="18">
                  <c:v>12.5</c:v>
                </c:pt>
                <c:pt idx="19">
                  <c:v>11.375</c:v>
                </c:pt>
                <c:pt idx="20">
                  <c:v>10</c:v>
                </c:pt>
                <c:pt idx="21">
                  <c:v>8.375</c:v>
                </c:pt>
                <c:pt idx="22">
                  <c:v>6.5</c:v>
                </c:pt>
                <c:pt idx="23">
                  <c:v>4.375</c:v>
                </c:pt>
                <c:pt idx="24">
                  <c:v>2</c:v>
                </c:pt>
                <c:pt idx="25">
                  <c:v>-0.625</c:v>
                </c:pt>
                <c:pt idx="26">
                  <c:v>-3.5</c:v>
                </c:pt>
                <c:pt idx="27">
                  <c:v>-6.625</c:v>
                </c:pt>
                <c:pt idx="28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3-ED4B-ACFD-BDCEFD9A0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522800"/>
        <c:axId val="1742591872"/>
      </c:scatterChart>
      <c:valAx>
        <c:axId val="174252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2591872"/>
        <c:crosses val="autoZero"/>
        <c:crossBetween val="midCat"/>
      </c:valAx>
      <c:valAx>
        <c:axId val="17425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252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364290</xdr:colOff>
      <xdr:row>4</xdr:row>
      <xdr:rowOff>38768</xdr:rowOff>
    </xdr:from>
    <xdr:to>
      <xdr:col>7</xdr:col>
      <xdr:colOff>588210</xdr:colOff>
      <xdr:row>18</xdr:row>
      <xdr:rowOff>133016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5C70187-E1BF-862C-CB73-1E717E0FA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0"/>
  <sheetViews>
    <sheetView workbookViewId="0">
      <selection activeCell="B11" sqref="B11"/>
    </sheetView>
  </sheetViews>
  <sheetFormatPr baseColWidth="10" defaultColWidth="8.83203125" defaultRowHeight="14" outlineLevelCol="4"/>
  <cols>
    <col min="1" max="1" width="11.5" bestFit="1" customWidth="1"/>
    <col min="2" max="2" width="10" bestFit="1" customWidth="1" outlineLevel="4" collapsed="1"/>
    <col min="3" max="3" width="16.5" bestFit="1" customWidth="1"/>
  </cols>
  <sheetData>
    <row r="1" spans="1:3">
      <c r="A1" t="s">
        <v>0</v>
      </c>
      <c r="B1" s="4">
        <v>0.19538196794849233</v>
      </c>
    </row>
    <row r="3" spans="1:3">
      <c r="A3" s="6" t="s">
        <v>1</v>
      </c>
      <c r="B3" s="2" t="s">
        <v>2</v>
      </c>
    </row>
    <row r="4" spans="1:3">
      <c r="A4" s="1">
        <v>1</v>
      </c>
      <c r="B4">
        <v>100</v>
      </c>
    </row>
    <row r="5" spans="1:3">
      <c r="A5" s="1">
        <v>2</v>
      </c>
      <c r="B5">
        <v>200</v>
      </c>
    </row>
    <row r="6" spans="1:3">
      <c r="A6" s="1">
        <v>3</v>
      </c>
      <c r="B6">
        <v>300</v>
      </c>
    </row>
    <row r="7" spans="1:3">
      <c r="A7" s="1">
        <v>4</v>
      </c>
      <c r="B7">
        <v>400</v>
      </c>
    </row>
    <row r="8" spans="1:3">
      <c r="A8" s="1">
        <v>5</v>
      </c>
      <c r="B8">
        <v>500</v>
      </c>
    </row>
    <row r="10" spans="1:3">
      <c r="A10" t="s">
        <v>3</v>
      </c>
      <c r="B10" s="5">
        <f>NPV(B1,B4:B8)</f>
        <v>800.0000311700104</v>
      </c>
      <c r="C10" t="str">
        <f ca="1">getformula(B10)</f>
        <v>&lt;--  =NPV(B1,B4:B8)</v>
      </c>
    </row>
  </sheetData>
  <phoneticPr fontId="6" type="noConversion"/>
  <printOptions headings="1" gridLines="1"/>
  <pageMargins left="0.7" right="0.7" top="0.75" bottom="0.75" header="0.3" footer="0.3"/>
  <pageSetup orientation="portrait" verticalDpi="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2"/>
  <sheetViews>
    <sheetView zoomScaleNormal="100" workbookViewId="0">
      <selection activeCell="B3" sqref="B3"/>
    </sheetView>
  </sheetViews>
  <sheetFormatPr baseColWidth="10" defaultColWidth="8.83203125" defaultRowHeight="14" outlineLevelCol="4"/>
  <cols>
    <col min="1" max="1" width="18.33203125" bestFit="1" customWidth="1"/>
    <col min="2" max="2" width="8.83203125" outlineLevel="4" collapsed="1"/>
    <col min="3" max="3" width="15" bestFit="1" customWidth="1"/>
  </cols>
  <sheetData>
    <row r="1" spans="1:3">
      <c r="A1" t="s">
        <v>4</v>
      </c>
      <c r="B1" s="5">
        <v>100</v>
      </c>
    </row>
    <row r="2" spans="1:3">
      <c r="A2" t="s">
        <v>5</v>
      </c>
      <c r="B2" s="4">
        <v>0.15240046898129378</v>
      </c>
    </row>
    <row r="4" spans="1:3" s="2" customFormat="1">
      <c r="A4" s="2" t="s">
        <v>1</v>
      </c>
      <c r="B4" s="2" t="s">
        <v>2</v>
      </c>
    </row>
    <row r="5" spans="1:3">
      <c r="A5" s="1">
        <v>0</v>
      </c>
      <c r="B5" s="5">
        <f>-500</f>
        <v>-500</v>
      </c>
    </row>
    <row r="6" spans="1:3">
      <c r="A6" s="1">
        <v>1</v>
      </c>
      <c r="B6" s="5">
        <f>B1</f>
        <v>100</v>
      </c>
      <c r="C6" t="str">
        <f ca="1">getformula(B6)</f>
        <v>&lt;--  =B1</v>
      </c>
    </row>
    <row r="7" spans="1:3">
      <c r="A7" s="1">
        <v>2</v>
      </c>
      <c r="B7" s="5">
        <f>B6*(1+$B$2)</f>
        <v>115.24004689812939</v>
      </c>
      <c r="C7" t="str">
        <f ca="1">getformula(B7)</f>
        <v>&lt;--  =B6*(1+$B$2)</v>
      </c>
    </row>
    <row r="8" spans="1:3">
      <c r="A8" s="1">
        <v>3</v>
      </c>
      <c r="B8" s="5">
        <f t="shared" ref="B8:B10" si="0">B7*(1+$B$2)</f>
        <v>132.80268409083061</v>
      </c>
      <c r="C8" t="str">
        <f ca="1">getformula(B8)</f>
        <v>&lt;--  =B7*(1+$B$2)</v>
      </c>
    </row>
    <row r="9" spans="1:3">
      <c r="A9" s="1">
        <v>4</v>
      </c>
      <c r="B9" s="5">
        <f t="shared" si="0"/>
        <v>153.04187542824781</v>
      </c>
    </row>
    <row r="10" spans="1:3">
      <c r="A10" s="1">
        <v>5</v>
      </c>
      <c r="B10" s="5">
        <f t="shared" si="0"/>
        <v>176.36552901728953</v>
      </c>
    </row>
    <row r="12" spans="1:3">
      <c r="A12" t="s">
        <v>6</v>
      </c>
      <c r="B12" s="4">
        <f>IRR(B5:B10)</f>
        <v>9.9974534873956467E-2</v>
      </c>
      <c r="C12" t="str">
        <f ca="1">getformula(B12)</f>
        <v>&lt;--  =IRR(B5:B10)</v>
      </c>
    </row>
  </sheetData>
  <phoneticPr fontId="6" type="noConversion"/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25"/>
  <sheetViews>
    <sheetView tabSelected="1" zoomScaleNormal="100" workbookViewId="0">
      <selection activeCell="E28" sqref="E28"/>
    </sheetView>
  </sheetViews>
  <sheetFormatPr baseColWidth="10" defaultColWidth="8.83203125" defaultRowHeight="14"/>
  <cols>
    <col min="1" max="1" width="37.6640625" bestFit="1" customWidth="1"/>
    <col min="3" max="3" width="45" bestFit="1" customWidth="1"/>
  </cols>
  <sheetData>
    <row r="1" spans="1:3">
      <c r="A1" s="7" t="s">
        <v>7</v>
      </c>
    </row>
    <row r="2" spans="1:3" ht="16">
      <c r="A2" t="s">
        <v>8</v>
      </c>
      <c r="B2" s="3">
        <v>0.12</v>
      </c>
    </row>
    <row r="3" spans="1:3" ht="16">
      <c r="A3" t="s">
        <v>9</v>
      </c>
      <c r="B3" s="3">
        <v>0.15</v>
      </c>
    </row>
    <row r="5" spans="1:3">
      <c r="A5" s="7" t="s">
        <v>10</v>
      </c>
    </row>
    <row r="6" spans="1:3" ht="16">
      <c r="A6" t="s">
        <v>11</v>
      </c>
      <c r="B6" s="3">
        <v>0.22</v>
      </c>
    </row>
    <row r="7" spans="1:3" ht="16">
      <c r="A7" t="s">
        <v>12</v>
      </c>
      <c r="B7" s="3">
        <v>0.25</v>
      </c>
    </row>
    <row r="9" spans="1:3">
      <c r="A9" t="s">
        <v>13</v>
      </c>
      <c r="B9">
        <v>0.5</v>
      </c>
    </row>
    <row r="11" spans="1:3">
      <c r="A11" s="7" t="s">
        <v>14</v>
      </c>
    </row>
    <row r="12" spans="1:3" ht="16">
      <c r="A12" t="s">
        <v>15</v>
      </c>
      <c r="B12" s="4">
        <v>0.92105263161831907</v>
      </c>
    </row>
    <row r="13" spans="1:3" ht="16">
      <c r="A13" t="s">
        <v>16</v>
      </c>
      <c r="B13" s="8">
        <f>1-B12</f>
        <v>7.8947368381680927E-2</v>
      </c>
      <c r="C13" t="str">
        <f ca="1">getformula(B13)</f>
        <v>&lt;--  =1-B12</v>
      </c>
    </row>
    <row r="15" spans="1:3" ht="16">
      <c r="A15" t="s">
        <v>18</v>
      </c>
      <c r="B15" s="9">
        <f>B12*B2+B13*B6</f>
        <v>0.1278947368381681</v>
      </c>
      <c r="C15" t="str">
        <f ca="1">getformula(B15)</f>
        <v>&lt;--  =B12*B2+B13*B6</v>
      </c>
    </row>
    <row r="16" spans="1:3" ht="17">
      <c r="A16" t="s">
        <v>19</v>
      </c>
      <c r="B16" s="10">
        <f>B12^2*B3^2+B13^2*B7^2+2*B9*B12*B13*B3*B7</f>
        <v>2.2203947368421052E-2</v>
      </c>
      <c r="C16" t="str">
        <f t="shared" ref="C16:C17" ca="1" si="0">getformula(B16)</f>
        <v>&lt;--  =B12^2*B3^2+B13^2*B7^2+2*B9*B12*B13*B3*B7</v>
      </c>
    </row>
    <row r="17" spans="1:3" ht="16">
      <c r="A17" t="s">
        <v>17</v>
      </c>
      <c r="B17" s="8">
        <f>SQRT(B16)</f>
        <v>0.14900989016981742</v>
      </c>
      <c r="C17" t="str">
        <f t="shared" ca="1" si="0"/>
        <v>&lt;--  =SQRT(B16)</v>
      </c>
    </row>
    <row r="19" spans="1:3">
      <c r="A19" t="s">
        <v>20</v>
      </c>
    </row>
    <row r="20" spans="1:3" ht="16">
      <c r="A20" t="s">
        <v>15</v>
      </c>
      <c r="B20" s="4">
        <v>0.39999999999999997</v>
      </c>
    </row>
    <row r="21" spans="1:3" ht="16">
      <c r="A21" t="s">
        <v>16</v>
      </c>
      <c r="B21" s="8">
        <f>1-B20</f>
        <v>0.60000000000000009</v>
      </c>
    </row>
    <row r="23" spans="1:3" ht="16">
      <c r="A23" t="s">
        <v>18</v>
      </c>
      <c r="B23" s="9">
        <f>B20*B2+B21*B6</f>
        <v>0.18000000000000002</v>
      </c>
    </row>
    <row r="24" spans="1:3" ht="17">
      <c r="A24" t="s">
        <v>19</v>
      </c>
      <c r="B24" s="10">
        <f>B20^2*B3^2+B21^2*B7^2+2*B9*B20*B21*B3*B7</f>
        <v>3.5100000000000006E-2</v>
      </c>
    </row>
    <row r="25" spans="1:3" ht="16">
      <c r="A25" t="s">
        <v>17</v>
      </c>
      <c r="B25" s="8">
        <f>SQRT(B24)</f>
        <v>0.18734993995195195</v>
      </c>
    </row>
  </sheetData>
  <phoneticPr fontId="6" type="noConversion"/>
  <pageMargins left="0.7" right="0.7" top="0.75" bottom="0.75" header="0.3" footer="0.3"/>
  <pageSetup orientation="portrait" verticalDpi="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9AB1-EF84-1843-8FD8-B9CBF7697396}">
  <dimension ref="A1:B42"/>
  <sheetViews>
    <sheetView zoomScaleNormal="100" workbookViewId="0">
      <selection activeCell="B42" sqref="B42"/>
    </sheetView>
  </sheetViews>
  <sheetFormatPr baseColWidth="10" defaultRowHeight="14"/>
  <sheetData>
    <row r="1" spans="1:2">
      <c r="A1" t="s">
        <v>21</v>
      </c>
      <c r="B1">
        <v>0</v>
      </c>
    </row>
    <row r="2" spans="1:2">
      <c r="A2" t="s">
        <v>22</v>
      </c>
      <c r="B2">
        <f>-2*B1^2-2*B1+14</f>
        <v>14</v>
      </c>
    </row>
    <row r="4" spans="1:2">
      <c r="A4" t="s">
        <v>23</v>
      </c>
    </row>
    <row r="5" spans="1:2">
      <c r="B5">
        <f>B2</f>
        <v>14</v>
      </c>
    </row>
    <row r="6" spans="1:2">
      <c r="A6">
        <v>-4</v>
      </c>
      <c r="B6">
        <f t="dataTable" ref="B6:B34" dt2D="0" dtr="0" r1="B1"/>
        <v>-10</v>
      </c>
    </row>
    <row r="7" spans="1:2">
      <c r="A7">
        <v>-3.75</v>
      </c>
      <c r="B7">
        <v>-6.625</v>
      </c>
    </row>
    <row r="8" spans="1:2">
      <c r="A8">
        <v>-3.5</v>
      </c>
      <c r="B8">
        <v>-3.5</v>
      </c>
    </row>
    <row r="9" spans="1:2">
      <c r="A9">
        <v>-3.25</v>
      </c>
      <c r="B9">
        <v>-0.625</v>
      </c>
    </row>
    <row r="10" spans="1:2">
      <c r="A10">
        <v>-3</v>
      </c>
      <c r="B10">
        <v>2</v>
      </c>
    </row>
    <row r="11" spans="1:2">
      <c r="A11">
        <v>-2.75</v>
      </c>
      <c r="B11">
        <v>4.375</v>
      </c>
    </row>
    <row r="12" spans="1:2">
      <c r="A12">
        <v>-2.5</v>
      </c>
      <c r="B12">
        <v>6.5</v>
      </c>
    </row>
    <row r="13" spans="1:2">
      <c r="A13">
        <v>-2.25</v>
      </c>
      <c r="B13">
        <v>8.375</v>
      </c>
    </row>
    <row r="14" spans="1:2">
      <c r="A14">
        <v>-2</v>
      </c>
      <c r="B14">
        <v>10</v>
      </c>
    </row>
    <row r="15" spans="1:2">
      <c r="A15">
        <v>-1.75</v>
      </c>
      <c r="B15">
        <v>11.375</v>
      </c>
    </row>
    <row r="16" spans="1:2">
      <c r="A16">
        <v>-1.5</v>
      </c>
      <c r="B16">
        <v>12.5</v>
      </c>
    </row>
    <row r="17" spans="1:2">
      <c r="A17">
        <v>-1.25</v>
      </c>
      <c r="B17">
        <v>13.375</v>
      </c>
    </row>
    <row r="18" spans="1:2">
      <c r="A18">
        <v>-1</v>
      </c>
      <c r="B18">
        <v>14</v>
      </c>
    </row>
    <row r="19" spans="1:2">
      <c r="A19">
        <v>-0.75</v>
      </c>
      <c r="B19">
        <v>14.375</v>
      </c>
    </row>
    <row r="20" spans="1:2">
      <c r="A20">
        <v>-0.5</v>
      </c>
      <c r="B20">
        <v>14.5</v>
      </c>
    </row>
    <row r="21" spans="1:2">
      <c r="A21">
        <v>-0.25</v>
      </c>
      <c r="B21">
        <v>14.375</v>
      </c>
    </row>
    <row r="22" spans="1:2">
      <c r="A22">
        <v>0</v>
      </c>
      <c r="B22">
        <v>14</v>
      </c>
    </row>
    <row r="23" spans="1:2">
      <c r="A23">
        <v>0.25</v>
      </c>
      <c r="B23">
        <v>13.375</v>
      </c>
    </row>
    <row r="24" spans="1:2">
      <c r="A24">
        <v>0.5</v>
      </c>
      <c r="B24">
        <v>12.5</v>
      </c>
    </row>
    <row r="25" spans="1:2">
      <c r="A25">
        <v>0.75</v>
      </c>
      <c r="B25">
        <v>11.375</v>
      </c>
    </row>
    <row r="26" spans="1:2">
      <c r="A26">
        <v>1</v>
      </c>
      <c r="B26">
        <v>10</v>
      </c>
    </row>
    <row r="27" spans="1:2">
      <c r="A27">
        <v>1.25</v>
      </c>
      <c r="B27">
        <v>8.375</v>
      </c>
    </row>
    <row r="28" spans="1:2">
      <c r="A28">
        <v>1.5</v>
      </c>
      <c r="B28">
        <v>6.5</v>
      </c>
    </row>
    <row r="29" spans="1:2">
      <c r="A29">
        <v>1.75</v>
      </c>
      <c r="B29">
        <v>4.375</v>
      </c>
    </row>
    <row r="30" spans="1:2">
      <c r="A30">
        <v>2</v>
      </c>
      <c r="B30">
        <v>2</v>
      </c>
    </row>
    <row r="31" spans="1:2">
      <c r="A31">
        <v>2.25</v>
      </c>
      <c r="B31">
        <v>-0.625</v>
      </c>
    </row>
    <row r="32" spans="1:2">
      <c r="A32">
        <v>2.5</v>
      </c>
      <c r="B32">
        <v>-3.5</v>
      </c>
    </row>
    <row r="33" spans="1:2">
      <c r="A33">
        <v>2.75</v>
      </c>
      <c r="B33">
        <v>-6.625</v>
      </c>
    </row>
    <row r="34" spans="1:2">
      <c r="A34">
        <v>3</v>
      </c>
      <c r="B34">
        <v>-10</v>
      </c>
    </row>
    <row r="36" spans="1:2">
      <c r="A36" t="s">
        <v>20</v>
      </c>
    </row>
    <row r="37" spans="1:2">
      <c r="A37" t="s">
        <v>21</v>
      </c>
      <c r="B37">
        <v>2.1925818521433724</v>
      </c>
    </row>
    <row r="38" spans="1:2">
      <c r="A38" t="s">
        <v>22</v>
      </c>
      <c r="B38">
        <f>-2*B37^2-2*B37+14</f>
        <v>5.9390163329453571E-6</v>
      </c>
    </row>
    <row r="40" spans="1:2">
      <c r="A40" t="s">
        <v>24</v>
      </c>
    </row>
    <row r="41" spans="1:2">
      <c r="A41" t="s">
        <v>21</v>
      </c>
      <c r="B41">
        <v>-3.1925824696493565</v>
      </c>
    </row>
    <row r="42" spans="1:2">
      <c r="A42" t="s">
        <v>22</v>
      </c>
      <c r="B42">
        <f>-2*B41^2-2*B41+14</f>
        <v>-7.117260576450235E-7</v>
      </c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Exercise1 template</vt:lpstr>
      <vt:lpstr>Excercise2 template</vt:lpstr>
      <vt:lpstr>Exercise3 template</vt:lpstr>
      <vt:lpstr>Exercise4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2014-07-13T12:14:54Z</dcterms:created>
  <dcterms:modified xsi:type="dcterms:W3CDTF">2023-12-10T14:22:40Z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Ch25_IM_exercises.xlsm</vt:lpwstr>
  </property>
</Properties>
</file>