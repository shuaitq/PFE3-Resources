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6" codeName="{C80E003A-6C80-AF87-3323-10F97C11A349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EFFB73D6-A105-0A4E-96AD-0167EFDBC516}" xr6:coauthVersionLast="47" xr6:coauthVersionMax="47" xr10:uidLastSave="{00000000-0000-0000-0000-000000000000}"/>
  <bookViews>
    <workbookView xWindow="4340" yWindow="500" windowWidth="24460" windowHeight="16060" activeTab="6" xr2:uid="{00000000-000D-0000-FFFF-FFFF00000000}"/>
  </bookViews>
  <sheets>
    <sheet name="Exercise 1 template" sheetId="16" r:id="rId1"/>
    <sheet name="MSFT" sheetId="21" r:id="rId2"/>
    <sheet name="SPX" sheetId="22" r:id="rId3"/>
    <sheet name="Exercise 2 template" sheetId="17" r:id="rId4"/>
    <sheet name="Exercise 3 template" sheetId="18" r:id="rId5"/>
    <sheet name="Exercise 4 template" sheetId="19" r:id="rId6"/>
    <sheet name="Exercise 5 template" sheetId="20" r:id="rId7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0" l="1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108" i="20"/>
  <c r="A109" i="20"/>
  <c r="A110" i="20"/>
  <c r="A111" i="20"/>
  <c r="A112" i="20"/>
  <c r="A113" i="20"/>
  <c r="A114" i="20"/>
  <c r="A115" i="20"/>
  <c r="A116" i="20"/>
  <c r="A117" i="20"/>
  <c r="A118" i="20"/>
  <c r="A119" i="20"/>
  <c r="A120" i="20"/>
  <c r="A121" i="20"/>
  <c r="A2" i="20"/>
  <c r="E1" i="19" l="1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4" i="19"/>
  <c r="G4" i="18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24" i="18" s="1"/>
  <c r="G25" i="18" s="1"/>
  <c r="G26" i="18" s="1"/>
  <c r="G27" i="18" s="1"/>
  <c r="G28" i="18" s="1"/>
  <c r="G29" i="18" s="1"/>
  <c r="G30" i="18" s="1"/>
  <c r="G31" i="18" s="1"/>
  <c r="G32" i="18" s="1"/>
  <c r="G33" i="18" s="1"/>
  <c r="G34" i="18" s="1"/>
  <c r="G35" i="18" s="1"/>
  <c r="G36" i="18" s="1"/>
  <c r="G37" i="18" s="1"/>
  <c r="G38" i="18" s="1"/>
  <c r="G39" i="18" s="1"/>
  <c r="G40" i="18" s="1"/>
  <c r="G41" i="18" s="1"/>
  <c r="G42" i="18" s="1"/>
  <c r="G43" i="18" s="1"/>
  <c r="G44" i="18" s="1"/>
  <c r="G45" i="18" s="1"/>
  <c r="G46" i="18" s="1"/>
  <c r="G47" i="18" s="1"/>
  <c r="G48" i="18" s="1"/>
  <c r="G49" i="18" s="1"/>
  <c r="G50" i="18" s="1"/>
  <c r="G51" i="18" s="1"/>
  <c r="G52" i="18" s="1"/>
  <c r="G53" i="18" s="1"/>
  <c r="G54" i="18" s="1"/>
  <c r="G55" i="18" s="1"/>
  <c r="G56" i="18" s="1"/>
  <c r="G57" i="18" s="1"/>
  <c r="G58" i="18" s="1"/>
  <c r="G59" i="18" s="1"/>
  <c r="G60" i="18" s="1"/>
  <c r="G61" i="18" s="1"/>
  <c r="G62" i="18" s="1"/>
  <c r="G63" i="18" s="1"/>
  <c r="G64" i="18" s="1"/>
  <c r="G65" i="18" s="1"/>
  <c r="G66" i="18" s="1"/>
  <c r="G67" i="18" s="1"/>
  <c r="G68" i="18" s="1"/>
  <c r="G69" i="18" s="1"/>
  <c r="G70" i="18" s="1"/>
  <c r="G71" i="18" s="1"/>
  <c r="G72" i="18" s="1"/>
  <c r="G73" i="18" s="1"/>
  <c r="G74" i="18" s="1"/>
  <c r="G75" i="18" s="1"/>
  <c r="G76" i="18" s="1"/>
  <c r="G77" i="18" s="1"/>
  <c r="G78" i="18" s="1"/>
  <c r="G79" i="18" s="1"/>
  <c r="G80" i="18" s="1"/>
  <c r="G81" i="18" s="1"/>
  <c r="G82" i="18" s="1"/>
  <c r="G83" i="18" s="1"/>
  <c r="G84" i="18" s="1"/>
  <c r="G85" i="18" s="1"/>
  <c r="G86" i="18" s="1"/>
  <c r="G87" i="18" s="1"/>
  <c r="G88" i="18" s="1"/>
  <c r="G89" i="18" s="1"/>
  <c r="G90" i="18" s="1"/>
  <c r="G91" i="18" s="1"/>
  <c r="G92" i="18" s="1"/>
  <c r="G93" i="18" s="1"/>
  <c r="G94" i="18" s="1"/>
  <c r="G95" i="18" s="1"/>
  <c r="G96" i="18" s="1"/>
  <c r="G97" i="18" s="1"/>
  <c r="G98" i="18" s="1"/>
  <c r="G99" i="18" s="1"/>
  <c r="G100" i="18" s="1"/>
  <c r="G101" i="18" s="1"/>
  <c r="G102" i="18" s="1"/>
  <c r="G103" i="18" s="1"/>
  <c r="G104" i="18" s="1"/>
  <c r="G105" i="18" s="1"/>
  <c r="G106" i="18" s="1"/>
  <c r="G107" i="18" s="1"/>
  <c r="G108" i="18" s="1"/>
  <c r="G109" i="18" s="1"/>
  <c r="G110" i="18" s="1"/>
  <c r="G111" i="18" s="1"/>
  <c r="G112" i="18" s="1"/>
  <c r="G113" i="18" s="1"/>
  <c r="G114" i="18" s="1"/>
  <c r="G115" i="18" s="1"/>
  <c r="G116" i="18" s="1"/>
  <c r="G117" i="18" s="1"/>
  <c r="G118" i="18" s="1"/>
  <c r="G119" i="18" s="1"/>
  <c r="G120" i="18" s="1"/>
  <c r="G121" i="18" s="1"/>
  <c r="G3" i="18"/>
  <c r="F4" i="18"/>
  <c r="F5" i="18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F18" i="18" s="1"/>
  <c r="F19" i="18" s="1"/>
  <c r="F20" i="18" s="1"/>
  <c r="F21" i="18" s="1"/>
  <c r="F22" i="18" s="1"/>
  <c r="F23" i="18" s="1"/>
  <c r="F24" i="18" s="1"/>
  <c r="F25" i="18" s="1"/>
  <c r="F26" i="18" s="1"/>
  <c r="F27" i="18" s="1"/>
  <c r="F28" i="18" s="1"/>
  <c r="F29" i="18" s="1"/>
  <c r="F30" i="18" s="1"/>
  <c r="F31" i="18" s="1"/>
  <c r="F32" i="18" s="1"/>
  <c r="F33" i="18" s="1"/>
  <c r="F34" i="18" s="1"/>
  <c r="F35" i="18" s="1"/>
  <c r="F36" i="18" s="1"/>
  <c r="F37" i="18" s="1"/>
  <c r="F38" i="18" s="1"/>
  <c r="F39" i="18" s="1"/>
  <c r="F40" i="18" s="1"/>
  <c r="F41" i="18" s="1"/>
  <c r="F42" i="18" s="1"/>
  <c r="F43" i="18" s="1"/>
  <c r="F44" i="18" s="1"/>
  <c r="F45" i="18" s="1"/>
  <c r="F46" i="18" s="1"/>
  <c r="F47" i="18" s="1"/>
  <c r="F48" i="18" s="1"/>
  <c r="F49" i="18" s="1"/>
  <c r="F50" i="18" s="1"/>
  <c r="F51" i="18" s="1"/>
  <c r="F52" i="18" s="1"/>
  <c r="F53" i="18" s="1"/>
  <c r="F54" i="18" s="1"/>
  <c r="F55" i="18" s="1"/>
  <c r="F56" i="18" s="1"/>
  <c r="F57" i="18" s="1"/>
  <c r="F58" i="18" s="1"/>
  <c r="F59" i="18" s="1"/>
  <c r="F60" i="18" s="1"/>
  <c r="F61" i="18" s="1"/>
  <c r="F62" i="18" s="1"/>
  <c r="F63" i="18" s="1"/>
  <c r="F64" i="18" s="1"/>
  <c r="F65" i="18" s="1"/>
  <c r="F66" i="18" s="1"/>
  <c r="F67" i="18" s="1"/>
  <c r="F68" i="18" s="1"/>
  <c r="F69" i="18" s="1"/>
  <c r="F70" i="18" s="1"/>
  <c r="F71" i="18" s="1"/>
  <c r="F72" i="18" s="1"/>
  <c r="F73" i="18" s="1"/>
  <c r="F74" i="18" s="1"/>
  <c r="F75" i="18" s="1"/>
  <c r="F76" i="18" s="1"/>
  <c r="F77" i="18" s="1"/>
  <c r="F78" i="18" s="1"/>
  <c r="F79" i="18" s="1"/>
  <c r="F80" i="18" s="1"/>
  <c r="F81" i="18" s="1"/>
  <c r="F82" i="18" s="1"/>
  <c r="F83" i="18" s="1"/>
  <c r="F84" i="18" s="1"/>
  <c r="F85" i="18" s="1"/>
  <c r="F86" i="18" s="1"/>
  <c r="F87" i="18" s="1"/>
  <c r="F88" i="18" s="1"/>
  <c r="F89" i="18" s="1"/>
  <c r="F90" i="18" s="1"/>
  <c r="F91" i="18" s="1"/>
  <c r="F92" i="18" s="1"/>
  <c r="F93" i="18" s="1"/>
  <c r="F94" i="18" s="1"/>
  <c r="F95" i="18" s="1"/>
  <c r="F96" i="18" s="1"/>
  <c r="F97" i="18" s="1"/>
  <c r="F98" i="18" s="1"/>
  <c r="F99" i="18" s="1"/>
  <c r="F100" i="18" s="1"/>
  <c r="F101" i="18" s="1"/>
  <c r="F102" i="18" s="1"/>
  <c r="F103" i="18" s="1"/>
  <c r="F104" i="18" s="1"/>
  <c r="F105" i="18" s="1"/>
  <c r="F106" i="18" s="1"/>
  <c r="F107" i="18" s="1"/>
  <c r="F108" i="18" s="1"/>
  <c r="F109" i="18" s="1"/>
  <c r="F110" i="18" s="1"/>
  <c r="F111" i="18" s="1"/>
  <c r="F112" i="18" s="1"/>
  <c r="F113" i="18" s="1"/>
  <c r="F114" i="18" s="1"/>
  <c r="F115" i="18" s="1"/>
  <c r="F116" i="18" s="1"/>
  <c r="F117" i="18" s="1"/>
  <c r="F118" i="18" s="1"/>
  <c r="F119" i="18" s="1"/>
  <c r="F120" i="18" s="1"/>
  <c r="F121" i="18" s="1"/>
  <c r="F3" i="18"/>
  <c r="C121" i="18"/>
  <c r="E121" i="18" s="1"/>
  <c r="B121" i="18"/>
  <c r="D121" i="18" s="1"/>
  <c r="A121" i="18"/>
  <c r="E120" i="18"/>
  <c r="C120" i="18"/>
  <c r="B120" i="18"/>
  <c r="A120" i="18"/>
  <c r="C119" i="18"/>
  <c r="E119" i="18" s="1"/>
  <c r="B119" i="18"/>
  <c r="D119" i="18" s="1"/>
  <c r="A119" i="18"/>
  <c r="C118" i="18"/>
  <c r="B118" i="18"/>
  <c r="D118" i="18" s="1"/>
  <c r="A118" i="18"/>
  <c r="D117" i="18"/>
  <c r="C117" i="18"/>
  <c r="E118" i="18" s="1"/>
  <c r="B117" i="18"/>
  <c r="A117" i="18"/>
  <c r="C116" i="18"/>
  <c r="E116" i="18" s="1"/>
  <c r="B116" i="18"/>
  <c r="D116" i="18" s="1"/>
  <c r="A116" i="18"/>
  <c r="E115" i="18"/>
  <c r="C115" i="18"/>
  <c r="B115" i="18"/>
  <c r="A115" i="18"/>
  <c r="C114" i="18"/>
  <c r="E114" i="18" s="1"/>
  <c r="B114" i="18"/>
  <c r="D114" i="18" s="1"/>
  <c r="A114" i="18"/>
  <c r="C113" i="18"/>
  <c r="E113" i="18" s="1"/>
  <c r="B113" i="18"/>
  <c r="D113" i="18" s="1"/>
  <c r="A113" i="18"/>
  <c r="E112" i="18"/>
  <c r="D112" i="18"/>
  <c r="C112" i="18"/>
  <c r="B112" i="18"/>
  <c r="A112" i="18"/>
  <c r="C111" i="18"/>
  <c r="E111" i="18" s="1"/>
  <c r="B111" i="18"/>
  <c r="D111" i="18" s="1"/>
  <c r="A111" i="18"/>
  <c r="C110" i="18"/>
  <c r="B110" i="18"/>
  <c r="D110" i="18" s="1"/>
  <c r="A110" i="18"/>
  <c r="D109" i="18"/>
  <c r="C109" i="18"/>
  <c r="E109" i="18" s="1"/>
  <c r="B109" i="18"/>
  <c r="A109" i="18"/>
  <c r="C108" i="18"/>
  <c r="E108" i="18" s="1"/>
  <c r="B108" i="18"/>
  <c r="D108" i="18" s="1"/>
  <c r="A108" i="18"/>
  <c r="E107" i="18"/>
  <c r="C107" i="18"/>
  <c r="B107" i="18"/>
  <c r="A107" i="18"/>
  <c r="C106" i="18"/>
  <c r="E106" i="18" s="1"/>
  <c r="B106" i="18"/>
  <c r="D106" i="18" s="1"/>
  <c r="A106" i="18"/>
  <c r="C105" i="18"/>
  <c r="E105" i="18" s="1"/>
  <c r="B105" i="18"/>
  <c r="D105" i="18" s="1"/>
  <c r="A105" i="18"/>
  <c r="E104" i="18"/>
  <c r="D104" i="18"/>
  <c r="C104" i="18"/>
  <c r="B104" i="18"/>
  <c r="A104" i="18"/>
  <c r="C103" i="18"/>
  <c r="E103" i="18" s="1"/>
  <c r="B103" i="18"/>
  <c r="D103" i="18" s="1"/>
  <c r="A103" i="18"/>
  <c r="C102" i="18"/>
  <c r="B102" i="18"/>
  <c r="D102" i="18" s="1"/>
  <c r="A102" i="18"/>
  <c r="D101" i="18"/>
  <c r="C101" i="18"/>
  <c r="E101" i="18" s="1"/>
  <c r="B101" i="18"/>
  <c r="A101" i="18"/>
  <c r="C100" i="18"/>
  <c r="E100" i="18" s="1"/>
  <c r="B100" i="18"/>
  <c r="D100" i="18" s="1"/>
  <c r="A100" i="18"/>
  <c r="E99" i="18"/>
  <c r="C99" i="18"/>
  <c r="B99" i="18"/>
  <c r="A99" i="18"/>
  <c r="C98" i="18"/>
  <c r="E98" i="18" s="1"/>
  <c r="B98" i="18"/>
  <c r="D99" i="18" s="1"/>
  <c r="A98" i="18"/>
  <c r="C97" i="18"/>
  <c r="E97" i="18" s="1"/>
  <c r="B97" i="18"/>
  <c r="D97" i="18" s="1"/>
  <c r="A97" i="18"/>
  <c r="E96" i="18"/>
  <c r="D96" i="18"/>
  <c r="C96" i="18"/>
  <c r="B96" i="18"/>
  <c r="A96" i="18"/>
  <c r="C95" i="18"/>
  <c r="E95" i="18" s="1"/>
  <c r="B95" i="18"/>
  <c r="D95" i="18" s="1"/>
  <c r="A95" i="18"/>
  <c r="C94" i="18"/>
  <c r="B94" i="18"/>
  <c r="D94" i="18" s="1"/>
  <c r="A94" i="18"/>
  <c r="D93" i="18"/>
  <c r="C93" i="18"/>
  <c r="E93" i="18" s="1"/>
  <c r="B93" i="18"/>
  <c r="A93" i="18"/>
  <c r="C92" i="18"/>
  <c r="E92" i="18" s="1"/>
  <c r="B92" i="18"/>
  <c r="D92" i="18" s="1"/>
  <c r="A92" i="18"/>
  <c r="E91" i="18"/>
  <c r="C91" i="18"/>
  <c r="B91" i="18"/>
  <c r="A91" i="18"/>
  <c r="C90" i="18"/>
  <c r="E90" i="18" s="1"/>
  <c r="B90" i="18"/>
  <c r="D90" i="18" s="1"/>
  <c r="A90" i="18"/>
  <c r="C89" i="18"/>
  <c r="E89" i="18" s="1"/>
  <c r="B89" i="18"/>
  <c r="D89" i="18" s="1"/>
  <c r="A89" i="18"/>
  <c r="E88" i="18"/>
  <c r="D88" i="18"/>
  <c r="C88" i="18"/>
  <c r="B88" i="18"/>
  <c r="A88" i="18"/>
  <c r="C87" i="18"/>
  <c r="E87" i="18" s="1"/>
  <c r="B87" i="18"/>
  <c r="D87" i="18" s="1"/>
  <c r="A87" i="18"/>
  <c r="C86" i="18"/>
  <c r="B86" i="18"/>
  <c r="D86" i="18" s="1"/>
  <c r="A86" i="18"/>
  <c r="D85" i="18"/>
  <c r="C85" i="18"/>
  <c r="E85" i="18" s="1"/>
  <c r="B85" i="18"/>
  <c r="A85" i="18"/>
  <c r="C84" i="18"/>
  <c r="E84" i="18" s="1"/>
  <c r="B84" i="18"/>
  <c r="D84" i="18" s="1"/>
  <c r="A84" i="18"/>
  <c r="E83" i="18"/>
  <c r="C83" i="18"/>
  <c r="B83" i="18"/>
  <c r="A83" i="18"/>
  <c r="C82" i="18"/>
  <c r="E82" i="18" s="1"/>
  <c r="B82" i="18"/>
  <c r="D82" i="18" s="1"/>
  <c r="A82" i="18"/>
  <c r="C81" i="18"/>
  <c r="E81" i="18" s="1"/>
  <c r="B81" i="18"/>
  <c r="D81" i="18" s="1"/>
  <c r="A81" i="18"/>
  <c r="E80" i="18"/>
  <c r="D80" i="18"/>
  <c r="C80" i="18"/>
  <c r="B80" i="18"/>
  <c r="A80" i="18"/>
  <c r="C79" i="18"/>
  <c r="E79" i="18" s="1"/>
  <c r="B79" i="18"/>
  <c r="D79" i="18" s="1"/>
  <c r="A79" i="18"/>
  <c r="C78" i="18"/>
  <c r="B78" i="18"/>
  <c r="D78" i="18" s="1"/>
  <c r="A78" i="18"/>
  <c r="D77" i="18"/>
  <c r="C77" i="18"/>
  <c r="E77" i="18" s="1"/>
  <c r="B77" i="18"/>
  <c r="A77" i="18"/>
  <c r="C76" i="18"/>
  <c r="E76" i="18" s="1"/>
  <c r="B76" i="18"/>
  <c r="D76" i="18" s="1"/>
  <c r="A76" i="18"/>
  <c r="E75" i="18"/>
  <c r="C75" i="18"/>
  <c r="B75" i="18"/>
  <c r="A75" i="18"/>
  <c r="C74" i="18"/>
  <c r="E74" i="18" s="1"/>
  <c r="B74" i="18"/>
  <c r="D75" i="18" s="1"/>
  <c r="A74" i="18"/>
  <c r="C73" i="18"/>
  <c r="E73" i="18" s="1"/>
  <c r="B73" i="18"/>
  <c r="D73" i="18" s="1"/>
  <c r="A73" i="18"/>
  <c r="E72" i="18"/>
  <c r="D72" i="18"/>
  <c r="C72" i="18"/>
  <c r="B72" i="18"/>
  <c r="A72" i="18"/>
  <c r="C71" i="18"/>
  <c r="E71" i="18" s="1"/>
  <c r="B71" i="18"/>
  <c r="D71" i="18" s="1"/>
  <c r="A71" i="18"/>
  <c r="C70" i="18"/>
  <c r="B70" i="18"/>
  <c r="D70" i="18" s="1"/>
  <c r="A70" i="18"/>
  <c r="D69" i="18"/>
  <c r="C69" i="18"/>
  <c r="E69" i="18" s="1"/>
  <c r="B69" i="18"/>
  <c r="A69" i="18"/>
  <c r="C68" i="18"/>
  <c r="E68" i="18" s="1"/>
  <c r="B68" i="18"/>
  <c r="D68" i="18" s="1"/>
  <c r="A68" i="18"/>
  <c r="E67" i="18"/>
  <c r="C67" i="18"/>
  <c r="B67" i="18"/>
  <c r="A67" i="18"/>
  <c r="C66" i="18"/>
  <c r="E66" i="18" s="1"/>
  <c r="B66" i="18"/>
  <c r="D66" i="18" s="1"/>
  <c r="A66" i="18"/>
  <c r="C65" i="18"/>
  <c r="E65" i="18" s="1"/>
  <c r="B65" i="18"/>
  <c r="D65" i="18" s="1"/>
  <c r="A65" i="18"/>
  <c r="E64" i="18"/>
  <c r="D64" i="18"/>
  <c r="C64" i="18"/>
  <c r="B64" i="18"/>
  <c r="A64" i="18"/>
  <c r="C63" i="18"/>
  <c r="E63" i="18" s="1"/>
  <c r="B63" i="18"/>
  <c r="D63" i="18" s="1"/>
  <c r="A63" i="18"/>
  <c r="C62" i="18"/>
  <c r="B62" i="18"/>
  <c r="D62" i="18" s="1"/>
  <c r="A62" i="18"/>
  <c r="D61" i="18"/>
  <c r="C61" i="18"/>
  <c r="E61" i="18" s="1"/>
  <c r="B61" i="18"/>
  <c r="A61" i="18"/>
  <c r="C60" i="18"/>
  <c r="E60" i="18" s="1"/>
  <c r="B60" i="18"/>
  <c r="D60" i="18" s="1"/>
  <c r="A60" i="18"/>
  <c r="E59" i="18"/>
  <c r="C59" i="18"/>
  <c r="B59" i="18"/>
  <c r="A59" i="18"/>
  <c r="C58" i="18"/>
  <c r="E58" i="18" s="1"/>
  <c r="B58" i="18"/>
  <c r="D58" i="18" s="1"/>
  <c r="A58" i="18"/>
  <c r="C57" i="18"/>
  <c r="E57" i="18" s="1"/>
  <c r="B57" i="18"/>
  <c r="D57" i="18" s="1"/>
  <c r="A57" i="18"/>
  <c r="E56" i="18"/>
  <c r="D56" i="18"/>
  <c r="C56" i="18"/>
  <c r="B56" i="18"/>
  <c r="A56" i="18"/>
  <c r="C55" i="18"/>
  <c r="E55" i="18" s="1"/>
  <c r="B55" i="18"/>
  <c r="D55" i="18" s="1"/>
  <c r="A55" i="18"/>
  <c r="C54" i="18"/>
  <c r="B54" i="18"/>
  <c r="D54" i="18" s="1"/>
  <c r="A54" i="18"/>
  <c r="D53" i="18"/>
  <c r="C53" i="18"/>
  <c r="E53" i="18" s="1"/>
  <c r="B53" i="18"/>
  <c r="A53" i="18"/>
  <c r="C52" i="18"/>
  <c r="E52" i="18" s="1"/>
  <c r="B52" i="18"/>
  <c r="D52" i="18" s="1"/>
  <c r="A52" i="18"/>
  <c r="E51" i="18"/>
  <c r="C51" i="18"/>
  <c r="B51" i="18"/>
  <c r="A51" i="18"/>
  <c r="C50" i="18"/>
  <c r="E50" i="18" s="1"/>
  <c r="B50" i="18"/>
  <c r="D50" i="18" s="1"/>
  <c r="A50" i="18"/>
  <c r="C49" i="18"/>
  <c r="E49" i="18" s="1"/>
  <c r="B49" i="18"/>
  <c r="D49" i="18" s="1"/>
  <c r="A49" i="18"/>
  <c r="E48" i="18"/>
  <c r="D48" i="18"/>
  <c r="C48" i="18"/>
  <c r="B48" i="18"/>
  <c r="A48" i="18"/>
  <c r="C47" i="18"/>
  <c r="E47" i="18" s="1"/>
  <c r="B47" i="18"/>
  <c r="D47" i="18" s="1"/>
  <c r="A47" i="18"/>
  <c r="C46" i="18"/>
  <c r="B46" i="18"/>
  <c r="D46" i="18" s="1"/>
  <c r="A46" i="18"/>
  <c r="D45" i="18"/>
  <c r="C45" i="18"/>
  <c r="E45" i="18" s="1"/>
  <c r="B45" i="18"/>
  <c r="A45" i="18"/>
  <c r="C44" i="18"/>
  <c r="E44" i="18" s="1"/>
  <c r="B44" i="18"/>
  <c r="D44" i="18" s="1"/>
  <c r="A44" i="18"/>
  <c r="E43" i="18"/>
  <c r="C43" i="18"/>
  <c r="B43" i="18"/>
  <c r="A43" i="18"/>
  <c r="C42" i="18"/>
  <c r="E42" i="18" s="1"/>
  <c r="B42" i="18"/>
  <c r="D42" i="18" s="1"/>
  <c r="A42" i="18"/>
  <c r="C41" i="18"/>
  <c r="E41" i="18" s="1"/>
  <c r="B41" i="18"/>
  <c r="D41" i="18" s="1"/>
  <c r="A41" i="18"/>
  <c r="E40" i="18"/>
  <c r="D40" i="18"/>
  <c r="C40" i="18"/>
  <c r="B40" i="18"/>
  <c r="A40" i="18"/>
  <c r="C39" i="18"/>
  <c r="E39" i="18" s="1"/>
  <c r="B39" i="18"/>
  <c r="D39" i="18" s="1"/>
  <c r="A39" i="18"/>
  <c r="C38" i="18"/>
  <c r="B38" i="18"/>
  <c r="D38" i="18" s="1"/>
  <c r="A38" i="18"/>
  <c r="D37" i="18"/>
  <c r="C37" i="18"/>
  <c r="E38" i="18" s="1"/>
  <c r="B37" i="18"/>
  <c r="A37" i="18"/>
  <c r="C36" i="18"/>
  <c r="E36" i="18" s="1"/>
  <c r="B36" i="18"/>
  <c r="D36" i="18" s="1"/>
  <c r="A36" i="18"/>
  <c r="E35" i="18"/>
  <c r="C35" i="18"/>
  <c r="B35" i="18"/>
  <c r="A35" i="18"/>
  <c r="C34" i="18"/>
  <c r="E34" i="18" s="1"/>
  <c r="B34" i="18"/>
  <c r="D34" i="18" s="1"/>
  <c r="A34" i="18"/>
  <c r="C33" i="18"/>
  <c r="E33" i="18" s="1"/>
  <c r="B33" i="18"/>
  <c r="D33" i="18" s="1"/>
  <c r="A33" i="18"/>
  <c r="E32" i="18"/>
  <c r="D32" i="18"/>
  <c r="C32" i="18"/>
  <c r="B32" i="18"/>
  <c r="A32" i="18"/>
  <c r="C31" i="18"/>
  <c r="E31" i="18" s="1"/>
  <c r="B31" i="18"/>
  <c r="D31" i="18" s="1"/>
  <c r="A31" i="18"/>
  <c r="C30" i="18"/>
  <c r="B30" i="18"/>
  <c r="D30" i="18" s="1"/>
  <c r="A30" i="18"/>
  <c r="D29" i="18"/>
  <c r="C29" i="18"/>
  <c r="E29" i="18" s="1"/>
  <c r="B29" i="18"/>
  <c r="A29" i="18"/>
  <c r="C28" i="18"/>
  <c r="E28" i="18" s="1"/>
  <c r="B28" i="18"/>
  <c r="D28" i="18" s="1"/>
  <c r="A28" i="18"/>
  <c r="E27" i="18"/>
  <c r="C27" i="18"/>
  <c r="B27" i="18"/>
  <c r="A27" i="18"/>
  <c r="C26" i="18"/>
  <c r="E26" i="18" s="1"/>
  <c r="B26" i="18"/>
  <c r="D27" i="18" s="1"/>
  <c r="A26" i="18"/>
  <c r="C25" i="18"/>
  <c r="E25" i="18" s="1"/>
  <c r="B25" i="18"/>
  <c r="D25" i="18" s="1"/>
  <c r="A25" i="18"/>
  <c r="E24" i="18"/>
  <c r="D24" i="18"/>
  <c r="C24" i="18"/>
  <c r="B24" i="18"/>
  <c r="A24" i="18"/>
  <c r="C23" i="18"/>
  <c r="E23" i="18" s="1"/>
  <c r="B23" i="18"/>
  <c r="D23" i="18" s="1"/>
  <c r="A23" i="18"/>
  <c r="C22" i="18"/>
  <c r="B22" i="18"/>
  <c r="D22" i="18" s="1"/>
  <c r="A22" i="18"/>
  <c r="D21" i="18"/>
  <c r="C21" i="18"/>
  <c r="E22" i="18" s="1"/>
  <c r="B21" i="18"/>
  <c r="A21" i="18"/>
  <c r="C20" i="18"/>
  <c r="E20" i="18" s="1"/>
  <c r="B20" i="18"/>
  <c r="D20" i="18" s="1"/>
  <c r="A20" i="18"/>
  <c r="E19" i="18"/>
  <c r="C19" i="18"/>
  <c r="B19" i="18"/>
  <c r="A19" i="18"/>
  <c r="C18" i="18"/>
  <c r="E18" i="18" s="1"/>
  <c r="B18" i="18"/>
  <c r="D18" i="18" s="1"/>
  <c r="A18" i="18"/>
  <c r="C17" i="18"/>
  <c r="E17" i="18" s="1"/>
  <c r="B17" i="18"/>
  <c r="D17" i="18" s="1"/>
  <c r="A17" i="18"/>
  <c r="E16" i="18"/>
  <c r="D16" i="18"/>
  <c r="C16" i="18"/>
  <c r="B16" i="18"/>
  <c r="A16" i="18"/>
  <c r="C15" i="18"/>
  <c r="E15" i="18" s="1"/>
  <c r="B15" i="18"/>
  <c r="D15" i="18" s="1"/>
  <c r="A15" i="18"/>
  <c r="C14" i="18"/>
  <c r="B14" i="18"/>
  <c r="D14" i="18" s="1"/>
  <c r="A14" i="18"/>
  <c r="D13" i="18"/>
  <c r="C13" i="18"/>
  <c r="E13" i="18" s="1"/>
  <c r="B13" i="18"/>
  <c r="A13" i="18"/>
  <c r="C12" i="18"/>
  <c r="E12" i="18" s="1"/>
  <c r="B12" i="18"/>
  <c r="D12" i="18" s="1"/>
  <c r="A12" i="18"/>
  <c r="E11" i="18"/>
  <c r="C11" i="18"/>
  <c r="B11" i="18"/>
  <c r="A11" i="18"/>
  <c r="C10" i="18"/>
  <c r="E10" i="18" s="1"/>
  <c r="B10" i="18"/>
  <c r="D10" i="18" s="1"/>
  <c r="A10" i="18"/>
  <c r="C9" i="18"/>
  <c r="E9" i="18" s="1"/>
  <c r="B9" i="18"/>
  <c r="D9" i="18" s="1"/>
  <c r="A9" i="18"/>
  <c r="E8" i="18"/>
  <c r="D8" i="18"/>
  <c r="C8" i="18"/>
  <c r="B8" i="18"/>
  <c r="A8" i="18"/>
  <c r="C7" i="18"/>
  <c r="E7" i="18" s="1"/>
  <c r="B7" i="18"/>
  <c r="D7" i="18" s="1"/>
  <c r="A7" i="18"/>
  <c r="C6" i="18"/>
  <c r="B6" i="18"/>
  <c r="D6" i="18" s="1"/>
  <c r="A6" i="18"/>
  <c r="D5" i="18"/>
  <c r="C5" i="18"/>
  <c r="E5" i="18" s="1"/>
  <c r="B5" i="18"/>
  <c r="A5" i="18"/>
  <c r="C4" i="18"/>
  <c r="E4" i="18" s="1"/>
  <c r="B4" i="18"/>
  <c r="D4" i="18" s="1"/>
  <c r="A4" i="18"/>
  <c r="E3" i="18"/>
  <c r="C3" i="18"/>
  <c r="B3" i="18"/>
  <c r="A3" i="18"/>
  <c r="C2" i="18"/>
  <c r="B2" i="18"/>
  <c r="D3" i="18" s="1"/>
  <c r="A2" i="18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3" i="17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3" i="17"/>
  <c r="C121" i="17"/>
  <c r="B121" i="17"/>
  <c r="A121" i="17"/>
  <c r="C120" i="17"/>
  <c r="B120" i="17"/>
  <c r="A120" i="17"/>
  <c r="C119" i="17"/>
  <c r="B119" i="17"/>
  <c r="A119" i="17"/>
  <c r="C118" i="17"/>
  <c r="B118" i="17"/>
  <c r="A118" i="17"/>
  <c r="C117" i="17"/>
  <c r="B117" i="17"/>
  <c r="A117" i="17"/>
  <c r="C116" i="17"/>
  <c r="B116" i="17"/>
  <c r="A116" i="17"/>
  <c r="C115" i="17"/>
  <c r="B115" i="17"/>
  <c r="A115" i="17"/>
  <c r="C114" i="17"/>
  <c r="B114" i="17"/>
  <c r="A114" i="17"/>
  <c r="C113" i="17"/>
  <c r="B113" i="17"/>
  <c r="A113" i="17"/>
  <c r="C112" i="17"/>
  <c r="B112" i="17"/>
  <c r="A112" i="17"/>
  <c r="C111" i="17"/>
  <c r="B111" i="17"/>
  <c r="A111" i="17"/>
  <c r="C110" i="17"/>
  <c r="B110" i="17"/>
  <c r="A110" i="17"/>
  <c r="C109" i="17"/>
  <c r="B109" i="17"/>
  <c r="A109" i="17"/>
  <c r="C108" i="17"/>
  <c r="B108" i="17"/>
  <c r="A108" i="17"/>
  <c r="C107" i="17"/>
  <c r="B107" i="17"/>
  <c r="A107" i="17"/>
  <c r="C106" i="17"/>
  <c r="B106" i="17"/>
  <c r="A106" i="17"/>
  <c r="C105" i="17"/>
  <c r="B105" i="17"/>
  <c r="A105" i="17"/>
  <c r="C104" i="17"/>
  <c r="B104" i="17"/>
  <c r="A104" i="17"/>
  <c r="C103" i="17"/>
  <c r="B103" i="17"/>
  <c r="A103" i="17"/>
  <c r="C102" i="17"/>
  <c r="B102" i="17"/>
  <c r="A102" i="17"/>
  <c r="C101" i="17"/>
  <c r="B101" i="17"/>
  <c r="A101" i="17"/>
  <c r="C100" i="17"/>
  <c r="B100" i="17"/>
  <c r="A100" i="17"/>
  <c r="C99" i="17"/>
  <c r="B99" i="17"/>
  <c r="A99" i="17"/>
  <c r="C98" i="17"/>
  <c r="B98" i="17"/>
  <c r="A98" i="17"/>
  <c r="C97" i="17"/>
  <c r="B97" i="17"/>
  <c r="A97" i="17"/>
  <c r="C96" i="17"/>
  <c r="B96" i="17"/>
  <c r="A96" i="17"/>
  <c r="C95" i="17"/>
  <c r="B95" i="17"/>
  <c r="A95" i="17"/>
  <c r="C94" i="17"/>
  <c r="B94" i="17"/>
  <c r="A94" i="17"/>
  <c r="C93" i="17"/>
  <c r="B93" i="17"/>
  <c r="A93" i="17"/>
  <c r="C92" i="17"/>
  <c r="B92" i="17"/>
  <c r="A92" i="17"/>
  <c r="C91" i="17"/>
  <c r="B91" i="17"/>
  <c r="A91" i="17"/>
  <c r="C90" i="17"/>
  <c r="B90" i="17"/>
  <c r="A90" i="17"/>
  <c r="C89" i="17"/>
  <c r="B89" i="17"/>
  <c r="A89" i="17"/>
  <c r="C88" i="17"/>
  <c r="B88" i="17"/>
  <c r="A88" i="17"/>
  <c r="C87" i="17"/>
  <c r="B87" i="17"/>
  <c r="A87" i="17"/>
  <c r="C86" i="17"/>
  <c r="B86" i="17"/>
  <c r="A86" i="17"/>
  <c r="C85" i="17"/>
  <c r="B85" i="17"/>
  <c r="A85" i="17"/>
  <c r="C84" i="17"/>
  <c r="B84" i="17"/>
  <c r="A84" i="17"/>
  <c r="C83" i="17"/>
  <c r="B83" i="17"/>
  <c r="A83" i="17"/>
  <c r="C82" i="17"/>
  <c r="B82" i="17"/>
  <c r="A82" i="17"/>
  <c r="C81" i="17"/>
  <c r="B81" i="17"/>
  <c r="A81" i="17"/>
  <c r="C80" i="17"/>
  <c r="B80" i="17"/>
  <c r="A80" i="17"/>
  <c r="C79" i="17"/>
  <c r="B79" i="17"/>
  <c r="A79" i="17"/>
  <c r="C78" i="17"/>
  <c r="B78" i="17"/>
  <c r="A78" i="17"/>
  <c r="C77" i="17"/>
  <c r="B77" i="17"/>
  <c r="A77" i="17"/>
  <c r="C76" i="17"/>
  <c r="B76" i="17"/>
  <c r="A76" i="17"/>
  <c r="C75" i="17"/>
  <c r="B75" i="17"/>
  <c r="A75" i="17"/>
  <c r="C74" i="17"/>
  <c r="B74" i="17"/>
  <c r="A74" i="17"/>
  <c r="C73" i="17"/>
  <c r="B73" i="17"/>
  <c r="A73" i="17"/>
  <c r="C72" i="17"/>
  <c r="B72" i="17"/>
  <c r="A72" i="17"/>
  <c r="C71" i="17"/>
  <c r="B71" i="17"/>
  <c r="A71" i="17"/>
  <c r="C70" i="17"/>
  <c r="B70" i="17"/>
  <c r="A70" i="17"/>
  <c r="C69" i="17"/>
  <c r="B69" i="17"/>
  <c r="A69" i="17"/>
  <c r="C68" i="17"/>
  <c r="B68" i="17"/>
  <c r="A68" i="17"/>
  <c r="C67" i="17"/>
  <c r="B67" i="17"/>
  <c r="A67" i="17"/>
  <c r="C66" i="17"/>
  <c r="B66" i="17"/>
  <c r="A66" i="17"/>
  <c r="C65" i="17"/>
  <c r="B65" i="17"/>
  <c r="A65" i="17"/>
  <c r="C64" i="17"/>
  <c r="B64" i="17"/>
  <c r="A64" i="17"/>
  <c r="C63" i="17"/>
  <c r="B63" i="17"/>
  <c r="A63" i="17"/>
  <c r="C62" i="17"/>
  <c r="B62" i="17"/>
  <c r="A62" i="17"/>
  <c r="C61" i="17"/>
  <c r="B61" i="17"/>
  <c r="A61" i="17"/>
  <c r="C60" i="17"/>
  <c r="B60" i="17"/>
  <c r="A60" i="17"/>
  <c r="C59" i="17"/>
  <c r="B59" i="17"/>
  <c r="A59" i="17"/>
  <c r="C58" i="17"/>
  <c r="B58" i="17"/>
  <c r="A58" i="17"/>
  <c r="C57" i="17"/>
  <c r="B57" i="17"/>
  <c r="A57" i="17"/>
  <c r="C56" i="17"/>
  <c r="B56" i="17"/>
  <c r="A56" i="17"/>
  <c r="C55" i="17"/>
  <c r="B55" i="17"/>
  <c r="A55" i="17"/>
  <c r="C54" i="17"/>
  <c r="B54" i="17"/>
  <c r="A54" i="17"/>
  <c r="C53" i="17"/>
  <c r="B53" i="17"/>
  <c r="A53" i="17"/>
  <c r="C52" i="17"/>
  <c r="B52" i="17"/>
  <c r="A52" i="17"/>
  <c r="C51" i="17"/>
  <c r="B51" i="17"/>
  <c r="A51" i="17"/>
  <c r="C50" i="17"/>
  <c r="B50" i="17"/>
  <c r="A50" i="17"/>
  <c r="C49" i="17"/>
  <c r="B49" i="17"/>
  <c r="A49" i="17"/>
  <c r="C48" i="17"/>
  <c r="B48" i="17"/>
  <c r="A48" i="17"/>
  <c r="C47" i="17"/>
  <c r="B47" i="17"/>
  <c r="A47" i="17"/>
  <c r="C46" i="17"/>
  <c r="B46" i="17"/>
  <c r="A46" i="17"/>
  <c r="C45" i="17"/>
  <c r="B45" i="17"/>
  <c r="A45" i="17"/>
  <c r="C44" i="17"/>
  <c r="B44" i="17"/>
  <c r="A44" i="17"/>
  <c r="C43" i="17"/>
  <c r="B43" i="17"/>
  <c r="A43" i="17"/>
  <c r="C42" i="17"/>
  <c r="B42" i="17"/>
  <c r="A42" i="17"/>
  <c r="C41" i="17"/>
  <c r="B41" i="17"/>
  <c r="A41" i="17"/>
  <c r="C40" i="17"/>
  <c r="B40" i="17"/>
  <c r="A40" i="17"/>
  <c r="C39" i="17"/>
  <c r="B39" i="17"/>
  <c r="A39" i="17"/>
  <c r="C38" i="17"/>
  <c r="B38" i="17"/>
  <c r="A38" i="17"/>
  <c r="C37" i="17"/>
  <c r="B37" i="17"/>
  <c r="A37" i="17"/>
  <c r="C36" i="17"/>
  <c r="B36" i="17"/>
  <c r="A36" i="17"/>
  <c r="C35" i="17"/>
  <c r="B35" i="17"/>
  <c r="A35" i="17"/>
  <c r="C34" i="17"/>
  <c r="B34" i="17"/>
  <c r="A34" i="17"/>
  <c r="C33" i="17"/>
  <c r="B33" i="17"/>
  <c r="A33" i="17"/>
  <c r="C32" i="17"/>
  <c r="B32" i="17"/>
  <c r="A32" i="17"/>
  <c r="C31" i="17"/>
  <c r="B31" i="17"/>
  <c r="A31" i="17"/>
  <c r="C30" i="17"/>
  <c r="B30" i="17"/>
  <c r="A30" i="17"/>
  <c r="C29" i="17"/>
  <c r="B29" i="17"/>
  <c r="A29" i="17"/>
  <c r="C28" i="17"/>
  <c r="B28" i="17"/>
  <c r="A28" i="17"/>
  <c r="C27" i="17"/>
  <c r="B27" i="17"/>
  <c r="A27" i="17"/>
  <c r="C26" i="17"/>
  <c r="B26" i="17"/>
  <c r="A26" i="17"/>
  <c r="C25" i="17"/>
  <c r="B25" i="17"/>
  <c r="A25" i="17"/>
  <c r="C24" i="17"/>
  <c r="B24" i="17"/>
  <c r="A24" i="17"/>
  <c r="C23" i="17"/>
  <c r="B23" i="17"/>
  <c r="A23" i="17"/>
  <c r="C22" i="17"/>
  <c r="B22" i="17"/>
  <c r="A22" i="17"/>
  <c r="C21" i="17"/>
  <c r="B21" i="17"/>
  <c r="A21" i="17"/>
  <c r="C20" i="17"/>
  <c r="B20" i="17"/>
  <c r="A20" i="17"/>
  <c r="C19" i="17"/>
  <c r="B19" i="17"/>
  <c r="A19" i="17"/>
  <c r="C18" i="17"/>
  <c r="B18" i="17"/>
  <c r="A18" i="17"/>
  <c r="C17" i="17"/>
  <c r="B17" i="17"/>
  <c r="A17" i="17"/>
  <c r="C16" i="17"/>
  <c r="B16" i="17"/>
  <c r="A16" i="17"/>
  <c r="C15" i="17"/>
  <c r="B15" i="17"/>
  <c r="A15" i="17"/>
  <c r="C14" i="17"/>
  <c r="B14" i="17"/>
  <c r="A14" i="17"/>
  <c r="C13" i="17"/>
  <c r="B13" i="17"/>
  <c r="A13" i="17"/>
  <c r="C12" i="17"/>
  <c r="B12" i="17"/>
  <c r="A12" i="17"/>
  <c r="C11" i="17"/>
  <c r="B11" i="17"/>
  <c r="A11" i="17"/>
  <c r="C10" i="17"/>
  <c r="B10" i="17"/>
  <c r="A10" i="17"/>
  <c r="C9" i="17"/>
  <c r="B9" i="17"/>
  <c r="A9" i="17"/>
  <c r="C8" i="17"/>
  <c r="B8" i="17"/>
  <c r="A8" i="17"/>
  <c r="C7" i="17"/>
  <c r="B7" i="17"/>
  <c r="A7" i="17"/>
  <c r="C6" i="17"/>
  <c r="B6" i="17"/>
  <c r="A6" i="17"/>
  <c r="C5" i="17"/>
  <c r="B5" i="17"/>
  <c r="A5" i="17"/>
  <c r="C4" i="17"/>
  <c r="B4" i="17"/>
  <c r="A4" i="17"/>
  <c r="C3" i="17"/>
  <c r="B3" i="17"/>
  <c r="A3" i="17"/>
  <c r="C2" i="17"/>
  <c r="B2" i="17"/>
  <c r="A2" i="17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2" i="16"/>
  <c r="E21" i="18" l="1"/>
  <c r="D26" i="18"/>
  <c r="E37" i="18"/>
  <c r="D74" i="18"/>
  <c r="D98" i="18"/>
  <c r="E117" i="18"/>
  <c r="E6" i="18"/>
  <c r="D11" i="18"/>
  <c r="E14" i="18"/>
  <c r="D19" i="18"/>
  <c r="E30" i="18"/>
  <c r="D35" i="18"/>
  <c r="D43" i="18"/>
  <c r="E46" i="18"/>
  <c r="D51" i="18"/>
  <c r="E54" i="18"/>
  <c r="D59" i="18"/>
  <c r="E62" i="18"/>
  <c r="D67" i="18"/>
  <c r="E70" i="18"/>
  <c r="E78" i="18"/>
  <c r="D83" i="18"/>
  <c r="E86" i="18"/>
  <c r="D91" i="18"/>
  <c r="E94" i="18"/>
  <c r="E102" i="18"/>
  <c r="D107" i="18"/>
  <c r="E110" i="18"/>
  <c r="D115" i="18"/>
  <c r="D120" i="18"/>
</calcChain>
</file>

<file path=xl/sharedStrings.xml><?xml version="1.0" encoding="utf-8"?>
<sst xmlns="http://schemas.openxmlformats.org/spreadsheetml/2006/main" count="34" uniqueCount="19">
  <si>
    <t>Date</t>
  </si>
  <si>
    <t>Open</t>
  </si>
  <si>
    <t>High</t>
  </si>
  <si>
    <t>Low</t>
  </si>
  <si>
    <t>Close</t>
  </si>
  <si>
    <t>Adj Close</t>
  </si>
  <si>
    <t>Volume</t>
  </si>
  <si>
    <t>Date</t>
    <phoneticPr fontId="1" type="noConversion"/>
  </si>
  <si>
    <t>MSFT</t>
    <phoneticPr fontId="1" type="noConversion"/>
  </si>
  <si>
    <t>SPX</t>
    <phoneticPr fontId="1" type="noConversion"/>
  </si>
  <si>
    <t>MSFT return</t>
    <phoneticPr fontId="1" type="noConversion"/>
  </si>
  <si>
    <t>SPX return</t>
    <phoneticPr fontId="1" type="noConversion"/>
  </si>
  <si>
    <t>MSFT normal</t>
    <phoneticPr fontId="1" type="noConversion"/>
  </si>
  <si>
    <t>SPX normal</t>
    <phoneticPr fontId="1" type="noConversion"/>
  </si>
  <si>
    <t>a</t>
    <phoneticPr fontId="1" type="noConversion"/>
  </si>
  <si>
    <t>x</t>
    <phoneticPr fontId="1" type="noConversion"/>
  </si>
  <si>
    <t>y=ax^3-2x^2+x-16</t>
    <phoneticPr fontId="1" type="noConversion"/>
  </si>
  <si>
    <t>title</t>
    <phoneticPr fontId="1" type="noConversion"/>
  </si>
  <si>
    <t>MSFT volume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</si>
</sst>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0"/>
      <name val="Arial"/>
    </font>
    <font>
      <sz val="9"/>
      <name val="宋体"/>
      <family val="3"/>
      <charset val="134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4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'Exercise 1 template'!$B$1</c:f>
              <c:strCache>
                <c:ptCount val="1"/>
                <c:pt idx="0">
                  <c:v>MSFT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'Exercise 1 template'!$A$2:$A$121</c:f>
              <c:numCache>
                <c:formatCode>m/d/yy</c:formatCode>
                <c:ptCount val="120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  <c:pt idx="36">
                  <c:v>42736</c:v>
                </c:pt>
                <c:pt idx="37">
                  <c:v>42767</c:v>
                </c:pt>
                <c:pt idx="38">
                  <c:v>42795</c:v>
                </c:pt>
                <c:pt idx="39">
                  <c:v>42826</c:v>
                </c:pt>
                <c:pt idx="40">
                  <c:v>42856</c:v>
                </c:pt>
                <c:pt idx="41">
                  <c:v>42887</c:v>
                </c:pt>
                <c:pt idx="42">
                  <c:v>42917</c:v>
                </c:pt>
                <c:pt idx="43">
                  <c:v>42948</c:v>
                </c:pt>
                <c:pt idx="44">
                  <c:v>42979</c:v>
                </c:pt>
                <c:pt idx="45">
                  <c:v>43009</c:v>
                </c:pt>
                <c:pt idx="46">
                  <c:v>43040</c:v>
                </c:pt>
                <c:pt idx="47">
                  <c:v>43070</c:v>
                </c:pt>
                <c:pt idx="48">
                  <c:v>43101</c:v>
                </c:pt>
                <c:pt idx="49">
                  <c:v>43132</c:v>
                </c:pt>
                <c:pt idx="50">
                  <c:v>43160</c:v>
                </c:pt>
                <c:pt idx="51">
                  <c:v>43191</c:v>
                </c:pt>
                <c:pt idx="52">
                  <c:v>43221</c:v>
                </c:pt>
                <c:pt idx="53">
                  <c:v>43252</c:v>
                </c:pt>
                <c:pt idx="54">
                  <c:v>43282</c:v>
                </c:pt>
                <c:pt idx="55">
                  <c:v>43313</c:v>
                </c:pt>
                <c:pt idx="56">
                  <c:v>43344</c:v>
                </c:pt>
                <c:pt idx="57">
                  <c:v>43374</c:v>
                </c:pt>
                <c:pt idx="58">
                  <c:v>43405</c:v>
                </c:pt>
                <c:pt idx="59">
                  <c:v>43435</c:v>
                </c:pt>
                <c:pt idx="60">
                  <c:v>43466</c:v>
                </c:pt>
                <c:pt idx="61">
                  <c:v>43497</c:v>
                </c:pt>
                <c:pt idx="62">
                  <c:v>43525</c:v>
                </c:pt>
                <c:pt idx="63">
                  <c:v>43556</c:v>
                </c:pt>
                <c:pt idx="64">
                  <c:v>43586</c:v>
                </c:pt>
                <c:pt idx="65">
                  <c:v>43617</c:v>
                </c:pt>
                <c:pt idx="66">
                  <c:v>43647</c:v>
                </c:pt>
                <c:pt idx="67">
                  <c:v>43678</c:v>
                </c:pt>
                <c:pt idx="68">
                  <c:v>43709</c:v>
                </c:pt>
                <c:pt idx="69">
                  <c:v>43739</c:v>
                </c:pt>
                <c:pt idx="70">
                  <c:v>43770</c:v>
                </c:pt>
                <c:pt idx="71">
                  <c:v>43800</c:v>
                </c:pt>
                <c:pt idx="72">
                  <c:v>43831</c:v>
                </c:pt>
                <c:pt idx="73">
                  <c:v>43862</c:v>
                </c:pt>
                <c:pt idx="74">
                  <c:v>43891</c:v>
                </c:pt>
                <c:pt idx="75">
                  <c:v>43922</c:v>
                </c:pt>
                <c:pt idx="76">
                  <c:v>43952</c:v>
                </c:pt>
                <c:pt idx="77">
                  <c:v>43983</c:v>
                </c:pt>
                <c:pt idx="78">
                  <c:v>44013</c:v>
                </c:pt>
                <c:pt idx="79">
                  <c:v>44044</c:v>
                </c:pt>
                <c:pt idx="80">
                  <c:v>44075</c:v>
                </c:pt>
                <c:pt idx="81">
                  <c:v>44105</c:v>
                </c:pt>
                <c:pt idx="82">
                  <c:v>44136</c:v>
                </c:pt>
                <c:pt idx="83">
                  <c:v>44166</c:v>
                </c:pt>
                <c:pt idx="84">
                  <c:v>44197</c:v>
                </c:pt>
                <c:pt idx="85">
                  <c:v>44228</c:v>
                </c:pt>
                <c:pt idx="86">
                  <c:v>44256</c:v>
                </c:pt>
                <c:pt idx="87">
                  <c:v>44287</c:v>
                </c:pt>
                <c:pt idx="88">
                  <c:v>44317</c:v>
                </c:pt>
                <c:pt idx="89">
                  <c:v>44348</c:v>
                </c:pt>
                <c:pt idx="90">
                  <c:v>44378</c:v>
                </c:pt>
                <c:pt idx="91">
                  <c:v>44409</c:v>
                </c:pt>
                <c:pt idx="92">
                  <c:v>44440</c:v>
                </c:pt>
                <c:pt idx="93">
                  <c:v>44470</c:v>
                </c:pt>
                <c:pt idx="94">
                  <c:v>44501</c:v>
                </c:pt>
                <c:pt idx="95">
                  <c:v>44531</c:v>
                </c:pt>
                <c:pt idx="96">
                  <c:v>44562</c:v>
                </c:pt>
                <c:pt idx="97">
                  <c:v>44593</c:v>
                </c:pt>
                <c:pt idx="98">
                  <c:v>44621</c:v>
                </c:pt>
                <c:pt idx="99">
                  <c:v>44652</c:v>
                </c:pt>
                <c:pt idx="100">
                  <c:v>44682</c:v>
                </c:pt>
                <c:pt idx="101">
                  <c:v>44713</c:v>
                </c:pt>
                <c:pt idx="102">
                  <c:v>44743</c:v>
                </c:pt>
                <c:pt idx="103">
                  <c:v>44774</c:v>
                </c:pt>
                <c:pt idx="104">
                  <c:v>44805</c:v>
                </c:pt>
                <c:pt idx="105">
                  <c:v>44835</c:v>
                </c:pt>
                <c:pt idx="106">
                  <c:v>44866</c:v>
                </c:pt>
                <c:pt idx="107">
                  <c:v>44896</c:v>
                </c:pt>
                <c:pt idx="108">
                  <c:v>44927</c:v>
                </c:pt>
                <c:pt idx="109">
                  <c:v>44958</c:v>
                </c:pt>
                <c:pt idx="110">
                  <c:v>44986</c:v>
                </c:pt>
                <c:pt idx="111">
                  <c:v>45017</c:v>
                </c:pt>
                <c:pt idx="112">
                  <c:v>45047</c:v>
                </c:pt>
                <c:pt idx="113">
                  <c:v>45078</c:v>
                </c:pt>
                <c:pt idx="114">
                  <c:v>45108</c:v>
                </c:pt>
                <c:pt idx="115">
                  <c:v>45139</c:v>
                </c:pt>
                <c:pt idx="116">
                  <c:v>45170</c:v>
                </c:pt>
                <c:pt idx="117">
                  <c:v>45200</c:v>
                </c:pt>
                <c:pt idx="118">
                  <c:v>45231</c:v>
                </c:pt>
                <c:pt idx="119">
                  <c:v>45261</c:v>
                </c:pt>
              </c:numCache>
            </c:numRef>
          </c:cat>
          <c:val>
            <c:numRef>
              <c:f>'Exercise 1 template'!$B$2:$B$121</c:f>
              <c:numCache>
                <c:formatCode>General</c:formatCode>
                <c:ptCount val="120"/>
                <c:pt idx="0">
                  <c:v>31.863426</c:v>
                </c:pt>
                <c:pt idx="1">
                  <c:v>32.259186</c:v>
                </c:pt>
                <c:pt idx="2">
                  <c:v>34.774731000000003</c:v>
                </c:pt>
                <c:pt idx="3">
                  <c:v>34.274185000000003</c:v>
                </c:pt>
                <c:pt idx="4">
                  <c:v>34.732300000000002</c:v>
                </c:pt>
                <c:pt idx="5">
                  <c:v>35.626632999999998</c:v>
                </c:pt>
                <c:pt idx="6">
                  <c:v>36.873992999999999</c:v>
                </c:pt>
                <c:pt idx="7">
                  <c:v>38.813389000000001</c:v>
                </c:pt>
                <c:pt idx="8">
                  <c:v>39.855308999999998</c:v>
                </c:pt>
                <c:pt idx="9">
                  <c:v>40.362533999999997</c:v>
                </c:pt>
                <c:pt idx="10">
                  <c:v>41.101875</c:v>
                </c:pt>
                <c:pt idx="11">
                  <c:v>40.184562999999997</c:v>
                </c:pt>
                <c:pt idx="12">
                  <c:v>34.950626</c:v>
                </c:pt>
                <c:pt idx="13">
                  <c:v>37.935253000000003</c:v>
                </c:pt>
                <c:pt idx="14">
                  <c:v>35.425873000000003</c:v>
                </c:pt>
                <c:pt idx="15">
                  <c:v>42.378601000000003</c:v>
                </c:pt>
                <c:pt idx="16">
                  <c:v>40.827744000000003</c:v>
                </c:pt>
                <c:pt idx="17">
                  <c:v>38.716591000000001</c:v>
                </c:pt>
                <c:pt idx="18">
                  <c:v>40.952778000000002</c:v>
                </c:pt>
                <c:pt idx="19">
                  <c:v>38.164138999999999</c:v>
                </c:pt>
                <c:pt idx="20">
                  <c:v>39.069012000000001</c:v>
                </c:pt>
                <c:pt idx="21">
                  <c:v>46.466183000000001</c:v>
                </c:pt>
                <c:pt idx="22">
                  <c:v>47.975616000000002</c:v>
                </c:pt>
                <c:pt idx="23">
                  <c:v>49.303165</c:v>
                </c:pt>
                <c:pt idx="24">
                  <c:v>48.956595999999998</c:v>
                </c:pt>
                <c:pt idx="25">
                  <c:v>45.215321000000003</c:v>
                </c:pt>
                <c:pt idx="26">
                  <c:v>49.433411</c:v>
                </c:pt>
                <c:pt idx="27">
                  <c:v>44.635967000000001</c:v>
                </c:pt>
                <c:pt idx="28">
                  <c:v>47.437449999999998</c:v>
                </c:pt>
                <c:pt idx="29">
                  <c:v>46.119858000000001</c:v>
                </c:pt>
                <c:pt idx="30">
                  <c:v>51.086060000000003</c:v>
                </c:pt>
                <c:pt idx="31">
                  <c:v>51.789082000000001</c:v>
                </c:pt>
                <c:pt idx="32">
                  <c:v>52.238833999999997</c:v>
                </c:pt>
                <c:pt idx="33">
                  <c:v>54.342888000000002</c:v>
                </c:pt>
                <c:pt idx="34">
                  <c:v>54.651249</c:v>
                </c:pt>
                <c:pt idx="35">
                  <c:v>56.736984</c:v>
                </c:pt>
                <c:pt idx="36">
                  <c:v>59.028748</c:v>
                </c:pt>
                <c:pt idx="37">
                  <c:v>58.416995999999997</c:v>
                </c:pt>
                <c:pt idx="38">
                  <c:v>60.498100000000001</c:v>
                </c:pt>
                <c:pt idx="39">
                  <c:v>62.886398</c:v>
                </c:pt>
                <c:pt idx="40">
                  <c:v>64.154053000000005</c:v>
                </c:pt>
                <c:pt idx="41">
                  <c:v>63.681091000000002</c:v>
                </c:pt>
                <c:pt idx="42">
                  <c:v>67.16404</c:v>
                </c:pt>
                <c:pt idx="43">
                  <c:v>69.076369999999997</c:v>
                </c:pt>
                <c:pt idx="44">
                  <c:v>69.184380000000004</c:v>
                </c:pt>
                <c:pt idx="45">
                  <c:v>77.255393999999995</c:v>
                </c:pt>
                <c:pt idx="46">
                  <c:v>78.174888999999993</c:v>
                </c:pt>
                <c:pt idx="47">
                  <c:v>79.846298000000004</c:v>
                </c:pt>
                <c:pt idx="48">
                  <c:v>88.685958999999997</c:v>
                </c:pt>
                <c:pt idx="49">
                  <c:v>87.528487999999996</c:v>
                </c:pt>
                <c:pt idx="50">
                  <c:v>85.595107999999996</c:v>
                </c:pt>
                <c:pt idx="51">
                  <c:v>87.705192999999994</c:v>
                </c:pt>
                <c:pt idx="52">
                  <c:v>92.694412</c:v>
                </c:pt>
                <c:pt idx="53">
                  <c:v>92.879554999999996</c:v>
                </c:pt>
                <c:pt idx="54">
                  <c:v>99.915481999999997</c:v>
                </c:pt>
                <c:pt idx="55">
                  <c:v>105.802246</c:v>
                </c:pt>
                <c:pt idx="56">
                  <c:v>108.13827499999999</c:v>
                </c:pt>
                <c:pt idx="57">
                  <c:v>100.990189</c:v>
                </c:pt>
                <c:pt idx="58">
                  <c:v>104.84788500000001</c:v>
                </c:pt>
                <c:pt idx="59">
                  <c:v>96.450599999999994</c:v>
                </c:pt>
                <c:pt idx="60">
                  <c:v>99.166427999999996</c:v>
                </c:pt>
                <c:pt idx="61">
                  <c:v>106.383369</c:v>
                </c:pt>
                <c:pt idx="62">
                  <c:v>112.47378500000001</c:v>
                </c:pt>
                <c:pt idx="63">
                  <c:v>124.547028</c:v>
                </c:pt>
                <c:pt idx="64">
                  <c:v>117.947762</c:v>
                </c:pt>
                <c:pt idx="65">
                  <c:v>128.22421299999999</c:v>
                </c:pt>
                <c:pt idx="66">
                  <c:v>130.43528699999999</c:v>
                </c:pt>
                <c:pt idx="67">
                  <c:v>131.95721399999999</c:v>
                </c:pt>
                <c:pt idx="68">
                  <c:v>133.520264</c:v>
                </c:pt>
                <c:pt idx="69">
                  <c:v>137.68826300000001</c:v>
                </c:pt>
                <c:pt idx="70">
                  <c:v>145.380844</c:v>
                </c:pt>
                <c:pt idx="71">
                  <c:v>151.965698</c:v>
                </c:pt>
                <c:pt idx="72">
                  <c:v>164.0401</c:v>
                </c:pt>
                <c:pt idx="73">
                  <c:v>156.11897300000001</c:v>
                </c:pt>
                <c:pt idx="74">
                  <c:v>152.390457</c:v>
                </c:pt>
                <c:pt idx="75">
                  <c:v>173.16525300000001</c:v>
                </c:pt>
                <c:pt idx="76">
                  <c:v>177.06895399999999</c:v>
                </c:pt>
                <c:pt idx="77">
                  <c:v>197.19328300000001</c:v>
                </c:pt>
                <c:pt idx="78">
                  <c:v>198.64672899999999</c:v>
                </c:pt>
                <c:pt idx="79">
                  <c:v>218.52981600000001</c:v>
                </c:pt>
                <c:pt idx="80">
                  <c:v>204.29425000000001</c:v>
                </c:pt>
                <c:pt idx="81">
                  <c:v>196.65980500000001</c:v>
                </c:pt>
                <c:pt idx="82">
                  <c:v>207.92690999999999</c:v>
                </c:pt>
                <c:pt idx="83">
                  <c:v>216.60290499999999</c:v>
                </c:pt>
                <c:pt idx="84">
                  <c:v>225.89338699999999</c:v>
                </c:pt>
                <c:pt idx="85">
                  <c:v>226.30242899999999</c:v>
                </c:pt>
                <c:pt idx="86">
                  <c:v>230.13256799999999</c:v>
                </c:pt>
                <c:pt idx="87">
                  <c:v>246.15020799999999</c:v>
                </c:pt>
                <c:pt idx="88">
                  <c:v>243.709946</c:v>
                </c:pt>
                <c:pt idx="89">
                  <c:v>265.03323399999999</c:v>
                </c:pt>
                <c:pt idx="90">
                  <c:v>278.73974600000003</c:v>
                </c:pt>
                <c:pt idx="91">
                  <c:v>295.34225500000002</c:v>
                </c:pt>
                <c:pt idx="92">
                  <c:v>276.34252900000001</c:v>
                </c:pt>
                <c:pt idx="93">
                  <c:v>325.05926499999998</c:v>
                </c:pt>
                <c:pt idx="94">
                  <c:v>324.04965199999998</c:v>
                </c:pt>
                <c:pt idx="95">
                  <c:v>330.269409</c:v>
                </c:pt>
                <c:pt idx="96">
                  <c:v>305.38528400000001</c:v>
                </c:pt>
                <c:pt idx="97">
                  <c:v>293.414581</c:v>
                </c:pt>
                <c:pt idx="98">
                  <c:v>303.38937399999998</c:v>
                </c:pt>
                <c:pt idx="99">
                  <c:v>273.09075899999999</c:v>
                </c:pt>
                <c:pt idx="100">
                  <c:v>267.530914</c:v>
                </c:pt>
                <c:pt idx="101">
                  <c:v>253.31959499999999</c:v>
                </c:pt>
                <c:pt idx="102">
                  <c:v>276.90277099999997</c:v>
                </c:pt>
                <c:pt idx="103">
                  <c:v>257.89617900000002</c:v>
                </c:pt>
                <c:pt idx="104">
                  <c:v>230.20426900000001</c:v>
                </c:pt>
                <c:pt idx="105">
                  <c:v>229.443207</c:v>
                </c:pt>
                <c:pt idx="106">
                  <c:v>252.18689000000001</c:v>
                </c:pt>
                <c:pt idx="107">
                  <c:v>237.71225000000001</c:v>
                </c:pt>
                <c:pt idx="108">
                  <c:v>245.631989</c:v>
                </c:pt>
                <c:pt idx="109">
                  <c:v>247.227844</c:v>
                </c:pt>
                <c:pt idx="110">
                  <c:v>286.48187300000001</c:v>
                </c:pt>
                <c:pt idx="111">
                  <c:v>305.32232699999997</c:v>
                </c:pt>
                <c:pt idx="112">
                  <c:v>326.31909200000001</c:v>
                </c:pt>
                <c:pt idx="113">
                  <c:v>339.13220200000001</c:v>
                </c:pt>
                <c:pt idx="114">
                  <c:v>334.53131100000002</c:v>
                </c:pt>
                <c:pt idx="115">
                  <c:v>326.40505999999999</c:v>
                </c:pt>
                <c:pt idx="116">
                  <c:v>315.11044299999998</c:v>
                </c:pt>
                <c:pt idx="117">
                  <c:v>337.42514</c:v>
                </c:pt>
                <c:pt idx="118">
                  <c:v>378.142517</c:v>
                </c:pt>
                <c:pt idx="119">
                  <c:v>368.79998799999998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8-844D-8D5E-842ED05D2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5501119"/>
        <c:axId val="1765616223"/>
      </c:lineChart>
      <c:dateAx>
        <c:axId val="176550111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65616223"/>
        <c:crosses val="autoZero"/>
        <c:auto val="1"/>
        <c:lblOffset val="100"/>
        <c:baseTimeUnit val="months"/>
      </c:dateAx>
      <c:valAx>
        <c:axId val="176561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65501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'Exercise 2 template'!$D$1</c:f>
              <c:strCache>
                <c:ptCount val="1"/>
                <c:pt idx="0">
                  <c:v>MSFT return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'Exercise 2 template'!$A$2:$A$121</c:f>
              <c:numCache>
                <c:formatCode>m/d/yy</c:formatCode>
                <c:ptCount val="120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  <c:pt idx="36">
                  <c:v>42736</c:v>
                </c:pt>
                <c:pt idx="37">
                  <c:v>42767</c:v>
                </c:pt>
                <c:pt idx="38">
                  <c:v>42795</c:v>
                </c:pt>
                <c:pt idx="39">
                  <c:v>42826</c:v>
                </c:pt>
                <c:pt idx="40">
                  <c:v>42856</c:v>
                </c:pt>
                <c:pt idx="41">
                  <c:v>42887</c:v>
                </c:pt>
                <c:pt idx="42">
                  <c:v>42917</c:v>
                </c:pt>
                <c:pt idx="43">
                  <c:v>42948</c:v>
                </c:pt>
                <c:pt idx="44">
                  <c:v>42979</c:v>
                </c:pt>
                <c:pt idx="45">
                  <c:v>43009</c:v>
                </c:pt>
                <c:pt idx="46">
                  <c:v>43040</c:v>
                </c:pt>
                <c:pt idx="47">
                  <c:v>43070</c:v>
                </c:pt>
                <c:pt idx="48">
                  <c:v>43101</c:v>
                </c:pt>
                <c:pt idx="49">
                  <c:v>43132</c:v>
                </c:pt>
                <c:pt idx="50">
                  <c:v>43160</c:v>
                </c:pt>
                <c:pt idx="51">
                  <c:v>43191</c:v>
                </c:pt>
                <c:pt idx="52">
                  <c:v>43221</c:v>
                </c:pt>
                <c:pt idx="53">
                  <c:v>43252</c:v>
                </c:pt>
                <c:pt idx="54">
                  <c:v>43282</c:v>
                </c:pt>
                <c:pt idx="55">
                  <c:v>43313</c:v>
                </c:pt>
                <c:pt idx="56">
                  <c:v>43344</c:v>
                </c:pt>
                <c:pt idx="57">
                  <c:v>43374</c:v>
                </c:pt>
                <c:pt idx="58">
                  <c:v>43405</c:v>
                </c:pt>
                <c:pt idx="59">
                  <c:v>43435</c:v>
                </c:pt>
                <c:pt idx="60">
                  <c:v>43466</c:v>
                </c:pt>
                <c:pt idx="61">
                  <c:v>43497</c:v>
                </c:pt>
                <c:pt idx="62">
                  <c:v>43525</c:v>
                </c:pt>
                <c:pt idx="63">
                  <c:v>43556</c:v>
                </c:pt>
                <c:pt idx="64">
                  <c:v>43586</c:v>
                </c:pt>
                <c:pt idx="65">
                  <c:v>43617</c:v>
                </c:pt>
                <c:pt idx="66">
                  <c:v>43647</c:v>
                </c:pt>
                <c:pt idx="67">
                  <c:v>43678</c:v>
                </c:pt>
                <c:pt idx="68">
                  <c:v>43709</c:v>
                </c:pt>
                <c:pt idx="69">
                  <c:v>43739</c:v>
                </c:pt>
                <c:pt idx="70">
                  <c:v>43770</c:v>
                </c:pt>
                <c:pt idx="71">
                  <c:v>43800</c:v>
                </c:pt>
                <c:pt idx="72">
                  <c:v>43831</c:v>
                </c:pt>
                <c:pt idx="73">
                  <c:v>43862</c:v>
                </c:pt>
                <c:pt idx="74">
                  <c:v>43891</c:v>
                </c:pt>
                <c:pt idx="75">
                  <c:v>43922</c:v>
                </c:pt>
                <c:pt idx="76">
                  <c:v>43952</c:v>
                </c:pt>
                <c:pt idx="77">
                  <c:v>43983</c:v>
                </c:pt>
                <c:pt idx="78">
                  <c:v>44013</c:v>
                </c:pt>
                <c:pt idx="79">
                  <c:v>44044</c:v>
                </c:pt>
                <c:pt idx="80">
                  <c:v>44075</c:v>
                </c:pt>
                <c:pt idx="81">
                  <c:v>44105</c:v>
                </c:pt>
                <c:pt idx="82">
                  <c:v>44136</c:v>
                </c:pt>
                <c:pt idx="83">
                  <c:v>44166</c:v>
                </c:pt>
                <c:pt idx="84">
                  <c:v>44197</c:v>
                </c:pt>
                <c:pt idx="85">
                  <c:v>44228</c:v>
                </c:pt>
                <c:pt idx="86">
                  <c:v>44256</c:v>
                </c:pt>
                <c:pt idx="87">
                  <c:v>44287</c:v>
                </c:pt>
                <c:pt idx="88">
                  <c:v>44317</c:v>
                </c:pt>
                <c:pt idx="89">
                  <c:v>44348</c:v>
                </c:pt>
                <c:pt idx="90">
                  <c:v>44378</c:v>
                </c:pt>
                <c:pt idx="91">
                  <c:v>44409</c:v>
                </c:pt>
                <c:pt idx="92">
                  <c:v>44440</c:v>
                </c:pt>
                <c:pt idx="93">
                  <c:v>44470</c:v>
                </c:pt>
                <c:pt idx="94">
                  <c:v>44501</c:v>
                </c:pt>
                <c:pt idx="95">
                  <c:v>44531</c:v>
                </c:pt>
                <c:pt idx="96">
                  <c:v>44562</c:v>
                </c:pt>
                <c:pt idx="97">
                  <c:v>44593</c:v>
                </c:pt>
                <c:pt idx="98">
                  <c:v>44621</c:v>
                </c:pt>
                <c:pt idx="99">
                  <c:v>44652</c:v>
                </c:pt>
                <c:pt idx="100">
                  <c:v>44682</c:v>
                </c:pt>
                <c:pt idx="101">
                  <c:v>44713</c:v>
                </c:pt>
                <c:pt idx="102">
                  <c:v>44743</c:v>
                </c:pt>
                <c:pt idx="103">
                  <c:v>44774</c:v>
                </c:pt>
                <c:pt idx="104">
                  <c:v>44805</c:v>
                </c:pt>
                <c:pt idx="105">
                  <c:v>44835</c:v>
                </c:pt>
                <c:pt idx="106">
                  <c:v>44866</c:v>
                </c:pt>
                <c:pt idx="107">
                  <c:v>44896</c:v>
                </c:pt>
                <c:pt idx="108">
                  <c:v>44927</c:v>
                </c:pt>
                <c:pt idx="109">
                  <c:v>44958</c:v>
                </c:pt>
                <c:pt idx="110">
                  <c:v>44986</c:v>
                </c:pt>
                <c:pt idx="111">
                  <c:v>45017</c:v>
                </c:pt>
                <c:pt idx="112">
                  <c:v>45047</c:v>
                </c:pt>
                <c:pt idx="113">
                  <c:v>45078</c:v>
                </c:pt>
                <c:pt idx="114">
                  <c:v>45108</c:v>
                </c:pt>
                <c:pt idx="115">
                  <c:v>45139</c:v>
                </c:pt>
                <c:pt idx="116">
                  <c:v>45170</c:v>
                </c:pt>
                <c:pt idx="117">
                  <c:v>45200</c:v>
                </c:pt>
                <c:pt idx="118">
                  <c:v>45231</c:v>
                </c:pt>
                <c:pt idx="119">
                  <c:v>45261</c:v>
                </c:pt>
              </c:numCache>
            </c:numRef>
          </c:cat>
          <c:val>
            <c:numRef>
              <c:f>'Exercise 2 template'!$D$2:$D$121</c:f>
              <c:numCache>
                <c:formatCode>General</c:formatCode>
                <c:ptCount val="120"/>
                <c:pt idx="1">
                  <c:v>1.2420509960228365E-2</c:v>
                </c:pt>
                <c:pt idx="2">
                  <c:v>7.7979183975690036E-2</c:v>
                </c:pt>
                <c:pt idx="3">
                  <c:v>-1.439395749747141E-2</c:v>
                </c:pt>
                <c:pt idx="4">
                  <c:v>1.3366182157212414E-2</c:v>
                </c:pt>
                <c:pt idx="5">
                  <c:v>2.5749316918257437E-2</c:v>
                </c:pt>
                <c:pt idx="6">
                  <c:v>3.5012009133728705E-2</c:v>
                </c:pt>
                <c:pt idx="7">
                  <c:v>5.2595226125903949E-2</c:v>
                </c:pt>
                <c:pt idx="8">
                  <c:v>2.6844344872847703E-2</c:v>
                </c:pt>
                <c:pt idx="9">
                  <c:v>1.2726660832061309E-2</c:v>
                </c:pt>
                <c:pt idx="10">
                  <c:v>1.8317507022725721E-2</c:v>
                </c:pt>
                <c:pt idx="11">
                  <c:v>-2.2318008606663331E-2</c:v>
                </c:pt>
                <c:pt idx="12">
                  <c:v>-0.13024745348107925</c:v>
                </c:pt>
                <c:pt idx="13">
                  <c:v>8.5395523387764349E-2</c:v>
                </c:pt>
                <c:pt idx="14">
                  <c:v>-6.6149025024295982E-2</c:v>
                </c:pt>
                <c:pt idx="15">
                  <c:v>0.19626130314417378</c:v>
                </c:pt>
                <c:pt idx="16">
                  <c:v>-3.6595285436628711E-2</c:v>
                </c:pt>
                <c:pt idx="17">
                  <c:v>-5.1708784105239824E-2</c:v>
                </c:pt>
                <c:pt idx="18">
                  <c:v>5.7757848566781123E-2</c:v>
                </c:pt>
                <c:pt idx="19">
                  <c:v>-6.8094013060603698E-2</c:v>
                </c:pt>
                <c:pt idx="20">
                  <c:v>2.3710033128220287E-2</c:v>
                </c:pt>
                <c:pt idx="21">
                  <c:v>0.18933601392325961</c:v>
                </c:pt>
                <c:pt idx="22">
                  <c:v>3.2484549032142374E-2</c:v>
                </c:pt>
                <c:pt idx="23">
                  <c:v>2.7671327867890172E-2</c:v>
                </c:pt>
                <c:pt idx="24">
                  <c:v>-7.0293458847926482E-3</c:v>
                </c:pt>
                <c:pt idx="25">
                  <c:v>-7.6420243760411677E-2</c:v>
                </c:pt>
                <c:pt idx="26">
                  <c:v>9.3288953980886102E-2</c:v>
                </c:pt>
                <c:pt idx="27">
                  <c:v>-9.7048613537916717E-2</c:v>
                </c:pt>
                <c:pt idx="28">
                  <c:v>6.2762905976698091E-2</c:v>
                </c:pt>
                <c:pt idx="29">
                  <c:v>-2.777535470393111E-2</c:v>
                </c:pt>
                <c:pt idx="30">
                  <c:v>0.10768034021266937</c:v>
                </c:pt>
                <c:pt idx="31">
                  <c:v>1.3761523202219905E-2</c:v>
                </c:pt>
                <c:pt idx="32">
                  <c:v>8.6843014518001027E-3</c:v>
                </c:pt>
                <c:pt idx="33">
                  <c:v>4.0277583531056704E-2</c:v>
                </c:pt>
                <c:pt idx="34">
                  <c:v>5.6743579767051244E-3</c:v>
                </c:pt>
                <c:pt idx="35">
                  <c:v>3.81644525635636E-2</c:v>
                </c:pt>
                <c:pt idx="36">
                  <c:v>4.0392770965760105E-2</c:v>
                </c:pt>
                <c:pt idx="37">
                  <c:v>-1.0363628244326017E-2</c:v>
                </c:pt>
                <c:pt idx="38">
                  <c:v>3.5624974622111782E-2</c:v>
                </c:pt>
                <c:pt idx="39">
                  <c:v>3.9477239781084084E-2</c:v>
                </c:pt>
                <c:pt idx="40">
                  <c:v>2.0157856711716882E-2</c:v>
                </c:pt>
                <c:pt idx="41">
                  <c:v>-7.3722855826428013E-3</c:v>
                </c:pt>
                <c:pt idx="42">
                  <c:v>5.4693613838996624E-2</c:v>
                </c:pt>
                <c:pt idx="43">
                  <c:v>2.8472527858657726E-2</c:v>
                </c:pt>
                <c:pt idx="44">
                  <c:v>1.5636316731757471E-3</c:v>
                </c:pt>
                <c:pt idx="45">
                  <c:v>0.11665948296421802</c:v>
                </c:pt>
                <c:pt idx="46">
                  <c:v>1.1902016835225737E-2</c:v>
                </c:pt>
                <c:pt idx="47">
                  <c:v>2.1380382132682119E-2</c:v>
                </c:pt>
                <c:pt idx="48">
                  <c:v>0.11070846390398703</c:v>
                </c:pt>
                <c:pt idx="49">
                  <c:v>-1.3051344463670955E-2</c:v>
                </c:pt>
                <c:pt idx="50">
                  <c:v>-2.2088579891840432E-2</c:v>
                </c:pt>
                <c:pt idx="51">
                  <c:v>2.4651934547474275E-2</c:v>
                </c:pt>
                <c:pt idx="52">
                  <c:v>5.688624389664132E-2</c:v>
                </c:pt>
                <c:pt idx="53">
                  <c:v>1.9973480170518698E-3</c:v>
                </c:pt>
                <c:pt idx="54">
                  <c:v>7.5753237620486136E-2</c:v>
                </c:pt>
                <c:pt idx="55">
                  <c:v>5.8917435838421905E-2</c:v>
                </c:pt>
                <c:pt idx="56">
                  <c:v>2.2079200473683613E-2</c:v>
                </c:pt>
                <c:pt idx="57">
                  <c:v>-6.6101350331323361E-2</c:v>
                </c:pt>
                <c:pt idx="58">
                  <c:v>3.8198720471747993E-2</c:v>
                </c:pt>
                <c:pt idx="59">
                  <c:v>-8.0090170631482049E-2</c:v>
                </c:pt>
                <c:pt idx="60">
                  <c:v>2.8157709749861537E-2</c:v>
                </c:pt>
                <c:pt idx="61">
                  <c:v>7.2776050782024759E-2</c:v>
                </c:pt>
                <c:pt idx="62">
                  <c:v>5.7249700373749324E-2</c:v>
                </c:pt>
                <c:pt idx="63">
                  <c:v>0.10734272879675899</c:v>
                </c:pt>
                <c:pt idx="64">
                  <c:v>-5.2986137894835972E-2</c:v>
                </c:pt>
                <c:pt idx="65">
                  <c:v>8.7127138537821391E-2</c:v>
                </c:pt>
                <c:pt idx="66">
                  <c:v>1.724381026226296E-2</c:v>
                </c:pt>
                <c:pt idx="67">
                  <c:v>1.1668061879604785E-2</c:v>
                </c:pt>
                <c:pt idx="68">
                  <c:v>1.1845127315282644E-2</c:v>
                </c:pt>
                <c:pt idx="69">
                  <c:v>3.1216227972706845E-2</c:v>
                </c:pt>
                <c:pt idx="70">
                  <c:v>5.5869547864076052E-2</c:v>
                </c:pt>
                <c:pt idx="71">
                  <c:v>4.5293821516127819E-2</c:v>
                </c:pt>
                <c:pt idx="72">
                  <c:v>7.9454785908330328E-2</c:v>
                </c:pt>
                <c:pt idx="73">
                  <c:v>-4.8287747934803615E-2</c:v>
                </c:pt>
                <c:pt idx="74">
                  <c:v>-2.3882529639751127E-2</c:v>
                </c:pt>
                <c:pt idx="75">
                  <c:v>0.13632609553759667</c:v>
                </c:pt>
                <c:pt idx="76">
                  <c:v>2.254321194564346E-2</c:v>
                </c:pt>
                <c:pt idx="77">
                  <c:v>0.11365249833689095</c:v>
                </c:pt>
                <c:pt idx="78">
                  <c:v>7.3706668801694075E-3</c:v>
                </c:pt>
                <c:pt idx="79">
                  <c:v>0.10009269772571994</c:v>
                </c:pt>
                <c:pt idx="80">
                  <c:v>-6.5142442622108887E-2</c:v>
                </c:pt>
                <c:pt idx="81">
                  <c:v>-3.7369847658463184E-2</c:v>
                </c:pt>
                <c:pt idx="82">
                  <c:v>5.729236332762544E-2</c:v>
                </c:pt>
                <c:pt idx="83">
                  <c:v>4.1726176760862765E-2</c:v>
                </c:pt>
                <c:pt idx="84">
                  <c:v>4.289177008036904E-2</c:v>
                </c:pt>
                <c:pt idx="85">
                  <c:v>1.8107745668534125E-3</c:v>
                </c:pt>
                <c:pt idx="86">
                  <c:v>1.6924869153746469E-2</c:v>
                </c:pt>
                <c:pt idx="87">
                  <c:v>6.9601795778857278E-2</c:v>
                </c:pt>
                <c:pt idx="88">
                  <c:v>-9.9137108996470991E-3</c:v>
                </c:pt>
                <c:pt idx="89">
                  <c:v>8.7494533358109194E-2</c:v>
                </c:pt>
                <c:pt idx="90">
                  <c:v>5.1716200995381767E-2</c:v>
                </c:pt>
                <c:pt idx="91">
                  <c:v>5.9562761458496816E-2</c:v>
                </c:pt>
                <c:pt idx="92">
                  <c:v>-6.4331214644514745E-2</c:v>
                </c:pt>
                <c:pt idx="93">
                  <c:v>0.17629112745074416</c:v>
                </c:pt>
                <c:pt idx="94">
                  <c:v>-3.1059351592394036E-3</c:v>
                </c:pt>
                <c:pt idx="95">
                  <c:v>1.9193839467539497E-2</c:v>
                </c:pt>
                <c:pt idx="96">
                  <c:v>-7.5344928479282758E-2</c:v>
                </c:pt>
                <c:pt idx="97">
                  <c:v>-3.9198689744329718E-2</c:v>
                </c:pt>
                <c:pt idx="98">
                  <c:v>3.3995560022969551E-2</c:v>
                </c:pt>
                <c:pt idx="99">
                  <c:v>-9.9867093565379705E-2</c:v>
                </c:pt>
                <c:pt idx="100">
                  <c:v>-2.0358964251880773E-2</c:v>
                </c:pt>
                <c:pt idx="101">
                  <c:v>-5.3120287250242759E-2</c:v>
                </c:pt>
                <c:pt idx="102">
                  <c:v>9.3096532860002412E-2</c:v>
                </c:pt>
                <c:pt idx="103">
                  <c:v>-6.8639948713261401E-2</c:v>
                </c:pt>
                <c:pt idx="104">
                  <c:v>-0.10737619342549465</c:v>
                </c:pt>
                <c:pt idx="105">
                  <c:v>-3.3060290467507025E-3</c:v>
                </c:pt>
                <c:pt idx="106">
                  <c:v>9.9125545259659775E-2</c:v>
                </c:pt>
                <c:pt idx="107">
                  <c:v>-5.7396480840062658E-2</c:v>
                </c:pt>
                <c:pt idx="108">
                  <c:v>3.3316495048109518E-2</c:v>
                </c:pt>
                <c:pt idx="109">
                  <c:v>6.4969347294581148E-3</c:v>
                </c:pt>
                <c:pt idx="110">
                  <c:v>0.15877673147527838</c:v>
                </c:pt>
                <c:pt idx="111">
                  <c:v>6.576490792490719E-2</c:v>
                </c:pt>
                <c:pt idx="112">
                  <c:v>6.8769176516855435E-2</c:v>
                </c:pt>
                <c:pt idx="113">
                  <c:v>3.926558486501297E-2</c:v>
                </c:pt>
                <c:pt idx="114">
                  <c:v>-1.3566659175585971E-2</c:v>
                </c:pt>
                <c:pt idx="115">
                  <c:v>-2.4291451152086752E-2</c:v>
                </c:pt>
                <c:pt idx="116">
                  <c:v>-3.4603069572512246E-2</c:v>
                </c:pt>
                <c:pt idx="117">
                  <c:v>7.0815479130280856E-2</c:v>
                </c:pt>
                <c:pt idx="118">
                  <c:v>0.12067084568743169</c:v>
                </c:pt>
                <c:pt idx="119">
                  <c:v>-2.4706370164664704E-2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02-E74A-8211-25ECB9EBEEC0}"/>
            </c:ext>
          </c:extLst>
        </c:ser>
        <c:ser>
          <c:idx val="1"/>
          <c:order val="1"/>
          <c:tx>
            <c:strRef>
              <c:f>'Exercise 2 template'!$E$1</c:f>
              <c:strCache>
                <c:ptCount val="1"/>
                <c:pt idx="0">
                  <c:v>SPX 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'Exercise 2 template'!$A$2:$A$121</c:f>
              <c:numCache>
                <c:formatCode>m/d/yy</c:formatCode>
                <c:ptCount val="120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  <c:pt idx="36">
                  <c:v>42736</c:v>
                </c:pt>
                <c:pt idx="37">
                  <c:v>42767</c:v>
                </c:pt>
                <c:pt idx="38">
                  <c:v>42795</c:v>
                </c:pt>
                <c:pt idx="39">
                  <c:v>42826</c:v>
                </c:pt>
                <c:pt idx="40">
                  <c:v>42856</c:v>
                </c:pt>
                <c:pt idx="41">
                  <c:v>42887</c:v>
                </c:pt>
                <c:pt idx="42">
                  <c:v>42917</c:v>
                </c:pt>
                <c:pt idx="43">
                  <c:v>42948</c:v>
                </c:pt>
                <c:pt idx="44">
                  <c:v>42979</c:v>
                </c:pt>
                <c:pt idx="45">
                  <c:v>43009</c:v>
                </c:pt>
                <c:pt idx="46">
                  <c:v>43040</c:v>
                </c:pt>
                <c:pt idx="47">
                  <c:v>43070</c:v>
                </c:pt>
                <c:pt idx="48">
                  <c:v>43101</c:v>
                </c:pt>
                <c:pt idx="49">
                  <c:v>43132</c:v>
                </c:pt>
                <c:pt idx="50">
                  <c:v>43160</c:v>
                </c:pt>
                <c:pt idx="51">
                  <c:v>43191</c:v>
                </c:pt>
                <c:pt idx="52">
                  <c:v>43221</c:v>
                </c:pt>
                <c:pt idx="53">
                  <c:v>43252</c:v>
                </c:pt>
                <c:pt idx="54">
                  <c:v>43282</c:v>
                </c:pt>
                <c:pt idx="55">
                  <c:v>43313</c:v>
                </c:pt>
                <c:pt idx="56">
                  <c:v>43344</c:v>
                </c:pt>
                <c:pt idx="57">
                  <c:v>43374</c:v>
                </c:pt>
                <c:pt idx="58">
                  <c:v>43405</c:v>
                </c:pt>
                <c:pt idx="59">
                  <c:v>43435</c:v>
                </c:pt>
                <c:pt idx="60">
                  <c:v>43466</c:v>
                </c:pt>
                <c:pt idx="61">
                  <c:v>43497</c:v>
                </c:pt>
                <c:pt idx="62">
                  <c:v>43525</c:v>
                </c:pt>
                <c:pt idx="63">
                  <c:v>43556</c:v>
                </c:pt>
                <c:pt idx="64">
                  <c:v>43586</c:v>
                </c:pt>
                <c:pt idx="65">
                  <c:v>43617</c:v>
                </c:pt>
                <c:pt idx="66">
                  <c:v>43647</c:v>
                </c:pt>
                <c:pt idx="67">
                  <c:v>43678</c:v>
                </c:pt>
                <c:pt idx="68">
                  <c:v>43709</c:v>
                </c:pt>
                <c:pt idx="69">
                  <c:v>43739</c:v>
                </c:pt>
                <c:pt idx="70">
                  <c:v>43770</c:v>
                </c:pt>
                <c:pt idx="71">
                  <c:v>43800</c:v>
                </c:pt>
                <c:pt idx="72">
                  <c:v>43831</c:v>
                </c:pt>
                <c:pt idx="73">
                  <c:v>43862</c:v>
                </c:pt>
                <c:pt idx="74">
                  <c:v>43891</c:v>
                </c:pt>
                <c:pt idx="75">
                  <c:v>43922</c:v>
                </c:pt>
                <c:pt idx="76">
                  <c:v>43952</c:v>
                </c:pt>
                <c:pt idx="77">
                  <c:v>43983</c:v>
                </c:pt>
                <c:pt idx="78">
                  <c:v>44013</c:v>
                </c:pt>
                <c:pt idx="79">
                  <c:v>44044</c:v>
                </c:pt>
                <c:pt idx="80">
                  <c:v>44075</c:v>
                </c:pt>
                <c:pt idx="81">
                  <c:v>44105</c:v>
                </c:pt>
                <c:pt idx="82">
                  <c:v>44136</c:v>
                </c:pt>
                <c:pt idx="83">
                  <c:v>44166</c:v>
                </c:pt>
                <c:pt idx="84">
                  <c:v>44197</c:v>
                </c:pt>
                <c:pt idx="85">
                  <c:v>44228</c:v>
                </c:pt>
                <c:pt idx="86">
                  <c:v>44256</c:v>
                </c:pt>
                <c:pt idx="87">
                  <c:v>44287</c:v>
                </c:pt>
                <c:pt idx="88">
                  <c:v>44317</c:v>
                </c:pt>
                <c:pt idx="89">
                  <c:v>44348</c:v>
                </c:pt>
                <c:pt idx="90">
                  <c:v>44378</c:v>
                </c:pt>
                <c:pt idx="91">
                  <c:v>44409</c:v>
                </c:pt>
                <c:pt idx="92">
                  <c:v>44440</c:v>
                </c:pt>
                <c:pt idx="93">
                  <c:v>44470</c:v>
                </c:pt>
                <c:pt idx="94">
                  <c:v>44501</c:v>
                </c:pt>
                <c:pt idx="95">
                  <c:v>44531</c:v>
                </c:pt>
                <c:pt idx="96">
                  <c:v>44562</c:v>
                </c:pt>
                <c:pt idx="97">
                  <c:v>44593</c:v>
                </c:pt>
                <c:pt idx="98">
                  <c:v>44621</c:v>
                </c:pt>
                <c:pt idx="99">
                  <c:v>44652</c:v>
                </c:pt>
                <c:pt idx="100">
                  <c:v>44682</c:v>
                </c:pt>
                <c:pt idx="101">
                  <c:v>44713</c:v>
                </c:pt>
                <c:pt idx="102">
                  <c:v>44743</c:v>
                </c:pt>
                <c:pt idx="103">
                  <c:v>44774</c:v>
                </c:pt>
                <c:pt idx="104">
                  <c:v>44805</c:v>
                </c:pt>
                <c:pt idx="105">
                  <c:v>44835</c:v>
                </c:pt>
                <c:pt idx="106">
                  <c:v>44866</c:v>
                </c:pt>
                <c:pt idx="107">
                  <c:v>44896</c:v>
                </c:pt>
                <c:pt idx="108">
                  <c:v>44927</c:v>
                </c:pt>
                <c:pt idx="109">
                  <c:v>44958</c:v>
                </c:pt>
                <c:pt idx="110">
                  <c:v>44986</c:v>
                </c:pt>
                <c:pt idx="111">
                  <c:v>45017</c:v>
                </c:pt>
                <c:pt idx="112">
                  <c:v>45047</c:v>
                </c:pt>
                <c:pt idx="113">
                  <c:v>45078</c:v>
                </c:pt>
                <c:pt idx="114">
                  <c:v>45108</c:v>
                </c:pt>
                <c:pt idx="115">
                  <c:v>45139</c:v>
                </c:pt>
                <c:pt idx="116">
                  <c:v>45170</c:v>
                </c:pt>
                <c:pt idx="117">
                  <c:v>45200</c:v>
                </c:pt>
                <c:pt idx="118">
                  <c:v>45231</c:v>
                </c:pt>
                <c:pt idx="119">
                  <c:v>45261</c:v>
                </c:pt>
              </c:numCache>
            </c:numRef>
          </c:cat>
          <c:val>
            <c:numRef>
              <c:f>'Exercise 2 template'!$E$2:$E$121</c:f>
              <c:numCache>
                <c:formatCode>General</c:formatCode>
                <c:ptCount val="120"/>
                <c:pt idx="1">
                  <c:v>4.3117029976595278E-2</c:v>
                </c:pt>
                <c:pt idx="2">
                  <c:v>6.9321656079357474E-3</c:v>
                </c:pt>
                <c:pt idx="3">
                  <c:v>6.2007889650528281E-3</c:v>
                </c:pt>
                <c:pt idx="4">
                  <c:v>2.1030280012996005E-2</c:v>
                </c:pt>
                <c:pt idx="5">
                  <c:v>1.9058331658920569E-2</c:v>
                </c:pt>
                <c:pt idx="6">
                  <c:v>-1.5079830581919862E-2</c:v>
                </c:pt>
                <c:pt idx="7">
                  <c:v>3.7655295489735119E-2</c:v>
                </c:pt>
                <c:pt idx="8">
                  <c:v>-1.5513837223063764E-2</c:v>
                </c:pt>
                <c:pt idx="9">
                  <c:v>2.3201460786772321E-2</c:v>
                </c:pt>
                <c:pt idx="10">
                  <c:v>2.4533588760364822E-2</c:v>
                </c:pt>
                <c:pt idx="11">
                  <c:v>-4.1885878779204244E-3</c:v>
                </c:pt>
                <c:pt idx="12">
                  <c:v>-3.1040805790470194E-2</c:v>
                </c:pt>
                <c:pt idx="13">
                  <c:v>5.4892511014553946E-2</c:v>
                </c:pt>
                <c:pt idx="14">
                  <c:v>-1.739610691375626E-2</c:v>
                </c:pt>
                <c:pt idx="15">
                  <c:v>8.5208197301247512E-3</c:v>
                </c:pt>
                <c:pt idx="16">
                  <c:v>1.0491382393316817E-2</c:v>
                </c:pt>
                <c:pt idx="17">
                  <c:v>-2.1011672375900514E-2</c:v>
                </c:pt>
                <c:pt idx="18">
                  <c:v>1.9742029696721453E-2</c:v>
                </c:pt>
                <c:pt idx="19">
                  <c:v>-6.2580818167202845E-2</c:v>
                </c:pt>
                <c:pt idx="20">
                  <c:v>-2.6442831573227132E-2</c:v>
                </c:pt>
                <c:pt idx="21">
                  <c:v>8.2983117760394132E-2</c:v>
                </c:pt>
                <c:pt idx="22">
                  <c:v>5.0486926072412786E-4</c:v>
                </c:pt>
                <c:pt idx="23">
                  <c:v>-1.7530185176314439E-2</c:v>
                </c:pt>
                <c:pt idx="24">
                  <c:v>-5.073532197294639E-2</c:v>
                </c:pt>
                <c:pt idx="25">
                  <c:v>-4.1283604302990717E-3</c:v>
                </c:pt>
                <c:pt idx="26">
                  <c:v>6.5991114577365062E-2</c:v>
                </c:pt>
                <c:pt idx="27">
                  <c:v>2.6993984808731941E-3</c:v>
                </c:pt>
                <c:pt idx="28">
                  <c:v>1.5324602357572603E-2</c:v>
                </c:pt>
                <c:pt idx="29">
                  <c:v>9.1092112097812539E-4</c:v>
                </c:pt>
                <c:pt idx="30">
                  <c:v>3.5609801125254359E-2</c:v>
                </c:pt>
                <c:pt idx="31">
                  <c:v>-1.2192431360480427E-3</c:v>
                </c:pt>
                <c:pt idx="32">
                  <c:v>-1.2344508443253854E-3</c:v>
                </c:pt>
                <c:pt idx="33">
                  <c:v>-1.9425679279557517E-2</c:v>
                </c:pt>
                <c:pt idx="34">
                  <c:v>3.4174522187570444E-2</c:v>
                </c:pt>
                <c:pt idx="35">
                  <c:v>1.8200762196895148E-2</c:v>
                </c:pt>
                <c:pt idx="36">
                  <c:v>1.7884358171464498E-2</c:v>
                </c:pt>
                <c:pt idx="37">
                  <c:v>3.7198160337279074E-2</c:v>
                </c:pt>
                <c:pt idx="38">
                  <c:v>-3.8919718808450021E-4</c:v>
                </c:pt>
                <c:pt idx="39">
                  <c:v>9.0912085493182193E-3</c:v>
                </c:pt>
                <c:pt idx="40">
                  <c:v>1.157625139134133E-2</c:v>
                </c:pt>
                <c:pt idx="41">
                  <c:v>4.8137750908554544E-3</c:v>
                </c:pt>
                <c:pt idx="42">
                  <c:v>1.9348826118030571E-2</c:v>
                </c:pt>
                <c:pt idx="43">
                  <c:v>5.4643281108557318E-4</c:v>
                </c:pt>
                <c:pt idx="44">
                  <c:v>1.9302978533243698E-2</c:v>
                </c:pt>
                <c:pt idx="45">
                  <c:v>2.218813533034969E-2</c:v>
                </c:pt>
                <c:pt idx="46">
                  <c:v>2.808262766445857E-2</c:v>
                </c:pt>
                <c:pt idx="47">
                  <c:v>9.8316304826040479E-3</c:v>
                </c:pt>
                <c:pt idx="48">
                  <c:v>5.6178704444133087E-2</c:v>
                </c:pt>
                <c:pt idx="49">
                  <c:v>-3.8947372061896912E-2</c:v>
                </c:pt>
                <c:pt idx="50">
                  <c:v>-2.6884498624825115E-2</c:v>
                </c:pt>
                <c:pt idx="51">
                  <c:v>2.718775131643536E-3</c:v>
                </c:pt>
                <c:pt idx="52">
                  <c:v>2.1608341965291933E-2</c:v>
                </c:pt>
                <c:pt idx="53">
                  <c:v>4.8424360241865472E-3</c:v>
                </c:pt>
                <c:pt idx="54">
                  <c:v>3.6021556221367268E-2</c:v>
                </c:pt>
                <c:pt idx="55">
                  <c:v>3.0263211466054596E-2</c:v>
                </c:pt>
                <c:pt idx="56">
                  <c:v>4.2942871026614426E-3</c:v>
                </c:pt>
                <c:pt idx="57">
                  <c:v>-6.9403356024429486E-2</c:v>
                </c:pt>
                <c:pt idx="58">
                  <c:v>1.7859356788848979E-2</c:v>
                </c:pt>
                <c:pt idx="59">
                  <c:v>-9.1776894596563907E-2</c:v>
                </c:pt>
                <c:pt idx="60">
                  <c:v>7.8684401655036762E-2</c:v>
                </c:pt>
                <c:pt idx="61">
                  <c:v>2.9728889126352298E-2</c:v>
                </c:pt>
                <c:pt idx="62">
                  <c:v>1.7924256211817147E-2</c:v>
                </c:pt>
                <c:pt idx="63">
                  <c:v>3.9313498395682656E-2</c:v>
                </c:pt>
                <c:pt idx="64">
                  <c:v>-6.577773118928687E-2</c:v>
                </c:pt>
                <c:pt idx="65">
                  <c:v>6.8930163925612131E-2</c:v>
                </c:pt>
                <c:pt idx="66">
                  <c:v>1.3128152149977756E-2</c:v>
                </c:pt>
                <c:pt idx="67">
                  <c:v>-1.8091627281326739E-2</c:v>
                </c:pt>
                <c:pt idx="68">
                  <c:v>1.7181177829208583E-2</c:v>
                </c:pt>
                <c:pt idx="69">
                  <c:v>2.0431770730503063E-2</c:v>
                </c:pt>
                <c:pt idx="70">
                  <c:v>3.4047037421886195E-2</c:v>
                </c:pt>
                <c:pt idx="71">
                  <c:v>2.8589818964716907E-2</c:v>
                </c:pt>
                <c:pt idx="72">
                  <c:v>-1.6280925822201864E-3</c:v>
                </c:pt>
                <c:pt idx="73">
                  <c:v>-8.411048367946572E-2</c:v>
                </c:pt>
                <c:pt idx="74">
                  <c:v>-0.12511928245982329</c:v>
                </c:pt>
                <c:pt idx="75">
                  <c:v>0.12684403825663826</c:v>
                </c:pt>
                <c:pt idx="76">
                  <c:v>4.5281819676065593E-2</c:v>
                </c:pt>
                <c:pt idx="77">
                  <c:v>1.8388396357494674E-2</c:v>
                </c:pt>
                <c:pt idx="78">
                  <c:v>5.5101321441235696E-2</c:v>
                </c:pt>
                <c:pt idx="79">
                  <c:v>7.0064667087246457E-2</c:v>
                </c:pt>
                <c:pt idx="80">
                  <c:v>-3.9227970289931413E-2</c:v>
                </c:pt>
                <c:pt idx="81">
                  <c:v>-2.766578620279514E-2</c:v>
                </c:pt>
                <c:pt idx="82">
                  <c:v>0.10754563548003038</c:v>
                </c:pt>
                <c:pt idx="83">
                  <c:v>3.7121458940645669E-2</c:v>
                </c:pt>
                <c:pt idx="84">
                  <c:v>-1.1136660723231162E-2</c:v>
                </c:pt>
                <c:pt idx="85">
                  <c:v>2.6091451349647521E-2</c:v>
                </c:pt>
                <c:pt idx="86">
                  <c:v>4.2438632737883841E-2</c:v>
                </c:pt>
                <c:pt idx="87">
                  <c:v>5.2425321267266289E-2</c:v>
                </c:pt>
                <c:pt idx="88">
                  <c:v>5.4864885732810453E-3</c:v>
                </c:pt>
                <c:pt idx="89">
                  <c:v>2.2214009634219822E-2</c:v>
                </c:pt>
                <c:pt idx="90">
                  <c:v>2.2748054915648686E-2</c:v>
                </c:pt>
                <c:pt idx="91">
                  <c:v>2.8990416217415271E-2</c:v>
                </c:pt>
                <c:pt idx="92">
                  <c:v>-4.7569168861786748E-2</c:v>
                </c:pt>
                <c:pt idx="93">
                  <c:v>6.9143836459647501E-2</c:v>
                </c:pt>
                <c:pt idx="94">
                  <c:v>-8.3337062251199745E-3</c:v>
                </c:pt>
                <c:pt idx="95">
                  <c:v>4.361291350996277E-2</c:v>
                </c:pt>
                <c:pt idx="96">
                  <c:v>-5.258516500531063E-2</c:v>
                </c:pt>
                <c:pt idx="97">
                  <c:v>-3.1360492102910142E-2</c:v>
                </c:pt>
                <c:pt idx="98">
                  <c:v>3.5773288410591908E-2</c:v>
                </c:pt>
                <c:pt idx="99">
                  <c:v>-8.7956711705729274E-2</c:v>
                </c:pt>
                <c:pt idx="100">
                  <c:v>5.3177568506868056E-5</c:v>
                </c:pt>
                <c:pt idx="101">
                  <c:v>-8.3919999812243073E-2</c:v>
                </c:pt>
                <c:pt idx="102">
                  <c:v>9.1116391659653351E-2</c:v>
                </c:pt>
                <c:pt idx="103">
                  <c:v>-4.2440128258508625E-2</c:v>
                </c:pt>
                <c:pt idx="104">
                  <c:v>-9.3395672060682666E-2</c:v>
                </c:pt>
                <c:pt idx="105">
                  <c:v>7.9863413762746971E-2</c:v>
                </c:pt>
                <c:pt idx="106">
                  <c:v>5.3752893371106669E-2</c:v>
                </c:pt>
                <c:pt idx="107">
                  <c:v>-5.8971473977430078E-2</c:v>
                </c:pt>
                <c:pt idx="108">
                  <c:v>6.1752857924208815E-2</c:v>
                </c:pt>
                <c:pt idx="109">
                  <c:v>-2.6112494098262107E-2</c:v>
                </c:pt>
                <c:pt idx="110">
                  <c:v>3.5051612769053664E-2</c:v>
                </c:pt>
                <c:pt idx="111">
                  <c:v>1.4642341448102281E-2</c:v>
                </c:pt>
                <c:pt idx="112">
                  <c:v>2.4823474509163557E-3</c:v>
                </c:pt>
                <c:pt idx="113">
                  <c:v>6.4727464980933958E-2</c:v>
                </c:pt>
                <c:pt idx="114">
                  <c:v>3.113893232561149E-2</c:v>
                </c:pt>
                <c:pt idx="115">
                  <c:v>-1.7716390138710958E-2</c:v>
                </c:pt>
                <c:pt idx="116">
                  <c:v>-4.8719367343539433E-2</c:v>
                </c:pt>
                <c:pt idx="117">
                  <c:v>-2.1979688736381231E-2</c:v>
                </c:pt>
                <c:pt idx="118">
                  <c:v>8.9179268775324783E-2</c:v>
                </c:pt>
                <c:pt idx="119">
                  <c:v>-4.0413244424137851E-3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02-E74A-8211-25ECB9EBE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692671"/>
        <c:axId val="1710694399"/>
      </c:lineChart>
      <c:dateAx>
        <c:axId val="1710692671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0694399"/>
        <c:crosses val="autoZero"/>
        <c:auto val="1"/>
        <c:lblOffset val="100"/>
        <c:baseTimeUnit val="months"/>
      </c:dateAx>
      <c:valAx>
        <c:axId val="171069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0692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'Exercise 3 template'!$F$1</c:f>
              <c:strCache>
                <c:ptCount val="1"/>
                <c:pt idx="0">
                  <c:v>MSFT 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'Exercise 3 template'!$A$2:$A$121</c:f>
              <c:numCache>
                <c:formatCode>m/d/yy</c:formatCode>
                <c:ptCount val="120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  <c:pt idx="36">
                  <c:v>42736</c:v>
                </c:pt>
                <c:pt idx="37">
                  <c:v>42767</c:v>
                </c:pt>
                <c:pt idx="38">
                  <c:v>42795</c:v>
                </c:pt>
                <c:pt idx="39">
                  <c:v>42826</c:v>
                </c:pt>
                <c:pt idx="40">
                  <c:v>42856</c:v>
                </c:pt>
                <c:pt idx="41">
                  <c:v>42887</c:v>
                </c:pt>
                <c:pt idx="42">
                  <c:v>42917</c:v>
                </c:pt>
                <c:pt idx="43">
                  <c:v>42948</c:v>
                </c:pt>
                <c:pt idx="44">
                  <c:v>42979</c:v>
                </c:pt>
                <c:pt idx="45">
                  <c:v>43009</c:v>
                </c:pt>
                <c:pt idx="46">
                  <c:v>43040</c:v>
                </c:pt>
                <c:pt idx="47">
                  <c:v>43070</c:v>
                </c:pt>
                <c:pt idx="48">
                  <c:v>43101</c:v>
                </c:pt>
                <c:pt idx="49">
                  <c:v>43132</c:v>
                </c:pt>
                <c:pt idx="50">
                  <c:v>43160</c:v>
                </c:pt>
                <c:pt idx="51">
                  <c:v>43191</c:v>
                </c:pt>
                <c:pt idx="52">
                  <c:v>43221</c:v>
                </c:pt>
                <c:pt idx="53">
                  <c:v>43252</c:v>
                </c:pt>
                <c:pt idx="54">
                  <c:v>43282</c:v>
                </c:pt>
                <c:pt idx="55">
                  <c:v>43313</c:v>
                </c:pt>
                <c:pt idx="56">
                  <c:v>43344</c:v>
                </c:pt>
                <c:pt idx="57">
                  <c:v>43374</c:v>
                </c:pt>
                <c:pt idx="58">
                  <c:v>43405</c:v>
                </c:pt>
                <c:pt idx="59">
                  <c:v>43435</c:v>
                </c:pt>
                <c:pt idx="60">
                  <c:v>43466</c:v>
                </c:pt>
                <c:pt idx="61">
                  <c:v>43497</c:v>
                </c:pt>
                <c:pt idx="62">
                  <c:v>43525</c:v>
                </c:pt>
                <c:pt idx="63">
                  <c:v>43556</c:v>
                </c:pt>
                <c:pt idx="64">
                  <c:v>43586</c:v>
                </c:pt>
                <c:pt idx="65">
                  <c:v>43617</c:v>
                </c:pt>
                <c:pt idx="66">
                  <c:v>43647</c:v>
                </c:pt>
                <c:pt idx="67">
                  <c:v>43678</c:v>
                </c:pt>
                <c:pt idx="68">
                  <c:v>43709</c:v>
                </c:pt>
                <c:pt idx="69">
                  <c:v>43739</c:v>
                </c:pt>
                <c:pt idx="70">
                  <c:v>43770</c:v>
                </c:pt>
                <c:pt idx="71">
                  <c:v>43800</c:v>
                </c:pt>
                <c:pt idx="72">
                  <c:v>43831</c:v>
                </c:pt>
                <c:pt idx="73">
                  <c:v>43862</c:v>
                </c:pt>
                <c:pt idx="74">
                  <c:v>43891</c:v>
                </c:pt>
                <c:pt idx="75">
                  <c:v>43922</c:v>
                </c:pt>
                <c:pt idx="76">
                  <c:v>43952</c:v>
                </c:pt>
                <c:pt idx="77">
                  <c:v>43983</c:v>
                </c:pt>
                <c:pt idx="78">
                  <c:v>44013</c:v>
                </c:pt>
                <c:pt idx="79">
                  <c:v>44044</c:v>
                </c:pt>
                <c:pt idx="80">
                  <c:v>44075</c:v>
                </c:pt>
                <c:pt idx="81">
                  <c:v>44105</c:v>
                </c:pt>
                <c:pt idx="82">
                  <c:v>44136</c:v>
                </c:pt>
                <c:pt idx="83">
                  <c:v>44166</c:v>
                </c:pt>
                <c:pt idx="84">
                  <c:v>44197</c:v>
                </c:pt>
                <c:pt idx="85">
                  <c:v>44228</c:v>
                </c:pt>
                <c:pt idx="86">
                  <c:v>44256</c:v>
                </c:pt>
                <c:pt idx="87">
                  <c:v>44287</c:v>
                </c:pt>
                <c:pt idx="88">
                  <c:v>44317</c:v>
                </c:pt>
                <c:pt idx="89">
                  <c:v>44348</c:v>
                </c:pt>
                <c:pt idx="90">
                  <c:v>44378</c:v>
                </c:pt>
                <c:pt idx="91">
                  <c:v>44409</c:v>
                </c:pt>
                <c:pt idx="92">
                  <c:v>44440</c:v>
                </c:pt>
                <c:pt idx="93">
                  <c:v>44470</c:v>
                </c:pt>
                <c:pt idx="94">
                  <c:v>44501</c:v>
                </c:pt>
                <c:pt idx="95">
                  <c:v>44531</c:v>
                </c:pt>
                <c:pt idx="96">
                  <c:v>44562</c:v>
                </c:pt>
                <c:pt idx="97">
                  <c:v>44593</c:v>
                </c:pt>
                <c:pt idx="98">
                  <c:v>44621</c:v>
                </c:pt>
                <c:pt idx="99">
                  <c:v>44652</c:v>
                </c:pt>
                <c:pt idx="100">
                  <c:v>44682</c:v>
                </c:pt>
                <c:pt idx="101">
                  <c:v>44713</c:v>
                </c:pt>
                <c:pt idx="102">
                  <c:v>44743</c:v>
                </c:pt>
                <c:pt idx="103">
                  <c:v>44774</c:v>
                </c:pt>
                <c:pt idx="104">
                  <c:v>44805</c:v>
                </c:pt>
                <c:pt idx="105">
                  <c:v>44835</c:v>
                </c:pt>
                <c:pt idx="106">
                  <c:v>44866</c:v>
                </c:pt>
                <c:pt idx="107">
                  <c:v>44896</c:v>
                </c:pt>
                <c:pt idx="108">
                  <c:v>44927</c:v>
                </c:pt>
                <c:pt idx="109">
                  <c:v>44958</c:v>
                </c:pt>
                <c:pt idx="110">
                  <c:v>44986</c:v>
                </c:pt>
                <c:pt idx="111">
                  <c:v>45017</c:v>
                </c:pt>
                <c:pt idx="112">
                  <c:v>45047</c:v>
                </c:pt>
                <c:pt idx="113">
                  <c:v>45078</c:v>
                </c:pt>
                <c:pt idx="114">
                  <c:v>45108</c:v>
                </c:pt>
                <c:pt idx="115">
                  <c:v>45139</c:v>
                </c:pt>
                <c:pt idx="116">
                  <c:v>45170</c:v>
                </c:pt>
                <c:pt idx="117">
                  <c:v>45200</c:v>
                </c:pt>
                <c:pt idx="118">
                  <c:v>45231</c:v>
                </c:pt>
                <c:pt idx="119">
                  <c:v>45261</c:v>
                </c:pt>
              </c:numCache>
            </c:numRef>
          </c:cat>
          <c:val>
            <c:numRef>
              <c:f>'Exercise 3 template'!$F$2:$F$121</c:f>
              <c:numCache>
                <c:formatCode>General</c:formatCode>
                <c:ptCount val="120"/>
                <c:pt idx="0">
                  <c:v>100</c:v>
                </c:pt>
                <c:pt idx="1">
                  <c:v>101.24205099602284</c:v>
                </c:pt>
                <c:pt idx="2">
                  <c:v>109.1368235167179</c:v>
                </c:pt>
                <c:pt idx="3">
                  <c:v>107.56591271760922</c:v>
                </c:pt>
                <c:pt idx="4">
                  <c:v>109.0036583008996</c:v>
                </c:pt>
                <c:pt idx="5">
                  <c:v>111.81042804373891</c:v>
                </c:pt>
                <c:pt idx="6">
                  <c:v>115.72513577165242</c:v>
                </c:pt>
                <c:pt idx="7">
                  <c:v>121.81172545601342</c:v>
                </c:pt>
                <c:pt idx="8">
                  <c:v>125.08168142371129</c:v>
                </c:pt>
                <c:pt idx="9">
                  <c:v>126.67355355949481</c:v>
                </c:pt>
                <c:pt idx="10">
                  <c:v>128.99389726641448</c:v>
                </c:pt>
                <c:pt idx="11">
                  <c:v>126.11501035701559</c:v>
                </c:pt>
                <c:pt idx="12">
                  <c:v>109.68885141227437</c:v>
                </c:pt>
                <c:pt idx="13">
                  <c:v>119.05578828842826</c:v>
                </c:pt>
                <c:pt idx="14">
                  <c:v>111.18036396964973</c:v>
                </c:pt>
                <c:pt idx="15">
                  <c:v>133.00076708637673</c:v>
                </c:pt>
                <c:pt idx="16">
                  <c:v>128.13356605156019</c:v>
                </c:pt>
                <c:pt idx="17">
                  <c:v>121.50793514796558</c:v>
                </c:pt>
                <c:pt idx="18">
                  <c:v>128.52597206590403</c:v>
                </c:pt>
                <c:pt idx="19">
                  <c:v>119.77412284542157</c:v>
                </c:pt>
                <c:pt idx="20">
                  <c:v>122.61397126599005</c:v>
                </c:pt>
                <c:pt idx="21">
                  <c:v>145.82921183679369</c:v>
                </c:pt>
                <c:pt idx="22">
                  <c:v>150.56640801902469</c:v>
                </c:pt>
                <c:pt idx="23">
                  <c:v>154.73278046120964</c:v>
                </c:pt>
                <c:pt idx="24">
                  <c:v>153.6451102276321</c:v>
                </c:pt>
                <c:pt idx="25">
                  <c:v>141.90351345144114</c:v>
                </c:pt>
                <c:pt idx="26">
                  <c:v>155.14154378753869</c:v>
                </c:pt>
                <c:pt idx="27">
                  <c:v>140.08527206082607</c:v>
                </c:pt>
                <c:pt idx="28">
                  <c:v>148.87743081989987</c:v>
                </c:pt>
                <c:pt idx="29">
                  <c:v>144.74230737146718</c:v>
                </c:pt>
                <c:pt idx="30">
                  <c:v>160.32820827239351</c:v>
                </c:pt>
                <c:pt idx="31">
                  <c:v>162.5345686305044</c:v>
                </c:pt>
                <c:pt idx="32">
                  <c:v>163.94606782083</c:v>
                </c:pt>
                <c:pt idx="33">
                  <c:v>170.54941926207175</c:v>
                </c:pt>
                <c:pt idx="34">
                  <c:v>171.51717771968393</c:v>
                </c:pt>
                <c:pt idx="35">
                  <c:v>178.06303691260311</c:v>
                </c:pt>
                <c:pt idx="36">
                  <c:v>185.25549638008158</c:v>
                </c:pt>
                <c:pt idx="37">
                  <c:v>183.33557728538034</c:v>
                </c:pt>
                <c:pt idx="38">
                  <c:v>189.86690257350222</c:v>
                </c:pt>
                <c:pt idx="39">
                  <c:v>197.36232381288809</c:v>
                </c:pt>
                <c:pt idx="40">
                  <c:v>201.34072525659977</c:v>
                </c:pt>
                <c:pt idx="41">
                  <c:v>199.8563839305917</c:v>
                </c:pt>
                <c:pt idx="42">
                  <c:v>210.78725181654974</c:v>
                </c:pt>
                <c:pt idx="43">
                  <c:v>216.78889771614635</c:v>
                </c:pt>
                <c:pt idx="44">
                  <c:v>217.12787570300819</c:v>
                </c:pt>
                <c:pt idx="45">
                  <c:v>242.45790141964011</c:v>
                </c:pt>
                <c:pt idx="46">
                  <c:v>245.34363944417018</c:v>
                </c:pt>
                <c:pt idx="47">
                  <c:v>250.58918020930952</c:v>
                </c:pt>
                <c:pt idx="48">
                  <c:v>278.33152342124157</c:v>
                </c:pt>
                <c:pt idx="49">
                  <c:v>274.69892283397263</c:v>
                </c:pt>
                <c:pt idx="50">
                  <c:v>268.63121373075194</c:v>
                </c:pt>
                <c:pt idx="51">
                  <c:v>275.25349282905103</c:v>
                </c:pt>
                <c:pt idx="52">
                  <c:v>290.91163015552684</c:v>
                </c:pt>
                <c:pt idx="53">
                  <c:v>291.49268192315532</c:v>
                </c:pt>
                <c:pt idx="54">
                  <c:v>313.57419632151289</c:v>
                </c:pt>
                <c:pt idx="55">
                  <c:v>332.04918391387031</c:v>
                </c:pt>
                <c:pt idx="56">
                  <c:v>339.38056441262768</c:v>
                </c:pt>
                <c:pt idx="57">
                  <c:v>316.94705082874634</c:v>
                </c:pt>
                <c:pt idx="58">
                  <c:v>329.05402262769854</c:v>
                </c:pt>
                <c:pt idx="59">
                  <c:v>302.70002980847062</c:v>
                </c:pt>
                <c:pt idx="60">
                  <c:v>311.22336938909194</c:v>
                </c:pt>
                <c:pt idx="61">
                  <c:v>333.87297712430535</c:v>
                </c:pt>
                <c:pt idx="62">
                  <c:v>352.98710502756347</c:v>
                </c:pt>
                <c:pt idx="63">
                  <c:v>390.87770411129031</c:v>
                </c:pt>
                <c:pt idx="64">
                  <c:v>370.16660418123257</c:v>
                </c:pt>
                <c:pt idx="65">
                  <c:v>402.41816118580573</c:v>
                </c:pt>
                <c:pt idx="66">
                  <c:v>409.35738360338252</c:v>
                </c:pt>
                <c:pt idx="67">
                  <c:v>414.13379088613988</c:v>
                </c:pt>
                <c:pt idx="68">
                  <c:v>419.03925836474684</c:v>
                </c:pt>
                <c:pt idx="69">
                  <c:v>432.12008338337478</c:v>
                </c:pt>
                <c:pt idx="70">
                  <c:v>456.26243706499076</c:v>
                </c:pt>
                <c:pt idx="71">
                  <c:v>476.92830645392598</c:v>
                </c:pt>
                <c:pt idx="72">
                  <c:v>514.82254293684525</c:v>
                </c:pt>
                <c:pt idx="73">
                  <c:v>489.96292175235624</c:v>
                </c:pt>
                <c:pt idx="74">
                  <c:v>478.26136775122654</c:v>
                </c:pt>
                <c:pt idx="75">
                  <c:v>543.46087266322195</c:v>
                </c:pt>
                <c:pt idx="76">
                  <c:v>555.71222629983333</c:v>
                </c:pt>
                <c:pt idx="77">
                  <c:v>618.87030917516506</c:v>
                </c:pt>
                <c:pt idx="78">
                  <c:v>623.43179606612262</c:v>
                </c:pt>
                <c:pt idx="79">
                  <c:v>685.83276638237169</c:v>
                </c:pt>
                <c:pt idx="80">
                  <c:v>641.15594474994577</c:v>
                </c:pt>
                <c:pt idx="81">
                  <c:v>617.19604476932227</c:v>
                </c:pt>
                <c:pt idx="82">
                  <c:v>652.55666481061962</c:v>
                </c:pt>
                <c:pt idx="83">
                  <c:v>679.78535955298662</c:v>
                </c:pt>
                <c:pt idx="84">
                  <c:v>708.9425568989343</c:v>
                </c:pt>
                <c:pt idx="85">
                  <c:v>710.22629205032695</c:v>
                </c:pt>
                <c:pt idx="86">
                  <c:v>722.24677911282924</c:v>
                </c:pt>
                <c:pt idx="87">
                  <c:v>772.51645193457784</c:v>
                </c:pt>
                <c:pt idx="88">
                  <c:v>764.85794716487726</c:v>
                </c:pt>
                <c:pt idx="89">
                  <c:v>831.77883633730949</c:v>
                </c:pt>
                <c:pt idx="90">
                  <c:v>874.79527782103457</c:v>
                </c:pt>
                <c:pt idx="91">
                  <c:v>926.90050027890834</c:v>
                </c:pt>
                <c:pt idx="92">
                  <c:v>867.27186524135777</c:v>
                </c:pt>
                <c:pt idx="93">
                  <c:v>1020.1642001710666</c:v>
                </c:pt>
                <c:pt idx="94">
                  <c:v>1016.995636313558</c:v>
                </c:pt>
                <c:pt idx="95">
                  <c:v>1036.5156872961486</c:v>
                </c:pt>
                <c:pt idx="96">
                  <c:v>958.41948696916563</c:v>
                </c:pt>
                <c:pt idx="97">
                  <c:v>920.85069885454163</c:v>
                </c:pt>
                <c:pt idx="98">
                  <c:v>952.15553405964465</c:v>
                </c:pt>
                <c:pt idx="99">
                  <c:v>857.06652825091601</c:v>
                </c:pt>
                <c:pt idx="100">
                  <c:v>839.61754144077202</c:v>
                </c:pt>
                <c:pt idx="101">
                  <c:v>795.01681645909559</c:v>
                </c:pt>
                <c:pt idx="102">
                  <c:v>869.03012563683433</c:v>
                </c:pt>
                <c:pt idx="103">
                  <c:v>809.37994238284296</c:v>
                </c:pt>
                <c:pt idx="104">
                  <c:v>722.47180513482715</c:v>
                </c:pt>
                <c:pt idx="105">
                  <c:v>720.08329236159295</c:v>
                </c:pt>
                <c:pt idx="106">
                  <c:v>791.46194134930681</c:v>
                </c:pt>
                <c:pt idx="107">
                  <c:v>746.03481119701257</c:v>
                </c:pt>
                <c:pt idx="108">
                  <c:v>770.89007628997513</c:v>
                </c:pt>
                <c:pt idx="109">
                  <c:v>775.89849879921803</c:v>
                </c:pt>
                <c:pt idx="110">
                  <c:v>899.09312639513303</c:v>
                </c:pt>
                <c:pt idx="111">
                  <c:v>958.22190306842595</c:v>
                </c:pt>
                <c:pt idx="112">
                  <c:v>1024.1180342628556</c:v>
                </c:pt>
                <c:pt idx="113">
                  <c:v>1064.330627848994</c:v>
                </c:pt>
                <c:pt idx="114">
                  <c:v>1049.8912169708292</c:v>
                </c:pt>
                <c:pt idx="115">
                  <c:v>1024.3878357587773</c:v>
                </c:pt>
                <c:pt idx="116">
                  <c:v>988.94087220878112</c:v>
                </c:pt>
                <c:pt idx="117">
                  <c:v>1058.9731939057638</c:v>
                </c:pt>
                <c:pt idx="118">
                  <c:v>1186.760384774693</c:v>
                </c:pt>
                <c:pt idx="119">
                  <c:v>1157.4398434116895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75-5943-836B-79D57A20AD99}"/>
            </c:ext>
          </c:extLst>
        </c:ser>
        <c:ser>
          <c:idx val="1"/>
          <c:order val="1"/>
          <c:tx>
            <c:strRef>
              <c:f>'Exercise 3 template'!$G$1</c:f>
              <c:strCache>
                <c:ptCount val="1"/>
                <c:pt idx="0">
                  <c:v>SPX normal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'Exercise 3 template'!$A$2:$A$121</c:f>
              <c:numCache>
                <c:formatCode>m/d/yy</c:formatCode>
                <c:ptCount val="120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  <c:pt idx="36">
                  <c:v>42736</c:v>
                </c:pt>
                <c:pt idx="37">
                  <c:v>42767</c:v>
                </c:pt>
                <c:pt idx="38">
                  <c:v>42795</c:v>
                </c:pt>
                <c:pt idx="39">
                  <c:v>42826</c:v>
                </c:pt>
                <c:pt idx="40">
                  <c:v>42856</c:v>
                </c:pt>
                <c:pt idx="41">
                  <c:v>42887</c:v>
                </c:pt>
                <c:pt idx="42">
                  <c:v>42917</c:v>
                </c:pt>
                <c:pt idx="43">
                  <c:v>42948</c:v>
                </c:pt>
                <c:pt idx="44">
                  <c:v>42979</c:v>
                </c:pt>
                <c:pt idx="45">
                  <c:v>43009</c:v>
                </c:pt>
                <c:pt idx="46">
                  <c:v>43040</c:v>
                </c:pt>
                <c:pt idx="47">
                  <c:v>43070</c:v>
                </c:pt>
                <c:pt idx="48">
                  <c:v>43101</c:v>
                </c:pt>
                <c:pt idx="49">
                  <c:v>43132</c:v>
                </c:pt>
                <c:pt idx="50">
                  <c:v>43160</c:v>
                </c:pt>
                <c:pt idx="51">
                  <c:v>43191</c:v>
                </c:pt>
                <c:pt idx="52">
                  <c:v>43221</c:v>
                </c:pt>
                <c:pt idx="53">
                  <c:v>43252</c:v>
                </c:pt>
                <c:pt idx="54">
                  <c:v>43282</c:v>
                </c:pt>
                <c:pt idx="55">
                  <c:v>43313</c:v>
                </c:pt>
                <c:pt idx="56">
                  <c:v>43344</c:v>
                </c:pt>
                <c:pt idx="57">
                  <c:v>43374</c:v>
                </c:pt>
                <c:pt idx="58">
                  <c:v>43405</c:v>
                </c:pt>
                <c:pt idx="59">
                  <c:v>43435</c:v>
                </c:pt>
                <c:pt idx="60">
                  <c:v>43466</c:v>
                </c:pt>
                <c:pt idx="61">
                  <c:v>43497</c:v>
                </c:pt>
                <c:pt idx="62">
                  <c:v>43525</c:v>
                </c:pt>
                <c:pt idx="63">
                  <c:v>43556</c:v>
                </c:pt>
                <c:pt idx="64">
                  <c:v>43586</c:v>
                </c:pt>
                <c:pt idx="65">
                  <c:v>43617</c:v>
                </c:pt>
                <c:pt idx="66">
                  <c:v>43647</c:v>
                </c:pt>
                <c:pt idx="67">
                  <c:v>43678</c:v>
                </c:pt>
                <c:pt idx="68">
                  <c:v>43709</c:v>
                </c:pt>
                <c:pt idx="69">
                  <c:v>43739</c:v>
                </c:pt>
                <c:pt idx="70">
                  <c:v>43770</c:v>
                </c:pt>
                <c:pt idx="71">
                  <c:v>43800</c:v>
                </c:pt>
                <c:pt idx="72">
                  <c:v>43831</c:v>
                </c:pt>
                <c:pt idx="73">
                  <c:v>43862</c:v>
                </c:pt>
                <c:pt idx="74">
                  <c:v>43891</c:v>
                </c:pt>
                <c:pt idx="75">
                  <c:v>43922</c:v>
                </c:pt>
                <c:pt idx="76">
                  <c:v>43952</c:v>
                </c:pt>
                <c:pt idx="77">
                  <c:v>43983</c:v>
                </c:pt>
                <c:pt idx="78">
                  <c:v>44013</c:v>
                </c:pt>
                <c:pt idx="79">
                  <c:v>44044</c:v>
                </c:pt>
                <c:pt idx="80">
                  <c:v>44075</c:v>
                </c:pt>
                <c:pt idx="81">
                  <c:v>44105</c:v>
                </c:pt>
                <c:pt idx="82">
                  <c:v>44136</c:v>
                </c:pt>
                <c:pt idx="83">
                  <c:v>44166</c:v>
                </c:pt>
                <c:pt idx="84">
                  <c:v>44197</c:v>
                </c:pt>
                <c:pt idx="85">
                  <c:v>44228</c:v>
                </c:pt>
                <c:pt idx="86">
                  <c:v>44256</c:v>
                </c:pt>
                <c:pt idx="87">
                  <c:v>44287</c:v>
                </c:pt>
                <c:pt idx="88">
                  <c:v>44317</c:v>
                </c:pt>
                <c:pt idx="89">
                  <c:v>44348</c:v>
                </c:pt>
                <c:pt idx="90">
                  <c:v>44378</c:v>
                </c:pt>
                <c:pt idx="91">
                  <c:v>44409</c:v>
                </c:pt>
                <c:pt idx="92">
                  <c:v>44440</c:v>
                </c:pt>
                <c:pt idx="93">
                  <c:v>44470</c:v>
                </c:pt>
                <c:pt idx="94">
                  <c:v>44501</c:v>
                </c:pt>
                <c:pt idx="95">
                  <c:v>44531</c:v>
                </c:pt>
                <c:pt idx="96">
                  <c:v>44562</c:v>
                </c:pt>
                <c:pt idx="97">
                  <c:v>44593</c:v>
                </c:pt>
                <c:pt idx="98">
                  <c:v>44621</c:v>
                </c:pt>
                <c:pt idx="99">
                  <c:v>44652</c:v>
                </c:pt>
                <c:pt idx="100">
                  <c:v>44682</c:v>
                </c:pt>
                <c:pt idx="101">
                  <c:v>44713</c:v>
                </c:pt>
                <c:pt idx="102">
                  <c:v>44743</c:v>
                </c:pt>
                <c:pt idx="103">
                  <c:v>44774</c:v>
                </c:pt>
                <c:pt idx="104">
                  <c:v>44805</c:v>
                </c:pt>
                <c:pt idx="105">
                  <c:v>44835</c:v>
                </c:pt>
                <c:pt idx="106">
                  <c:v>44866</c:v>
                </c:pt>
                <c:pt idx="107">
                  <c:v>44896</c:v>
                </c:pt>
                <c:pt idx="108">
                  <c:v>44927</c:v>
                </c:pt>
                <c:pt idx="109">
                  <c:v>44958</c:v>
                </c:pt>
                <c:pt idx="110">
                  <c:v>44986</c:v>
                </c:pt>
                <c:pt idx="111">
                  <c:v>45017</c:v>
                </c:pt>
                <c:pt idx="112">
                  <c:v>45047</c:v>
                </c:pt>
                <c:pt idx="113">
                  <c:v>45078</c:v>
                </c:pt>
                <c:pt idx="114">
                  <c:v>45108</c:v>
                </c:pt>
                <c:pt idx="115">
                  <c:v>45139</c:v>
                </c:pt>
                <c:pt idx="116">
                  <c:v>45170</c:v>
                </c:pt>
                <c:pt idx="117">
                  <c:v>45200</c:v>
                </c:pt>
                <c:pt idx="118">
                  <c:v>45231</c:v>
                </c:pt>
                <c:pt idx="119">
                  <c:v>45261</c:v>
                </c:pt>
              </c:numCache>
            </c:numRef>
          </c:cat>
          <c:val>
            <c:numRef>
              <c:f>'Exercise 3 template'!$G$2:$G$121</c:f>
              <c:numCache>
                <c:formatCode>General</c:formatCode>
                <c:ptCount val="120"/>
                <c:pt idx="0">
                  <c:v>100</c:v>
                </c:pt>
                <c:pt idx="1">
                  <c:v>104.31170299765952</c:v>
                </c:pt>
                <c:pt idx="2">
                  <c:v>105.0348089976851</c:v>
                </c:pt>
                <c:pt idx="3">
                  <c:v>105.68610768226438</c:v>
                </c:pt>
                <c:pt idx="4">
                  <c:v>107.90871612030605</c:v>
                </c:pt>
                <c:pt idx="5">
                  <c:v>109.96527622101516</c:v>
                </c:pt>
                <c:pt idx="6">
                  <c:v>108.30701848570823</c:v>
                </c:pt>
                <c:pt idx="7">
                  <c:v>112.38535127039978</c:v>
                </c:pt>
                <c:pt idx="8">
                  <c:v>110.64182322453395</c:v>
                </c:pt>
                <c:pt idx="9">
                  <c:v>113.20887514745498</c:v>
                </c:pt>
                <c:pt idx="10">
                  <c:v>115.98629513434612</c:v>
                </c:pt>
                <c:pt idx="11">
                  <c:v>115.5004763445415</c:v>
                </c:pt>
                <c:pt idx="12">
                  <c:v>111.91524848962379</c:v>
                </c:pt>
                <c:pt idx="13">
                  <c:v>118.05855750003701</c:v>
                </c:pt>
                <c:pt idx="14">
                  <c:v>116.00479821168253</c:v>
                </c:pt>
                <c:pt idx="15">
                  <c:v>116.99325418507377</c:v>
                </c:pt>
                <c:pt idx="16">
                  <c:v>118.22067515216789</c:v>
                </c:pt>
                <c:pt idx="17">
                  <c:v>115.73666105781277</c:v>
                </c:pt>
                <c:pt idx="18">
                  <c:v>118.02153765741549</c:v>
                </c:pt>
                <c:pt idx="19">
                  <c:v>110.63565326946309</c:v>
                </c:pt>
                <c:pt idx="20">
                  <c:v>107.71013332406473</c:v>
                </c:pt>
                <c:pt idx="21">
                  <c:v>116.64825600168335</c:v>
                </c:pt>
                <c:pt idx="22">
                  <c:v>116.70714812045568</c:v>
                </c:pt>
                <c:pt idx="23">
                  <c:v>114.66125020250453</c:v>
                </c:pt>
                <c:pt idx="24">
                  <c:v>108.8438747556599</c:v>
                </c:pt>
                <c:pt idx="25">
                  <c:v>108.3945280100382</c:v>
                </c:pt>
                <c:pt idx="26">
                  <c:v>115.54760372750803</c:v>
                </c:pt>
                <c:pt idx="27">
                  <c:v>115.85951275347861</c:v>
                </c:pt>
                <c:pt idx="28">
                  <c:v>117.63501371576778</c:v>
                </c:pt>
                <c:pt idx="29">
                  <c:v>117.74216993432803</c:v>
                </c:pt>
                <c:pt idx="30">
                  <c:v>121.93494518974536</c:v>
                </c:pt>
                <c:pt idx="31">
                  <c:v>121.78627684477837</c:v>
                </c:pt>
                <c:pt idx="32">
                  <c:v>121.63593767250009</c:v>
                </c:pt>
                <c:pt idx="33">
                  <c:v>119.27307695840585</c:v>
                </c:pt>
                <c:pt idx="34">
                  <c:v>123.34917737330069</c:v>
                </c:pt>
                <c:pt idx="35">
                  <c:v>125.59422641785477</c:v>
                </c:pt>
                <c:pt idx="36">
                  <c:v>127.84039854737969</c:v>
                </c:pt>
                <c:pt idx="37">
                  <c:v>132.59582619012679</c:v>
                </c:pt>
                <c:pt idx="38">
                  <c:v>132.54422026742185</c:v>
                </c:pt>
                <c:pt idx="39">
                  <c:v>133.74920741587974</c:v>
                </c:pt>
                <c:pt idx="40">
                  <c:v>135.29752186431861</c:v>
                </c:pt>
                <c:pt idx="41">
                  <c:v>135.94881370492354</c:v>
                </c:pt>
                <c:pt idx="42">
                  <c:v>138.57926366225263</c:v>
                </c:pt>
                <c:pt idx="43">
                  <c:v>138.65498791885375</c:v>
                </c:pt>
                <c:pt idx="44">
                  <c:v>141.33144217417853</c:v>
                </c:pt>
                <c:pt idx="45">
                  <c:v>144.46732333957269</c:v>
                </c:pt>
                <c:pt idx="46">
                  <c:v>148.52434539059885</c:v>
                </c:pt>
                <c:pt idx="47">
                  <c:v>149.98458187214987</c:v>
                </c:pt>
                <c:pt idx="48">
                  <c:v>158.41052136832226</c:v>
                </c:pt>
                <c:pt idx="49">
                  <c:v>152.24084785407115</c:v>
                </c:pt>
                <c:pt idx="50">
                  <c:v>148.14792898929616</c:v>
                </c:pt>
                <c:pt idx="51">
                  <c:v>148.55070989443675</c:v>
                </c:pt>
                <c:pt idx="52">
                  <c:v>151.76064443302261</c:v>
                </c:pt>
                <c:pt idx="53">
                  <c:v>152.49553564467885</c:v>
                </c:pt>
                <c:pt idx="54">
                  <c:v>157.98866215541116</c:v>
                </c:pt>
                <c:pt idx="55">
                  <c:v>162.76990644745942</c:v>
                </c:pt>
                <c:pt idx="56">
                  <c:v>163.46888715741815</c:v>
                </c:pt>
                <c:pt idx="57">
                  <c:v>152.12359778311458</c:v>
                </c:pt>
                <c:pt idx="58">
                  <c:v>154.84042739192657</c:v>
                </c:pt>
                <c:pt idx="59">
                  <c:v>140.6296538078908</c:v>
                </c:pt>
                <c:pt idx="60">
                  <c:v>151.69501397271966</c:v>
                </c:pt>
                <c:pt idx="61">
                  <c:v>156.2047382241351</c:v>
                </c:pt>
                <c:pt idx="62">
                  <c:v>159.00459197356432</c:v>
                </c:pt>
                <c:pt idx="63">
                  <c:v>165.25561874502321</c:v>
                </c:pt>
                <c:pt idx="64">
                  <c:v>154.38547907769379</c:v>
                </c:pt>
                <c:pt idx="65">
                  <c:v>165.02729545825338</c:v>
                </c:pt>
                <c:pt idx="66">
                  <c:v>167.19379890192866</c:v>
                </c:pt>
                <c:pt idx="67">
                  <c:v>164.16899100844586</c:v>
                </c:pt>
                <c:pt idx="68">
                  <c:v>166.9896076370037</c:v>
                </c:pt>
                <c:pt idx="69">
                  <c:v>170.40150101461961</c:v>
                </c:pt>
                <c:pt idx="70">
                  <c:v>176.20316729640993</c:v>
                </c:pt>
                <c:pt idx="71">
                  <c:v>181.240783950424</c:v>
                </c:pt>
                <c:pt idx="72">
                  <c:v>180.94570717447854</c:v>
                </c:pt>
                <c:pt idx="73">
                  <c:v>165.72627622431017</c:v>
                </c:pt>
                <c:pt idx="74">
                  <c:v>144.99072345838601</c:v>
                </c:pt>
                <c:pt idx="75">
                  <c:v>163.38193233159919</c:v>
                </c:pt>
                <c:pt idx="76">
                  <c:v>170.78016352976582</c:v>
                </c:pt>
                <c:pt idx="77">
                  <c:v>173.9205368667489</c:v>
                </c:pt>
                <c:pt idx="78">
                  <c:v>183.50378827387593</c:v>
                </c:pt>
                <c:pt idx="79">
                  <c:v>196.36092010853361</c:v>
                </c:pt>
                <c:pt idx="80">
                  <c:v>188.65807976841245</c:v>
                </c:pt>
                <c:pt idx="81">
                  <c:v>183.43870566810969</c:v>
                </c:pt>
                <c:pt idx="82">
                  <c:v>203.16673784082079</c:v>
                </c:pt>
                <c:pt idx="83">
                  <c:v>210.70858355768374</c:v>
                </c:pt>
                <c:pt idx="84">
                  <c:v>208.36199355112922</c:v>
                </c:pt>
                <c:pt idx="85">
                  <c:v>213.79846036898408</c:v>
                </c:pt>
                <c:pt idx="86">
                  <c:v>222.87177470850841</c:v>
                </c:pt>
                <c:pt idx="87">
                  <c:v>234.55589909900775</c:v>
                </c:pt>
                <c:pt idx="88">
                  <c:v>235.84278735921012</c:v>
                </c:pt>
                <c:pt idx="89">
                  <c:v>241.08180130976888</c:v>
                </c:pt>
                <c:pt idx="90">
                  <c:v>246.565943365127</c:v>
                </c:pt>
                <c:pt idx="91">
                  <c:v>253.71399268832167</c:v>
                </c:pt>
                <c:pt idx="92">
                  <c:v>241.64502892753276</c:v>
                </c:pt>
                <c:pt idx="93">
                  <c:v>258.3532932889849</c:v>
                </c:pt>
                <c:pt idx="94">
                  <c:v>256.20025284042225</c:v>
                </c:pt>
                <c:pt idx="95">
                  <c:v>267.37389230878216</c:v>
                </c:pt>
                <c:pt idx="96">
                  <c:v>253.31399206361269</c:v>
                </c:pt>
                <c:pt idx="97">
                  <c:v>245.36994061594513</c:v>
                </c:pt>
                <c:pt idx="98">
                  <c:v>254.14763026888915</c:v>
                </c:pt>
                <c:pt idx="99">
                  <c:v>231.79364042263418</c:v>
                </c:pt>
                <c:pt idx="100">
                  <c:v>231.80596664482721</c:v>
                </c:pt>
                <c:pt idx="101">
                  <c:v>212.35280996751649</c:v>
                </c:pt>
                <c:pt idx="102">
                  <c:v>231.70163177054465</c:v>
                </c:pt>
                <c:pt idx="103">
                  <c:v>221.868184800497</c:v>
                </c:pt>
                <c:pt idx="104">
                  <c:v>201.14665657217085</c:v>
                </c:pt>
                <c:pt idx="105">
                  <c:v>217.2109152329873</c:v>
                </c:pt>
                <c:pt idx="106">
                  <c:v>228.88663039854657</c:v>
                </c:pt>
                <c:pt idx="107">
                  <c:v>215.38884843021702</c:v>
                </c:pt>
                <c:pt idx="108">
                  <c:v>228.68972538578717</c:v>
                </c:pt>
                <c:pt idx="109">
                  <c:v>222.71806628131762</c:v>
                </c:pt>
                <c:pt idx="110">
                  <c:v>230.5246936972828</c:v>
                </c:pt>
                <c:pt idx="111">
                  <c:v>233.90011497461759</c:v>
                </c:pt>
                <c:pt idx="112">
                  <c:v>234.48073632879388</c:v>
                </c:pt>
                <c:pt idx="113">
                  <c:v>249.65807997821949</c:v>
                </c:pt>
                <c:pt idx="114">
                  <c:v>257.43216603520335</c:v>
                </c:pt>
                <c:pt idx="115">
                  <c:v>252.87139734747026</c:v>
                </c:pt>
                <c:pt idx="116">
                  <c:v>240.55166284942473</c:v>
                </c:pt>
                <c:pt idx="117">
                  <c:v>235.26441217497546</c:v>
                </c:pt>
                <c:pt idx="118">
                  <c:v>256.24512042159637</c:v>
                </c:pt>
                <c:pt idx="119">
                  <c:v>255.2095507531873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75-5943-836B-79D57A20A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219919"/>
        <c:axId val="1703221647"/>
      </c:lineChart>
      <c:dateAx>
        <c:axId val="1703219919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03221647"/>
        <c:crosses val="autoZero"/>
        <c:auto val="1"/>
        <c:lblOffset val="100"/>
        <c:baseTimeUnit val="months"/>
      </c:dateAx>
      <c:valAx>
        <c:axId val="170322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03219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 4 template'!$E$1</c:f>
              <c:strCache>
                <c:ptCount val="1"/>
                <c:pt idx="0">
                  <c:v>Graph of y=ax^3-2x^2+x-16 when a = 1.00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4 template'!$A$4:$A$19</c:f>
              <c:numCache>
                <c:formatCode>General</c:formatCode>
                <c:ptCount val="16"/>
                <c:pt idx="0">
                  <c:v>-6</c:v>
                </c:pt>
                <c:pt idx="1">
                  <c:v>-5</c:v>
                </c:pt>
                <c:pt idx="2">
                  <c:v>-4</c:v>
                </c:pt>
                <c:pt idx="3">
                  <c:v>-3</c:v>
                </c:pt>
                <c:pt idx="4">
                  <c:v>-2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</c:numCache>
            </c:numRef>
          </c:xVal>
          <c:yVal>
            <c:numRef>
              <c:f>'Exercise 4 template'!$B$4:$B$19</c:f>
              <c:numCache>
                <c:formatCode>General</c:formatCode>
                <c:ptCount val="16"/>
                <c:pt idx="0">
                  <c:v>-310</c:v>
                </c:pt>
                <c:pt idx="1">
                  <c:v>-196</c:v>
                </c:pt>
                <c:pt idx="2">
                  <c:v>-116</c:v>
                </c:pt>
                <c:pt idx="3">
                  <c:v>-64</c:v>
                </c:pt>
                <c:pt idx="4">
                  <c:v>-34</c:v>
                </c:pt>
                <c:pt idx="5">
                  <c:v>-20</c:v>
                </c:pt>
                <c:pt idx="6">
                  <c:v>-16</c:v>
                </c:pt>
                <c:pt idx="7">
                  <c:v>-16</c:v>
                </c:pt>
                <c:pt idx="8">
                  <c:v>-14</c:v>
                </c:pt>
                <c:pt idx="9">
                  <c:v>-4</c:v>
                </c:pt>
                <c:pt idx="10">
                  <c:v>20</c:v>
                </c:pt>
                <c:pt idx="11">
                  <c:v>64</c:v>
                </c:pt>
                <c:pt idx="12">
                  <c:v>134</c:v>
                </c:pt>
                <c:pt idx="13">
                  <c:v>236</c:v>
                </c:pt>
                <c:pt idx="14">
                  <c:v>376</c:v>
                </c:pt>
                <c:pt idx="15">
                  <c:v>560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09-3844-A9E1-3303DCD46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255919"/>
        <c:axId val="1702257647"/>
      </c:scatterChart>
      <c:valAx>
        <c:axId val="170225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02257647"/>
        <c:crosses val="autoZero"/>
        <c:crossBetween val="midCat"/>
      </c:valAx>
      <c:valAx>
        <c:axId val="1702257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02255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'Exercise 5 template'!$A$1</c:f>
              <c:strCache>
                <c:ptCount val="1"/>
                <c:pt idx="0">
                  <c:v>MSFT volume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'Exercise 5 template'!$A$2:$A$121</c:f>
              <c:numCache>
                <c:formatCode>General</c:formatCode>
                <c:ptCount val="120"/>
                <c:pt idx="0">
                  <c:v>930226200</c:v>
                </c:pt>
                <c:pt idx="1">
                  <c:v>705304500</c:v>
                </c:pt>
                <c:pt idx="2">
                  <c:v>778425700</c:v>
                </c:pt>
                <c:pt idx="3">
                  <c:v>746112500</c:v>
                </c:pt>
                <c:pt idx="4">
                  <c:v>574362900</c:v>
                </c:pt>
                <c:pt idx="5">
                  <c:v>555767300</c:v>
                </c:pt>
                <c:pt idx="6">
                  <c:v>731616500</c:v>
                </c:pt>
                <c:pt idx="7">
                  <c:v>513919700</c:v>
                </c:pt>
                <c:pt idx="8">
                  <c:v>860827300</c:v>
                </c:pt>
                <c:pt idx="9">
                  <c:v>853260900</c:v>
                </c:pt>
                <c:pt idx="10">
                  <c:v>523005900</c:v>
                </c:pt>
                <c:pt idx="11">
                  <c:v>626771200</c:v>
                </c:pt>
                <c:pt idx="12">
                  <c:v>918966800</c:v>
                </c:pt>
                <c:pt idx="13">
                  <c:v>656509700</c:v>
                </c:pt>
                <c:pt idx="14">
                  <c:v>824335300</c:v>
                </c:pt>
                <c:pt idx="15">
                  <c:v>874535300</c:v>
                </c:pt>
                <c:pt idx="16">
                  <c:v>633072800</c:v>
                </c:pt>
                <c:pt idx="17">
                  <c:v>664853400</c:v>
                </c:pt>
                <c:pt idx="18">
                  <c:v>725458100</c:v>
                </c:pt>
                <c:pt idx="19">
                  <c:v>776480300</c:v>
                </c:pt>
                <c:pt idx="20">
                  <c:v>673079900</c:v>
                </c:pt>
                <c:pt idx="21">
                  <c:v>856716800</c:v>
                </c:pt>
                <c:pt idx="22">
                  <c:v>662626600</c:v>
                </c:pt>
                <c:pt idx="23">
                  <c:v>792820900</c:v>
                </c:pt>
                <c:pt idx="24">
                  <c:v>927914700</c:v>
                </c:pt>
                <c:pt idx="25">
                  <c:v>814770900</c:v>
                </c:pt>
                <c:pt idx="26">
                  <c:v>641110900</c:v>
                </c:pt>
                <c:pt idx="27">
                  <c:v>699025700</c:v>
                </c:pt>
                <c:pt idx="28">
                  <c:v>530704800</c:v>
                </c:pt>
                <c:pt idx="29">
                  <c:v>823627000</c:v>
                </c:pt>
                <c:pt idx="30">
                  <c:v>647587800</c:v>
                </c:pt>
                <c:pt idx="31">
                  <c:v>467078900</c:v>
                </c:pt>
                <c:pt idx="32">
                  <c:v>526427800</c:v>
                </c:pt>
                <c:pt idx="33">
                  <c:v>614841800</c:v>
                </c:pt>
                <c:pt idx="34">
                  <c:v>613056800</c:v>
                </c:pt>
                <c:pt idx="35">
                  <c:v>513579700</c:v>
                </c:pt>
                <c:pt idx="36">
                  <c:v>493453500</c:v>
                </c:pt>
                <c:pt idx="37">
                  <c:v>440744000</c:v>
                </c:pt>
                <c:pt idx="38">
                  <c:v>489169700</c:v>
                </c:pt>
                <c:pt idx="39">
                  <c:v>433191200</c:v>
                </c:pt>
                <c:pt idx="40">
                  <c:v>517218500</c:v>
                </c:pt>
                <c:pt idx="41">
                  <c:v>629716800</c:v>
                </c:pt>
                <c:pt idx="42">
                  <c:v>469851200</c:v>
                </c:pt>
                <c:pt idx="43">
                  <c:v>444070500</c:v>
                </c:pt>
                <c:pt idx="44">
                  <c:v>375983900</c:v>
                </c:pt>
                <c:pt idx="45">
                  <c:v>449950000</c:v>
                </c:pt>
                <c:pt idx="46">
                  <c:v>421926000</c:v>
                </c:pt>
                <c:pt idx="47">
                  <c:v>466203300</c:v>
                </c:pt>
                <c:pt idx="48">
                  <c:v>574258400</c:v>
                </c:pt>
                <c:pt idx="49">
                  <c:v>725663300</c:v>
                </c:pt>
                <c:pt idx="50">
                  <c:v>750754800</c:v>
                </c:pt>
                <c:pt idx="51">
                  <c:v>668130700</c:v>
                </c:pt>
                <c:pt idx="52">
                  <c:v>509417900</c:v>
                </c:pt>
                <c:pt idx="53">
                  <c:v>602585200</c:v>
                </c:pt>
                <c:pt idx="54">
                  <c:v>569352300</c:v>
                </c:pt>
                <c:pt idx="55">
                  <c:v>456628100</c:v>
                </c:pt>
                <c:pt idx="56">
                  <c:v>480255500</c:v>
                </c:pt>
                <c:pt idx="57">
                  <c:v>927548000</c:v>
                </c:pt>
                <c:pt idx="58">
                  <c:v>720228600</c:v>
                </c:pt>
                <c:pt idx="59">
                  <c:v>944314600</c:v>
                </c:pt>
                <c:pt idx="60">
                  <c:v>714212800</c:v>
                </c:pt>
                <c:pt idx="61">
                  <c:v>469095900</c:v>
                </c:pt>
                <c:pt idx="62">
                  <c:v>589095800</c:v>
                </c:pt>
                <c:pt idx="63">
                  <c:v>433157700</c:v>
                </c:pt>
                <c:pt idx="64">
                  <c:v>547218800</c:v>
                </c:pt>
                <c:pt idx="65">
                  <c:v>508324300</c:v>
                </c:pt>
                <c:pt idx="66">
                  <c:v>484079900</c:v>
                </c:pt>
                <c:pt idx="67">
                  <c:v>584482000</c:v>
                </c:pt>
                <c:pt idx="68">
                  <c:v>472544800</c:v>
                </c:pt>
                <c:pt idx="69">
                  <c:v>549523400</c:v>
                </c:pt>
                <c:pt idx="70">
                  <c:v>392371800</c:v>
                </c:pt>
                <c:pt idx="71">
                  <c:v>450303300</c:v>
                </c:pt>
                <c:pt idx="72">
                  <c:v>558530000</c:v>
                </c:pt>
                <c:pt idx="73">
                  <c:v>887522300</c:v>
                </c:pt>
                <c:pt idx="74">
                  <c:v>1612695500</c:v>
                </c:pt>
                <c:pt idx="75">
                  <c:v>984705000</c:v>
                </c:pt>
                <c:pt idx="76">
                  <c:v>688845000</c:v>
                </c:pt>
                <c:pt idx="77">
                  <c:v>764965400</c:v>
                </c:pt>
                <c:pt idx="78">
                  <c:v>770190800</c:v>
                </c:pt>
                <c:pt idx="79">
                  <c:v>692423900</c:v>
                </c:pt>
                <c:pt idx="80">
                  <c:v>768176300</c:v>
                </c:pt>
                <c:pt idx="81">
                  <c:v>631618000</c:v>
                </c:pt>
                <c:pt idx="82">
                  <c:v>573443000</c:v>
                </c:pt>
                <c:pt idx="83">
                  <c:v>594761700</c:v>
                </c:pt>
                <c:pt idx="84">
                  <c:v>648076400</c:v>
                </c:pt>
                <c:pt idx="85">
                  <c:v>490962200</c:v>
                </c:pt>
                <c:pt idx="86">
                  <c:v>724945800</c:v>
                </c:pt>
                <c:pt idx="87">
                  <c:v>568661600</c:v>
                </c:pt>
                <c:pt idx="88">
                  <c:v>495084900</c:v>
                </c:pt>
                <c:pt idx="89">
                  <c:v>508572200</c:v>
                </c:pt>
                <c:pt idx="90">
                  <c:v>522672700</c:v>
                </c:pt>
                <c:pt idx="91">
                  <c:v>441308900</c:v>
                </c:pt>
                <c:pt idx="92">
                  <c:v>502918700</c:v>
                </c:pt>
                <c:pt idx="93">
                  <c:v>516515800</c:v>
                </c:pt>
                <c:pt idx="94">
                  <c:v>509885200</c:v>
                </c:pt>
                <c:pt idx="95">
                  <c:v>625674800</c:v>
                </c:pt>
                <c:pt idx="96">
                  <c:v>947531400</c:v>
                </c:pt>
                <c:pt idx="97">
                  <c:v>697050600</c:v>
                </c:pt>
                <c:pt idx="98">
                  <c:v>734334200</c:v>
                </c:pt>
                <c:pt idx="99">
                  <c:v>627343400</c:v>
                </c:pt>
                <c:pt idx="100">
                  <c:v>742902000</c:v>
                </c:pt>
                <c:pt idx="101">
                  <c:v>621372300</c:v>
                </c:pt>
                <c:pt idx="102">
                  <c:v>534891800</c:v>
                </c:pt>
                <c:pt idx="103">
                  <c:v>477157600</c:v>
                </c:pt>
                <c:pt idx="104">
                  <c:v>575586600</c:v>
                </c:pt>
                <c:pt idx="105">
                  <c:v>671225100</c:v>
                </c:pt>
                <c:pt idx="106">
                  <c:v>615296000</c:v>
                </c:pt>
                <c:pt idx="107">
                  <c:v>591358700</c:v>
                </c:pt>
                <c:pt idx="108">
                  <c:v>666168100</c:v>
                </c:pt>
                <c:pt idx="109">
                  <c:v>615501000</c:v>
                </c:pt>
                <c:pt idx="110">
                  <c:v>747635000</c:v>
                </c:pt>
                <c:pt idx="111">
                  <c:v>551497100</c:v>
                </c:pt>
                <c:pt idx="112">
                  <c:v>600807200</c:v>
                </c:pt>
                <c:pt idx="113">
                  <c:v>547588700</c:v>
                </c:pt>
                <c:pt idx="114">
                  <c:v>666764400</c:v>
                </c:pt>
                <c:pt idx="115">
                  <c:v>479456700</c:v>
                </c:pt>
                <c:pt idx="116">
                  <c:v>416680700</c:v>
                </c:pt>
                <c:pt idx="117">
                  <c:v>540907000</c:v>
                </c:pt>
                <c:pt idx="118">
                  <c:v>563880300</c:v>
                </c:pt>
                <c:pt idx="119">
                  <c:v>109309000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C0-024D-AE3B-7F190C858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4212336"/>
        <c:axId val="853841072"/>
      </c:lineChart>
      <c:catAx>
        <c:axId val="854212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3841072"/>
        <c:crosses val="autoZero"/>
        <c:auto val="1"/>
        <c:lblAlgn val="ctr"/>
        <c:lblOffset val="100"/>
        <c:noMultiLvlLbl val="0"/>
      </c:catAx>
      <c:valAx>
        <c:axId val="85384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421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1</xdr:row>
      <xdr:rowOff>25400</xdr:rowOff>
    </xdr:from>
    <xdr:to>
      <xdr:col>15</xdr:col>
      <xdr:colOff>431800</xdr:colOff>
      <xdr:row>37</xdr:row>
      <xdr:rowOff>101600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4046B42-37FD-CA2F-23D1-2DE7A9CB8C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609599</xdr:colOff>
      <xdr:row>2</xdr:row>
      <xdr:rowOff>88900</xdr:rowOff>
    </xdr:from>
    <xdr:to>
      <xdr:col>17</xdr:col>
      <xdr:colOff>715432</xdr:colOff>
      <xdr:row>38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2054613-CE07-33B5-3CB1-A4EE0261E9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1</xdr:row>
      <xdr:rowOff>0</xdr:rowOff>
    </xdr:from>
    <xdr:to>
      <xdr:col>18</xdr:col>
      <xdr:colOff>38100</xdr:colOff>
      <xdr:row>33</xdr:row>
      <xdr:rowOff>88900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BA2E46C9-3389-625B-DA72-FF55DFF710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622300</xdr:colOff>
      <xdr:row>2</xdr:row>
      <xdr:rowOff>127000</xdr:rowOff>
    </xdr:from>
    <xdr:to>
      <xdr:col>15</xdr:col>
      <xdr:colOff>444500</xdr:colOff>
      <xdr:row>41</xdr:row>
      <xdr:rowOff>20320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599E2299-DD57-E3A1-F558-201A06E69B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1</xdr:row>
      <xdr:rowOff>63500</xdr:rowOff>
    </xdr:from>
    <xdr:to>
      <xdr:col>15</xdr:col>
      <xdr:colOff>254000</xdr:colOff>
      <xdr:row>42</xdr:row>
      <xdr:rowOff>99060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05743E2-1D6A-0FE8-F91D-91CB55A83D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A231B-E9AF-E144-B961-7A54E5695D6E}">
  <dimension ref="A1:C272"/>
  <sheetViews>
    <sheetView workbookViewId="0">
      <selection activeCell="C6" sqref="A1:C121"/>
    </sheetView>
  </sheetViews>
  <sheetFormatPr baseColWidth="10" defaultRowHeight="13"/>
  <sheetData>
    <row r="1" spans="1:3">
      <c r="A1" s="1" t="s">
        <v>7</v>
      </c>
      <c r="B1" s="1" t="s">
        <v>8</v>
      </c>
      <c r="C1" s="1" t="s">
        <v>9</v>
      </c>
    </row>
    <row r="2" spans="1:3">
      <c r="A2" s="4">
        <f>MSFT!A2</f>
        <v>41640</v>
      </c>
      <c r="B2">
        <f>MSFT!F2</f>
        <v>31.863426</v>
      </c>
      <c r="C2">
        <f>SPX!F2</f>
        <v>1782.589966</v>
      </c>
    </row>
    <row r="3" spans="1:3">
      <c r="A3" s="4">
        <f>MSFT!A3</f>
        <v>41671</v>
      </c>
      <c r="B3">
        <f>MSFT!F3</f>
        <v>32.259186</v>
      </c>
      <c r="C3">
        <f>SPX!F3</f>
        <v>1859.4499510000001</v>
      </c>
    </row>
    <row r="4" spans="1:3">
      <c r="A4" s="4">
        <f>MSFT!A4</f>
        <v>41699</v>
      </c>
      <c r="B4">
        <f>MSFT!F4</f>
        <v>34.774731000000003</v>
      </c>
      <c r="C4">
        <f>SPX!F4</f>
        <v>1872.339966</v>
      </c>
    </row>
    <row r="5" spans="1:3">
      <c r="A5" s="4">
        <f>MSFT!A5</f>
        <v>41730</v>
      </c>
      <c r="B5">
        <f>MSFT!F5</f>
        <v>34.274185000000003</v>
      </c>
      <c r="C5">
        <f>SPX!F5</f>
        <v>1883.9499510000001</v>
      </c>
    </row>
    <row r="6" spans="1:3">
      <c r="A6" s="4">
        <f>MSFT!A6</f>
        <v>41760</v>
      </c>
      <c r="B6">
        <f>MSFT!F6</f>
        <v>34.732300000000002</v>
      </c>
      <c r="C6">
        <f>SPX!F6</f>
        <v>1923.5699460000001</v>
      </c>
    </row>
    <row r="7" spans="1:3">
      <c r="A7" s="4">
        <f>MSFT!A7</f>
        <v>41791</v>
      </c>
      <c r="B7">
        <f>MSFT!F7</f>
        <v>35.626632999999998</v>
      </c>
      <c r="C7">
        <f>SPX!F7</f>
        <v>1960.2299800000001</v>
      </c>
    </row>
    <row r="8" spans="1:3">
      <c r="A8" s="4">
        <f>MSFT!A8</f>
        <v>41821</v>
      </c>
      <c r="B8">
        <f>MSFT!F8</f>
        <v>36.873992999999999</v>
      </c>
      <c r="C8">
        <f>SPX!F8</f>
        <v>1930.670044</v>
      </c>
    </row>
    <row r="9" spans="1:3">
      <c r="A9" s="4">
        <f>MSFT!A9</f>
        <v>41852</v>
      </c>
      <c r="B9">
        <f>MSFT!F9</f>
        <v>38.813389000000001</v>
      </c>
      <c r="C9">
        <f>SPX!F9</f>
        <v>2003.369995</v>
      </c>
    </row>
    <row r="10" spans="1:3">
      <c r="A10" s="4">
        <f>MSFT!A10</f>
        <v>41883</v>
      </c>
      <c r="B10">
        <f>MSFT!F10</f>
        <v>39.855308999999998</v>
      </c>
      <c r="C10">
        <f>SPX!F10</f>
        <v>1972.290039</v>
      </c>
    </row>
    <row r="11" spans="1:3">
      <c r="A11" s="4">
        <f>MSFT!A11</f>
        <v>41913</v>
      </c>
      <c r="B11">
        <f>MSFT!F11</f>
        <v>40.362533999999997</v>
      </c>
      <c r="C11">
        <f>SPX!F11</f>
        <v>2018.0500489999999</v>
      </c>
    </row>
    <row r="12" spans="1:3">
      <c r="A12" s="4">
        <f>MSFT!A12</f>
        <v>41944</v>
      </c>
      <c r="B12">
        <f>MSFT!F12</f>
        <v>41.101875</v>
      </c>
      <c r="C12">
        <f>SPX!F12</f>
        <v>2067.5600589999999</v>
      </c>
    </row>
    <row r="13" spans="1:3">
      <c r="A13" s="4">
        <f>MSFT!A13</f>
        <v>41974</v>
      </c>
      <c r="B13">
        <f>MSFT!F13</f>
        <v>40.184562999999997</v>
      </c>
      <c r="C13">
        <f>SPX!F13</f>
        <v>2058.8999020000001</v>
      </c>
    </row>
    <row r="14" spans="1:3">
      <c r="A14" s="4">
        <f>MSFT!A14</f>
        <v>42005</v>
      </c>
      <c r="B14">
        <f>MSFT!F14</f>
        <v>34.950626</v>
      </c>
      <c r="C14">
        <f>SPX!F14</f>
        <v>1994.98999</v>
      </c>
    </row>
    <row r="15" spans="1:3">
      <c r="A15" s="4">
        <f>MSFT!A15</f>
        <v>42036</v>
      </c>
      <c r="B15">
        <f>MSFT!F15</f>
        <v>37.935253000000003</v>
      </c>
      <c r="C15">
        <f>SPX!F15</f>
        <v>2104.5</v>
      </c>
    </row>
    <row r="16" spans="1:3">
      <c r="A16" s="4">
        <f>MSFT!A16</f>
        <v>42064</v>
      </c>
      <c r="B16">
        <f>MSFT!F16</f>
        <v>35.425873000000003</v>
      </c>
      <c r="C16">
        <f>SPX!F16</f>
        <v>2067.889893</v>
      </c>
    </row>
    <row r="17" spans="1:3">
      <c r="A17" s="4">
        <f>MSFT!A17</f>
        <v>42095</v>
      </c>
      <c r="B17">
        <f>MSFT!F17</f>
        <v>42.378601000000003</v>
      </c>
      <c r="C17">
        <f>SPX!F17</f>
        <v>2085.51001</v>
      </c>
    </row>
    <row r="18" spans="1:3">
      <c r="A18" s="4">
        <f>MSFT!A18</f>
        <v>42125</v>
      </c>
      <c r="B18">
        <f>MSFT!F18</f>
        <v>40.827744000000003</v>
      </c>
      <c r="C18">
        <f>SPX!F18</f>
        <v>2107.389893</v>
      </c>
    </row>
    <row r="19" spans="1:3">
      <c r="A19" s="4">
        <f>MSFT!A19</f>
        <v>42156</v>
      </c>
      <c r="B19">
        <f>MSFT!F19</f>
        <v>38.716591000000001</v>
      </c>
      <c r="C19">
        <f>SPX!F19</f>
        <v>2063.110107</v>
      </c>
    </row>
    <row r="20" spans="1:3">
      <c r="A20" s="4">
        <f>MSFT!A20</f>
        <v>42186</v>
      </c>
      <c r="B20">
        <f>MSFT!F20</f>
        <v>40.952778000000002</v>
      </c>
      <c r="C20">
        <f>SPX!F20</f>
        <v>2103.8400879999999</v>
      </c>
    </row>
    <row r="21" spans="1:3">
      <c r="A21" s="4">
        <f>MSFT!A21</f>
        <v>42217</v>
      </c>
      <c r="B21">
        <f>MSFT!F21</f>
        <v>38.164138999999999</v>
      </c>
      <c r="C21">
        <f>SPX!F21</f>
        <v>1972.1800539999999</v>
      </c>
    </row>
    <row r="22" spans="1:3">
      <c r="A22" s="4">
        <f>MSFT!A22</f>
        <v>42248</v>
      </c>
      <c r="B22">
        <f>MSFT!F22</f>
        <v>39.069012000000001</v>
      </c>
      <c r="C22">
        <f>SPX!F22</f>
        <v>1920.030029</v>
      </c>
    </row>
    <row r="23" spans="1:3">
      <c r="A23" s="4">
        <f>MSFT!A23</f>
        <v>42278</v>
      </c>
      <c r="B23">
        <f>MSFT!F23</f>
        <v>46.466183000000001</v>
      </c>
      <c r="C23">
        <f>SPX!F23</f>
        <v>2079.360107</v>
      </c>
    </row>
    <row r="24" spans="1:3">
      <c r="A24" s="4">
        <f>MSFT!A24</f>
        <v>42309</v>
      </c>
      <c r="B24">
        <f>MSFT!F24</f>
        <v>47.975616000000002</v>
      </c>
      <c r="C24">
        <f>SPX!F24</f>
        <v>2080.4099120000001</v>
      </c>
    </row>
    <row r="25" spans="1:3">
      <c r="A25" s="4">
        <f>MSFT!A25</f>
        <v>42339</v>
      </c>
      <c r="B25">
        <f>MSFT!F25</f>
        <v>49.303165</v>
      </c>
      <c r="C25">
        <f>SPX!F25</f>
        <v>2043.9399410000001</v>
      </c>
    </row>
    <row r="26" spans="1:3">
      <c r="A26" s="4">
        <f>MSFT!A26</f>
        <v>42370</v>
      </c>
      <c r="B26">
        <f>MSFT!F26</f>
        <v>48.956595999999998</v>
      </c>
      <c r="C26">
        <f>SPX!F26</f>
        <v>1940.23999</v>
      </c>
    </row>
    <row r="27" spans="1:3">
      <c r="A27" s="4">
        <f>MSFT!A27</f>
        <v>42401</v>
      </c>
      <c r="B27">
        <f>MSFT!F27</f>
        <v>45.215321000000003</v>
      </c>
      <c r="C27">
        <f>SPX!F27</f>
        <v>1932.2299800000001</v>
      </c>
    </row>
    <row r="28" spans="1:3">
      <c r="A28" s="4">
        <f>MSFT!A28</f>
        <v>42430</v>
      </c>
      <c r="B28">
        <f>MSFT!F28</f>
        <v>49.433411</v>
      </c>
      <c r="C28">
        <f>SPX!F28</f>
        <v>2059.73999</v>
      </c>
    </row>
    <row r="29" spans="1:3">
      <c r="A29" s="4">
        <f>MSFT!A29</f>
        <v>42461</v>
      </c>
      <c r="B29">
        <f>MSFT!F29</f>
        <v>44.635967000000001</v>
      </c>
      <c r="C29">
        <f>SPX!F29</f>
        <v>2065.3000489999999</v>
      </c>
    </row>
    <row r="30" spans="1:3">
      <c r="A30" s="4">
        <f>MSFT!A30</f>
        <v>42491</v>
      </c>
      <c r="B30">
        <f>MSFT!F30</f>
        <v>47.437449999999998</v>
      </c>
      <c r="C30">
        <f>SPX!F30</f>
        <v>2096.9499510000001</v>
      </c>
    </row>
    <row r="31" spans="1:3">
      <c r="A31" s="4">
        <f>MSFT!A31</f>
        <v>42522</v>
      </c>
      <c r="B31">
        <f>MSFT!F31</f>
        <v>46.119858000000001</v>
      </c>
      <c r="C31">
        <f>SPX!F31</f>
        <v>2098.860107</v>
      </c>
    </row>
    <row r="32" spans="1:3">
      <c r="A32" s="4">
        <f>MSFT!A32</f>
        <v>42552</v>
      </c>
      <c r="B32">
        <f>MSFT!F32</f>
        <v>51.086060000000003</v>
      </c>
      <c r="C32">
        <f>SPX!F32</f>
        <v>2173.6000979999999</v>
      </c>
    </row>
    <row r="33" spans="1:3">
      <c r="A33" s="4">
        <f>MSFT!A33</f>
        <v>42583</v>
      </c>
      <c r="B33">
        <f>MSFT!F33</f>
        <v>51.789082000000001</v>
      </c>
      <c r="C33">
        <f>SPX!F33</f>
        <v>2170.9499510000001</v>
      </c>
    </row>
    <row r="34" spans="1:3">
      <c r="A34" s="4">
        <f>MSFT!A34</f>
        <v>42614</v>
      </c>
      <c r="B34">
        <f>MSFT!F34</f>
        <v>52.238833999999997</v>
      </c>
      <c r="C34">
        <f>SPX!F34</f>
        <v>2168.2700199999999</v>
      </c>
    </row>
    <row r="35" spans="1:3">
      <c r="A35" s="4">
        <f>MSFT!A35</f>
        <v>42644</v>
      </c>
      <c r="B35">
        <f>MSFT!F35</f>
        <v>54.342888000000002</v>
      </c>
      <c r="C35">
        <f>SPX!F35</f>
        <v>2126.1499020000001</v>
      </c>
    </row>
    <row r="36" spans="1:3">
      <c r="A36" s="4">
        <f>MSFT!A36</f>
        <v>42675</v>
      </c>
      <c r="B36">
        <f>MSFT!F36</f>
        <v>54.651249</v>
      </c>
      <c r="C36">
        <f>SPX!F36</f>
        <v>2198.8100589999999</v>
      </c>
    </row>
    <row r="37" spans="1:3">
      <c r="A37" s="4">
        <f>MSFT!A37</f>
        <v>42705</v>
      </c>
      <c r="B37">
        <f>MSFT!F37</f>
        <v>56.736984</v>
      </c>
      <c r="C37">
        <f>SPX!F37</f>
        <v>2238.830078</v>
      </c>
    </row>
    <row r="38" spans="1:3">
      <c r="A38" s="4">
        <f>MSFT!A38</f>
        <v>42736</v>
      </c>
      <c r="B38">
        <f>MSFT!F38</f>
        <v>59.028748</v>
      </c>
      <c r="C38">
        <f>SPX!F38</f>
        <v>2278.8701169999999</v>
      </c>
    </row>
    <row r="39" spans="1:3">
      <c r="A39" s="4">
        <f>MSFT!A39</f>
        <v>42767</v>
      </c>
      <c r="B39">
        <f>MSFT!F39</f>
        <v>58.416995999999997</v>
      </c>
      <c r="C39">
        <f>SPX!F39</f>
        <v>2363.639893</v>
      </c>
    </row>
    <row r="40" spans="1:3">
      <c r="A40" s="4">
        <f>MSFT!A40</f>
        <v>42795</v>
      </c>
      <c r="B40">
        <f>MSFT!F40</f>
        <v>60.498100000000001</v>
      </c>
      <c r="C40">
        <f>SPX!F40</f>
        <v>2362.719971</v>
      </c>
    </row>
    <row r="41" spans="1:3">
      <c r="A41" s="4">
        <f>MSFT!A41</f>
        <v>42826</v>
      </c>
      <c r="B41">
        <f>MSFT!F41</f>
        <v>62.886398</v>
      </c>
      <c r="C41">
        <f>SPX!F41</f>
        <v>2384.1999510000001</v>
      </c>
    </row>
    <row r="42" spans="1:3">
      <c r="A42" s="4">
        <f>MSFT!A42</f>
        <v>42856</v>
      </c>
      <c r="B42">
        <f>MSFT!F42</f>
        <v>64.154053000000005</v>
      </c>
      <c r="C42">
        <f>SPX!F42</f>
        <v>2411.8000489999999</v>
      </c>
    </row>
    <row r="43" spans="1:3">
      <c r="A43" s="4">
        <f>MSFT!A43</f>
        <v>42887</v>
      </c>
      <c r="B43">
        <f>MSFT!F43</f>
        <v>63.681091000000002</v>
      </c>
      <c r="C43">
        <f>SPX!F43</f>
        <v>2423.4099120000001</v>
      </c>
    </row>
    <row r="44" spans="1:3">
      <c r="A44" s="4">
        <f>MSFT!A44</f>
        <v>42917</v>
      </c>
      <c r="B44">
        <f>MSFT!F44</f>
        <v>67.16404</v>
      </c>
      <c r="C44">
        <f>SPX!F44</f>
        <v>2470.3000489999999</v>
      </c>
    </row>
    <row r="45" spans="1:3">
      <c r="A45" s="4">
        <f>MSFT!A45</f>
        <v>42948</v>
      </c>
      <c r="B45">
        <f>MSFT!F45</f>
        <v>69.076369999999997</v>
      </c>
      <c r="C45">
        <f>SPX!F45</f>
        <v>2471.6499020000001</v>
      </c>
    </row>
    <row r="46" spans="1:3">
      <c r="A46" s="4">
        <f>MSFT!A46</f>
        <v>42979</v>
      </c>
      <c r="B46">
        <f>MSFT!F46</f>
        <v>69.184380000000004</v>
      </c>
      <c r="C46">
        <f>SPX!F46</f>
        <v>2519.360107</v>
      </c>
    </row>
    <row r="47" spans="1:3">
      <c r="A47" s="4">
        <f>MSFT!A47</f>
        <v>43009</v>
      </c>
      <c r="B47">
        <f>MSFT!F47</f>
        <v>77.255393999999995</v>
      </c>
      <c r="C47">
        <f>SPX!F47</f>
        <v>2575.26001</v>
      </c>
    </row>
    <row r="48" spans="1:3">
      <c r="A48" s="4">
        <f>MSFT!A48</f>
        <v>43040</v>
      </c>
      <c r="B48">
        <f>MSFT!F48</f>
        <v>78.174888999999993</v>
      </c>
      <c r="C48">
        <f>SPX!F48</f>
        <v>2647.580078</v>
      </c>
    </row>
    <row r="49" spans="1:3">
      <c r="A49" s="4">
        <f>MSFT!A49</f>
        <v>43070</v>
      </c>
      <c r="B49">
        <f>MSFT!F49</f>
        <v>79.846298000000004</v>
      </c>
      <c r="C49">
        <f>SPX!F49</f>
        <v>2673.610107</v>
      </c>
    </row>
    <row r="50" spans="1:3">
      <c r="A50" s="4">
        <f>MSFT!A50</f>
        <v>43101</v>
      </c>
      <c r="B50">
        <f>MSFT!F50</f>
        <v>88.685958999999997</v>
      </c>
      <c r="C50">
        <f>SPX!F50</f>
        <v>2823.8100589999999</v>
      </c>
    </row>
    <row r="51" spans="1:3">
      <c r="A51" s="4">
        <f>MSFT!A51</f>
        <v>43132</v>
      </c>
      <c r="B51">
        <f>MSFT!F51</f>
        <v>87.528487999999996</v>
      </c>
      <c r="C51">
        <f>SPX!F51</f>
        <v>2713.830078</v>
      </c>
    </row>
    <row r="52" spans="1:3">
      <c r="A52" s="4">
        <f>MSFT!A52</f>
        <v>43160</v>
      </c>
      <c r="B52">
        <f>MSFT!F52</f>
        <v>85.595107999999996</v>
      </c>
      <c r="C52">
        <f>SPX!F52</f>
        <v>2640.8701169999999</v>
      </c>
    </row>
    <row r="53" spans="1:3">
      <c r="A53" s="4">
        <f>MSFT!A53</f>
        <v>43191</v>
      </c>
      <c r="B53">
        <f>MSFT!F53</f>
        <v>87.705192999999994</v>
      </c>
      <c r="C53">
        <f>SPX!F53</f>
        <v>2648.0500489999999</v>
      </c>
    </row>
    <row r="54" spans="1:3">
      <c r="A54" s="4">
        <f>MSFT!A54</f>
        <v>43221</v>
      </c>
      <c r="B54">
        <f>MSFT!F54</f>
        <v>92.694412</v>
      </c>
      <c r="C54">
        <f>SPX!F54</f>
        <v>2705.2700199999999</v>
      </c>
    </row>
    <row r="55" spans="1:3">
      <c r="A55" s="4">
        <f>MSFT!A55</f>
        <v>43252</v>
      </c>
      <c r="B55">
        <f>MSFT!F55</f>
        <v>92.879554999999996</v>
      </c>
      <c r="C55">
        <f>SPX!F55</f>
        <v>2718.3701169999999</v>
      </c>
    </row>
    <row r="56" spans="1:3">
      <c r="A56" s="4">
        <f>MSFT!A56</f>
        <v>43282</v>
      </c>
      <c r="B56">
        <f>MSFT!F56</f>
        <v>99.915481999999997</v>
      </c>
      <c r="C56">
        <f>SPX!F56</f>
        <v>2816.290039</v>
      </c>
    </row>
    <row r="57" spans="1:3">
      <c r="A57" s="4">
        <f>MSFT!A57</f>
        <v>43313</v>
      </c>
      <c r="B57">
        <f>MSFT!F57</f>
        <v>105.802246</v>
      </c>
      <c r="C57">
        <f>SPX!F57</f>
        <v>2901.5200199999999</v>
      </c>
    </row>
    <row r="58" spans="1:3">
      <c r="A58" s="4">
        <f>MSFT!A58</f>
        <v>43344</v>
      </c>
      <c r="B58">
        <f>MSFT!F58</f>
        <v>108.13827499999999</v>
      </c>
      <c r="C58">
        <f>SPX!F58</f>
        <v>2913.9799800000001</v>
      </c>
    </row>
    <row r="59" spans="1:3">
      <c r="A59" s="4">
        <f>MSFT!A59</f>
        <v>43374</v>
      </c>
      <c r="B59">
        <f>MSFT!F59</f>
        <v>100.990189</v>
      </c>
      <c r="C59">
        <f>SPX!F59</f>
        <v>2711.73999</v>
      </c>
    </row>
    <row r="60" spans="1:3">
      <c r="A60" s="4">
        <f>MSFT!A60</f>
        <v>43405</v>
      </c>
      <c r="B60">
        <f>MSFT!F60</f>
        <v>104.84788500000001</v>
      </c>
      <c r="C60">
        <f>SPX!F60</f>
        <v>2760.169922</v>
      </c>
    </row>
    <row r="61" spans="1:3">
      <c r="A61" s="4">
        <f>MSFT!A61</f>
        <v>43435</v>
      </c>
      <c r="B61">
        <f>MSFT!F61</f>
        <v>96.450599999999994</v>
      </c>
      <c r="C61">
        <f>SPX!F61</f>
        <v>2506.8500979999999</v>
      </c>
    </row>
    <row r="62" spans="1:3">
      <c r="A62" s="4">
        <f>MSFT!A62</f>
        <v>43466</v>
      </c>
      <c r="B62">
        <f>MSFT!F62</f>
        <v>99.166427999999996</v>
      </c>
      <c r="C62">
        <f>SPX!F62</f>
        <v>2704.1000979999999</v>
      </c>
    </row>
    <row r="63" spans="1:3">
      <c r="A63" s="4">
        <f>MSFT!A63</f>
        <v>43497</v>
      </c>
      <c r="B63">
        <f>MSFT!F63</f>
        <v>106.383369</v>
      </c>
      <c r="C63">
        <f>SPX!F63</f>
        <v>2784.48999</v>
      </c>
    </row>
    <row r="64" spans="1:3">
      <c r="A64" s="4">
        <f>MSFT!A64</f>
        <v>43525</v>
      </c>
      <c r="B64">
        <f>MSFT!F64</f>
        <v>112.47378500000001</v>
      </c>
      <c r="C64">
        <f>SPX!F64</f>
        <v>2834.3999020000001</v>
      </c>
    </row>
    <row r="65" spans="1:3">
      <c r="A65" s="4">
        <f>MSFT!A65</f>
        <v>43556</v>
      </c>
      <c r="B65">
        <f>MSFT!F65</f>
        <v>124.547028</v>
      </c>
      <c r="C65">
        <f>SPX!F65</f>
        <v>2945.830078</v>
      </c>
    </row>
    <row r="66" spans="1:3">
      <c r="A66" s="4">
        <f>MSFT!A66</f>
        <v>43586</v>
      </c>
      <c r="B66">
        <f>MSFT!F66</f>
        <v>117.947762</v>
      </c>
      <c r="C66">
        <f>SPX!F66</f>
        <v>2752.0600589999999</v>
      </c>
    </row>
    <row r="67" spans="1:3">
      <c r="A67" s="4">
        <f>MSFT!A67</f>
        <v>43617</v>
      </c>
      <c r="B67">
        <f>MSFT!F67</f>
        <v>128.22421299999999</v>
      </c>
      <c r="C67">
        <f>SPX!F67</f>
        <v>2941.76001</v>
      </c>
    </row>
    <row r="68" spans="1:3">
      <c r="A68" s="4">
        <f>MSFT!A68</f>
        <v>43647</v>
      </c>
      <c r="B68">
        <f>MSFT!F68</f>
        <v>130.43528699999999</v>
      </c>
      <c r="C68">
        <f>SPX!F68</f>
        <v>2980.3798830000001</v>
      </c>
    </row>
    <row r="69" spans="1:3">
      <c r="A69" s="4">
        <f>MSFT!A69</f>
        <v>43678</v>
      </c>
      <c r="B69">
        <f>MSFT!F69</f>
        <v>131.95721399999999</v>
      </c>
      <c r="C69">
        <f>SPX!F69</f>
        <v>2926.459961</v>
      </c>
    </row>
    <row r="70" spans="1:3">
      <c r="A70" s="4">
        <f>MSFT!A70</f>
        <v>43709</v>
      </c>
      <c r="B70">
        <f>MSFT!F70</f>
        <v>133.520264</v>
      </c>
      <c r="C70">
        <f>SPX!F70</f>
        <v>2976.73999</v>
      </c>
    </row>
    <row r="71" spans="1:3">
      <c r="A71" s="4">
        <f>MSFT!A71</f>
        <v>43739</v>
      </c>
      <c r="B71">
        <f>MSFT!F71</f>
        <v>137.68826300000001</v>
      </c>
      <c r="C71">
        <f>SPX!F71</f>
        <v>3037.5600589999999</v>
      </c>
    </row>
    <row r="72" spans="1:3">
      <c r="A72" s="4">
        <f>MSFT!A72</f>
        <v>43770</v>
      </c>
      <c r="B72">
        <f>MSFT!F72</f>
        <v>145.380844</v>
      </c>
      <c r="C72">
        <f>SPX!F72</f>
        <v>3140.9799800000001</v>
      </c>
    </row>
    <row r="73" spans="1:3">
      <c r="A73" s="4">
        <f>MSFT!A73</f>
        <v>43800</v>
      </c>
      <c r="B73">
        <f>MSFT!F73</f>
        <v>151.965698</v>
      </c>
      <c r="C73">
        <f>SPX!F73</f>
        <v>3230.780029</v>
      </c>
    </row>
    <row r="74" spans="1:3">
      <c r="A74" s="4">
        <f>MSFT!A74</f>
        <v>43831</v>
      </c>
      <c r="B74">
        <f>MSFT!F74</f>
        <v>164.0401</v>
      </c>
      <c r="C74">
        <f>SPX!F74</f>
        <v>3225.5200199999999</v>
      </c>
    </row>
    <row r="75" spans="1:3">
      <c r="A75" s="4">
        <f>MSFT!A75</f>
        <v>43862</v>
      </c>
      <c r="B75">
        <f>MSFT!F75</f>
        <v>156.11897300000001</v>
      </c>
      <c r="C75">
        <f>SPX!F75</f>
        <v>2954.219971</v>
      </c>
    </row>
    <row r="76" spans="1:3">
      <c r="A76" s="4">
        <f>MSFT!A76</f>
        <v>43891</v>
      </c>
      <c r="B76">
        <f>MSFT!F76</f>
        <v>152.390457</v>
      </c>
      <c r="C76">
        <f>SPX!F76</f>
        <v>2584.5900879999999</v>
      </c>
    </row>
    <row r="77" spans="1:3">
      <c r="A77" s="4">
        <f>MSFT!A77</f>
        <v>43922</v>
      </c>
      <c r="B77">
        <f>MSFT!F77</f>
        <v>173.16525300000001</v>
      </c>
      <c r="C77">
        <f>SPX!F77</f>
        <v>2912.429932</v>
      </c>
    </row>
    <row r="78" spans="1:3">
      <c r="A78" s="4">
        <f>MSFT!A78</f>
        <v>43952</v>
      </c>
      <c r="B78">
        <f>MSFT!F78</f>
        <v>177.06895399999999</v>
      </c>
      <c r="C78">
        <f>SPX!F78</f>
        <v>3044.3100589999999</v>
      </c>
    </row>
    <row r="79" spans="1:3">
      <c r="A79" s="4">
        <f>MSFT!A79</f>
        <v>43983</v>
      </c>
      <c r="B79">
        <f>MSFT!F79</f>
        <v>197.19328300000001</v>
      </c>
      <c r="C79">
        <f>SPX!F79</f>
        <v>3100.290039</v>
      </c>
    </row>
    <row r="80" spans="1:3">
      <c r="A80" s="4">
        <f>MSFT!A80</f>
        <v>44013</v>
      </c>
      <c r="B80">
        <f>MSFT!F80</f>
        <v>198.64672899999999</v>
      </c>
      <c r="C80">
        <f>SPX!F80</f>
        <v>3271.1201169999999</v>
      </c>
    </row>
    <row r="81" spans="1:3">
      <c r="A81" s="4">
        <f>MSFT!A81</f>
        <v>44044</v>
      </c>
      <c r="B81">
        <f>MSFT!F81</f>
        <v>218.52981600000001</v>
      </c>
      <c r="C81">
        <f>SPX!F81</f>
        <v>3500.3100589999999</v>
      </c>
    </row>
    <row r="82" spans="1:3">
      <c r="A82" s="4">
        <f>MSFT!A82</f>
        <v>44075</v>
      </c>
      <c r="B82">
        <f>MSFT!F82</f>
        <v>204.29425000000001</v>
      </c>
      <c r="C82">
        <f>SPX!F82</f>
        <v>3363</v>
      </c>
    </row>
    <row r="83" spans="1:3">
      <c r="A83" s="4">
        <f>MSFT!A83</f>
        <v>44105</v>
      </c>
      <c r="B83">
        <f>MSFT!F83</f>
        <v>196.65980500000001</v>
      </c>
      <c r="C83">
        <f>SPX!F83</f>
        <v>3269.959961</v>
      </c>
    </row>
    <row r="84" spans="1:3">
      <c r="A84" s="4">
        <f>MSFT!A84</f>
        <v>44136</v>
      </c>
      <c r="B84">
        <f>MSFT!F84</f>
        <v>207.92690999999999</v>
      </c>
      <c r="C84">
        <f>SPX!F84</f>
        <v>3621.6298830000001</v>
      </c>
    </row>
    <row r="85" spans="1:3">
      <c r="A85" s="4">
        <f>MSFT!A85</f>
        <v>44166</v>
      </c>
      <c r="B85">
        <f>MSFT!F85</f>
        <v>216.60290499999999</v>
      </c>
      <c r="C85">
        <f>SPX!F85</f>
        <v>3756.070068</v>
      </c>
    </row>
    <row r="86" spans="1:3">
      <c r="A86" s="4">
        <f>MSFT!A86</f>
        <v>44197</v>
      </c>
      <c r="B86">
        <f>MSFT!F86</f>
        <v>225.89338699999999</v>
      </c>
      <c r="C86">
        <f>SPX!F86</f>
        <v>3714.23999</v>
      </c>
    </row>
    <row r="87" spans="1:3">
      <c r="A87" s="4">
        <f>MSFT!A87</f>
        <v>44228</v>
      </c>
      <c r="B87">
        <f>MSFT!F87</f>
        <v>226.30242899999999</v>
      </c>
      <c r="C87">
        <f>SPX!F87</f>
        <v>3811.1499020000001</v>
      </c>
    </row>
    <row r="88" spans="1:3">
      <c r="A88" s="4">
        <f>MSFT!A88</f>
        <v>44256</v>
      </c>
      <c r="B88">
        <f>MSFT!F88</f>
        <v>230.13256799999999</v>
      </c>
      <c r="C88">
        <f>SPX!F88</f>
        <v>3972.889893</v>
      </c>
    </row>
    <row r="89" spans="1:3">
      <c r="A89" s="4">
        <f>MSFT!A89</f>
        <v>44287</v>
      </c>
      <c r="B89">
        <f>MSFT!F89</f>
        <v>246.15020799999999</v>
      </c>
      <c r="C89">
        <f>SPX!F89</f>
        <v>4181.169922</v>
      </c>
    </row>
    <row r="90" spans="1:3">
      <c r="A90" s="4">
        <f>MSFT!A90</f>
        <v>44317</v>
      </c>
      <c r="B90">
        <f>MSFT!F90</f>
        <v>243.709946</v>
      </c>
      <c r="C90">
        <f>SPX!F90</f>
        <v>4204.1098629999997</v>
      </c>
    </row>
    <row r="91" spans="1:3">
      <c r="A91" s="4">
        <f>MSFT!A91</f>
        <v>44348</v>
      </c>
      <c r="B91">
        <f>MSFT!F91</f>
        <v>265.03323399999999</v>
      </c>
      <c r="C91">
        <f>SPX!F91</f>
        <v>4297.5</v>
      </c>
    </row>
    <row r="92" spans="1:3">
      <c r="A92" s="4">
        <f>MSFT!A92</f>
        <v>44378</v>
      </c>
      <c r="B92">
        <f>MSFT!F92</f>
        <v>278.73974600000003</v>
      </c>
      <c r="C92">
        <f>SPX!F92</f>
        <v>4395.2597660000001</v>
      </c>
    </row>
    <row r="93" spans="1:3">
      <c r="A93" s="4">
        <f>MSFT!A93</f>
        <v>44409</v>
      </c>
      <c r="B93">
        <f>MSFT!F93</f>
        <v>295.34225500000002</v>
      </c>
      <c r="C93">
        <f>SPX!F93</f>
        <v>4522.6801759999998</v>
      </c>
    </row>
    <row r="94" spans="1:3">
      <c r="A94" s="4">
        <f>MSFT!A94</f>
        <v>44440</v>
      </c>
      <c r="B94">
        <f>MSFT!F94</f>
        <v>276.34252900000001</v>
      </c>
      <c r="C94">
        <f>SPX!F94</f>
        <v>4307.5400390000004</v>
      </c>
    </row>
    <row r="95" spans="1:3">
      <c r="A95" s="4">
        <f>MSFT!A95</f>
        <v>44470</v>
      </c>
      <c r="B95">
        <f>MSFT!F95</f>
        <v>325.05926499999998</v>
      </c>
      <c r="C95">
        <f>SPX!F95</f>
        <v>4605.3798829999996</v>
      </c>
    </row>
    <row r="96" spans="1:3">
      <c r="A96" s="4">
        <f>MSFT!A96</f>
        <v>44501</v>
      </c>
      <c r="B96">
        <f>MSFT!F96</f>
        <v>324.04965199999998</v>
      </c>
      <c r="C96">
        <f>SPX!F96</f>
        <v>4567</v>
      </c>
    </row>
    <row r="97" spans="1:3">
      <c r="A97" s="4">
        <f>MSFT!A97</f>
        <v>44531</v>
      </c>
      <c r="B97">
        <f>MSFT!F97</f>
        <v>330.269409</v>
      </c>
      <c r="C97">
        <f>SPX!F97</f>
        <v>4766.1801759999998</v>
      </c>
    </row>
    <row r="98" spans="1:3">
      <c r="A98" s="4">
        <f>MSFT!A98</f>
        <v>44562</v>
      </c>
      <c r="B98">
        <f>MSFT!F98</f>
        <v>305.38528400000001</v>
      </c>
      <c r="C98">
        <f>SPX!F98</f>
        <v>4515.5498049999997</v>
      </c>
    </row>
    <row r="99" spans="1:3">
      <c r="A99" s="4">
        <f>MSFT!A99</f>
        <v>44593</v>
      </c>
      <c r="B99">
        <f>MSFT!F99</f>
        <v>293.414581</v>
      </c>
      <c r="C99">
        <f>SPX!F99</f>
        <v>4373.9399409999996</v>
      </c>
    </row>
    <row r="100" spans="1:3">
      <c r="A100" s="4">
        <f>MSFT!A100</f>
        <v>44621</v>
      </c>
      <c r="B100">
        <f>MSFT!F100</f>
        <v>303.38937399999998</v>
      </c>
      <c r="C100">
        <f>SPX!F100</f>
        <v>4530.4101559999999</v>
      </c>
    </row>
    <row r="101" spans="1:3">
      <c r="A101" s="4">
        <f>MSFT!A101</f>
        <v>44652</v>
      </c>
      <c r="B101">
        <f>MSFT!F101</f>
        <v>273.09075899999999</v>
      </c>
      <c r="C101">
        <f>SPX!F101</f>
        <v>4131.9301759999998</v>
      </c>
    </row>
    <row r="102" spans="1:3">
      <c r="A102" s="4">
        <f>MSFT!A102</f>
        <v>44682</v>
      </c>
      <c r="B102">
        <f>MSFT!F102</f>
        <v>267.530914</v>
      </c>
      <c r="C102">
        <f>SPX!F102</f>
        <v>4132.1499020000001</v>
      </c>
    </row>
    <row r="103" spans="1:3">
      <c r="A103" s="4">
        <f>MSFT!A103</f>
        <v>44713</v>
      </c>
      <c r="B103">
        <f>MSFT!F103</f>
        <v>253.31959499999999</v>
      </c>
      <c r="C103">
        <f>SPX!F103</f>
        <v>3785.3798830000001</v>
      </c>
    </row>
    <row r="104" spans="1:3">
      <c r="A104" s="4">
        <f>MSFT!A104</f>
        <v>44743</v>
      </c>
      <c r="B104">
        <f>MSFT!F104</f>
        <v>276.90277099999997</v>
      </c>
      <c r="C104">
        <f>SPX!F104</f>
        <v>4130.2900390000004</v>
      </c>
    </row>
    <row r="105" spans="1:3">
      <c r="A105" s="4">
        <f>MSFT!A105</f>
        <v>44774</v>
      </c>
      <c r="B105">
        <f>MSFT!F105</f>
        <v>257.89617900000002</v>
      </c>
      <c r="C105">
        <f>SPX!F105</f>
        <v>3955</v>
      </c>
    </row>
    <row r="106" spans="1:3">
      <c r="A106" s="4">
        <f>MSFT!A106</f>
        <v>44805</v>
      </c>
      <c r="B106">
        <f>MSFT!F106</f>
        <v>230.20426900000001</v>
      </c>
      <c r="C106">
        <f>SPX!F106</f>
        <v>3585.6201169999999</v>
      </c>
    </row>
    <row r="107" spans="1:3">
      <c r="A107" s="4">
        <f>MSFT!A107</f>
        <v>44835</v>
      </c>
      <c r="B107">
        <f>MSFT!F107</f>
        <v>229.443207</v>
      </c>
      <c r="C107">
        <f>SPX!F107</f>
        <v>3871.9799800000001</v>
      </c>
    </row>
    <row r="108" spans="1:3">
      <c r="A108" s="4">
        <f>MSFT!A108</f>
        <v>44866</v>
      </c>
      <c r="B108">
        <f>MSFT!F108</f>
        <v>252.18689000000001</v>
      </c>
      <c r="C108">
        <f>SPX!F108</f>
        <v>4080.110107</v>
      </c>
    </row>
    <row r="109" spans="1:3">
      <c r="A109" s="4">
        <f>MSFT!A109</f>
        <v>44896</v>
      </c>
      <c r="B109">
        <f>MSFT!F109</f>
        <v>237.71225000000001</v>
      </c>
      <c r="C109">
        <f>SPX!F109</f>
        <v>3839.5</v>
      </c>
    </row>
    <row r="110" spans="1:3">
      <c r="A110" s="4">
        <f>MSFT!A110</f>
        <v>44927</v>
      </c>
      <c r="B110">
        <f>MSFT!F110</f>
        <v>245.631989</v>
      </c>
      <c r="C110">
        <f>SPX!F110</f>
        <v>4076.6000979999999</v>
      </c>
    </row>
    <row r="111" spans="1:3">
      <c r="A111" s="4">
        <f>MSFT!A111</f>
        <v>44958</v>
      </c>
      <c r="B111">
        <f>MSFT!F111</f>
        <v>247.227844</v>
      </c>
      <c r="C111">
        <f>SPX!F111</f>
        <v>3970.1499020000001</v>
      </c>
    </row>
    <row r="112" spans="1:3">
      <c r="A112" s="4">
        <f>MSFT!A112</f>
        <v>44986</v>
      </c>
      <c r="B112">
        <f>MSFT!F112</f>
        <v>286.48187300000001</v>
      </c>
      <c r="C112">
        <f>SPX!F112</f>
        <v>4109.3100590000004</v>
      </c>
    </row>
    <row r="113" spans="1:3">
      <c r="A113" s="4">
        <f>MSFT!A113</f>
        <v>45017</v>
      </c>
      <c r="B113">
        <f>MSFT!F113</f>
        <v>305.32232699999997</v>
      </c>
      <c r="C113">
        <f>SPX!F113</f>
        <v>4169.4799800000001</v>
      </c>
    </row>
    <row r="114" spans="1:3">
      <c r="A114" s="4">
        <f>MSFT!A114</f>
        <v>45047</v>
      </c>
      <c r="B114">
        <f>MSFT!F114</f>
        <v>326.31909200000001</v>
      </c>
      <c r="C114">
        <f>SPX!F114</f>
        <v>4179.830078</v>
      </c>
    </row>
    <row r="115" spans="1:3">
      <c r="A115" s="4">
        <f>MSFT!A115</f>
        <v>45078</v>
      </c>
      <c r="B115">
        <f>MSFT!F115</f>
        <v>339.13220200000001</v>
      </c>
      <c r="C115">
        <f>SPX!F115</f>
        <v>4450.3798829999996</v>
      </c>
    </row>
    <row r="116" spans="1:3">
      <c r="A116" s="4">
        <f>MSFT!A116</f>
        <v>45108</v>
      </c>
      <c r="B116">
        <f>MSFT!F116</f>
        <v>334.53131100000002</v>
      </c>
      <c r="C116">
        <f>SPX!F116</f>
        <v>4588.9599609999996</v>
      </c>
    </row>
    <row r="117" spans="1:3">
      <c r="A117" s="4">
        <f>MSFT!A117</f>
        <v>45139</v>
      </c>
      <c r="B117">
        <f>MSFT!F117</f>
        <v>326.40505999999999</v>
      </c>
      <c r="C117">
        <f>SPX!F117</f>
        <v>4507.6601559999999</v>
      </c>
    </row>
    <row r="118" spans="1:3">
      <c r="A118" s="4">
        <f>MSFT!A118</f>
        <v>45170</v>
      </c>
      <c r="B118">
        <f>MSFT!F118</f>
        <v>315.11044299999998</v>
      </c>
      <c r="C118">
        <f>SPX!F118</f>
        <v>4288.0498049999997</v>
      </c>
    </row>
    <row r="119" spans="1:3">
      <c r="A119" s="4">
        <f>MSFT!A119</f>
        <v>45200</v>
      </c>
      <c r="B119">
        <f>MSFT!F119</f>
        <v>337.42514</v>
      </c>
      <c r="C119">
        <f>SPX!F119</f>
        <v>4193.7998049999997</v>
      </c>
    </row>
    <row r="120" spans="1:3">
      <c r="A120" s="4">
        <f>MSFT!A120</f>
        <v>45231</v>
      </c>
      <c r="B120">
        <f>MSFT!F120</f>
        <v>378.142517</v>
      </c>
      <c r="C120">
        <f>SPX!F120</f>
        <v>4567.7998049999997</v>
      </c>
    </row>
    <row r="121" spans="1:3">
      <c r="A121" s="4">
        <f>MSFT!A121</f>
        <v>45261</v>
      </c>
      <c r="B121">
        <f>MSFT!F121</f>
        <v>368.79998799999998</v>
      </c>
      <c r="C121">
        <f>SPX!F121</f>
        <v>4549.3398440000001</v>
      </c>
    </row>
    <row r="122" spans="1:3">
      <c r="A122" s="4"/>
    </row>
    <row r="123" spans="1:3">
      <c r="A123" s="4"/>
    </row>
    <row r="124" spans="1:3">
      <c r="A124" s="4"/>
    </row>
    <row r="125" spans="1:3">
      <c r="A125" s="4"/>
    </row>
    <row r="126" spans="1:3">
      <c r="A126" s="4"/>
    </row>
    <row r="127" spans="1:3">
      <c r="A127" s="4"/>
    </row>
    <row r="128" spans="1:3">
      <c r="A128" s="4"/>
    </row>
    <row r="129" spans="1:1">
      <c r="A129" s="4"/>
    </row>
    <row r="130" spans="1:1">
      <c r="A130" s="4"/>
    </row>
    <row r="131" spans="1:1">
      <c r="A131" s="4"/>
    </row>
    <row r="132" spans="1:1">
      <c r="A132" s="4"/>
    </row>
    <row r="133" spans="1:1">
      <c r="A133" s="4"/>
    </row>
    <row r="134" spans="1:1">
      <c r="A134" s="4"/>
    </row>
    <row r="135" spans="1:1">
      <c r="A135" s="4"/>
    </row>
    <row r="136" spans="1:1">
      <c r="A136" s="4"/>
    </row>
    <row r="137" spans="1:1">
      <c r="A137" s="4"/>
    </row>
    <row r="138" spans="1:1">
      <c r="A138" s="4"/>
    </row>
    <row r="139" spans="1:1">
      <c r="A139" s="4"/>
    </row>
    <row r="140" spans="1:1">
      <c r="A140" s="4"/>
    </row>
    <row r="141" spans="1:1">
      <c r="A141" s="4"/>
    </row>
    <row r="142" spans="1:1">
      <c r="A142" s="4"/>
    </row>
    <row r="143" spans="1:1">
      <c r="A143" s="4"/>
    </row>
    <row r="144" spans="1:1">
      <c r="A144" s="4"/>
    </row>
    <row r="145" spans="1:1">
      <c r="A145" s="4"/>
    </row>
    <row r="146" spans="1:1">
      <c r="A146" s="4"/>
    </row>
    <row r="147" spans="1:1">
      <c r="A147" s="4"/>
    </row>
    <row r="148" spans="1:1">
      <c r="A148" s="4"/>
    </row>
    <row r="149" spans="1:1">
      <c r="A149" s="4"/>
    </row>
    <row r="150" spans="1:1">
      <c r="A150" s="4"/>
    </row>
    <row r="151" spans="1:1">
      <c r="A151" s="4"/>
    </row>
    <row r="152" spans="1:1">
      <c r="A152" s="4"/>
    </row>
    <row r="153" spans="1:1">
      <c r="A153" s="4"/>
    </row>
    <row r="154" spans="1:1">
      <c r="A154" s="4"/>
    </row>
    <row r="155" spans="1:1">
      <c r="A155" s="4"/>
    </row>
    <row r="156" spans="1:1">
      <c r="A156" s="4"/>
    </row>
    <row r="157" spans="1:1">
      <c r="A157" s="4"/>
    </row>
    <row r="158" spans="1:1">
      <c r="A158" s="4"/>
    </row>
    <row r="159" spans="1:1">
      <c r="A159" s="4"/>
    </row>
    <row r="160" spans="1:1">
      <c r="A160" s="4"/>
    </row>
    <row r="161" spans="1:1">
      <c r="A161" s="4"/>
    </row>
    <row r="162" spans="1:1">
      <c r="A162" s="4"/>
    </row>
    <row r="163" spans="1:1">
      <c r="A163" s="4"/>
    </row>
    <row r="164" spans="1:1">
      <c r="A164" s="4"/>
    </row>
    <row r="165" spans="1:1">
      <c r="A165" s="4"/>
    </row>
    <row r="166" spans="1:1">
      <c r="A166" s="4"/>
    </row>
    <row r="167" spans="1:1">
      <c r="A167" s="4"/>
    </row>
    <row r="168" spans="1:1">
      <c r="A168" s="4"/>
    </row>
    <row r="169" spans="1:1">
      <c r="A169" s="4"/>
    </row>
    <row r="170" spans="1:1">
      <c r="A170" s="4"/>
    </row>
    <row r="171" spans="1:1">
      <c r="A171" s="4"/>
    </row>
    <row r="172" spans="1:1">
      <c r="A172" s="4"/>
    </row>
    <row r="173" spans="1:1">
      <c r="A173" s="4"/>
    </row>
    <row r="174" spans="1:1">
      <c r="A174" s="4"/>
    </row>
    <row r="175" spans="1:1">
      <c r="A175" s="4"/>
    </row>
    <row r="176" spans="1:1">
      <c r="A176" s="4"/>
    </row>
    <row r="177" spans="1:1">
      <c r="A177" s="4"/>
    </row>
    <row r="178" spans="1:1">
      <c r="A178" s="4"/>
    </row>
    <row r="179" spans="1:1">
      <c r="A179" s="4"/>
    </row>
    <row r="180" spans="1:1">
      <c r="A180" s="4"/>
    </row>
    <row r="181" spans="1:1">
      <c r="A181" s="4"/>
    </row>
    <row r="182" spans="1:1">
      <c r="A182" s="4"/>
    </row>
    <row r="183" spans="1:1">
      <c r="A183" s="4"/>
    </row>
    <row r="184" spans="1:1">
      <c r="A184" s="4"/>
    </row>
    <row r="185" spans="1:1">
      <c r="A185" s="4"/>
    </row>
    <row r="186" spans="1:1">
      <c r="A186" s="4"/>
    </row>
    <row r="187" spans="1:1">
      <c r="A187" s="4"/>
    </row>
    <row r="188" spans="1:1">
      <c r="A188" s="4"/>
    </row>
    <row r="189" spans="1:1">
      <c r="A189" s="4"/>
    </row>
    <row r="190" spans="1:1">
      <c r="A190" s="4"/>
    </row>
    <row r="191" spans="1:1">
      <c r="A191" s="4"/>
    </row>
    <row r="192" spans="1:1">
      <c r="A192" s="4"/>
    </row>
    <row r="193" spans="1:1">
      <c r="A193" s="4"/>
    </row>
    <row r="194" spans="1:1">
      <c r="A194" s="4"/>
    </row>
    <row r="195" spans="1:1">
      <c r="A195" s="4"/>
    </row>
    <row r="196" spans="1:1">
      <c r="A196" s="4"/>
    </row>
    <row r="197" spans="1:1">
      <c r="A197" s="4"/>
    </row>
    <row r="198" spans="1:1">
      <c r="A198" s="4"/>
    </row>
    <row r="199" spans="1:1">
      <c r="A199" s="4"/>
    </row>
    <row r="200" spans="1:1">
      <c r="A200" s="4"/>
    </row>
    <row r="201" spans="1:1">
      <c r="A201" s="4"/>
    </row>
    <row r="202" spans="1:1">
      <c r="A202" s="4"/>
    </row>
    <row r="203" spans="1:1">
      <c r="A203" s="4"/>
    </row>
    <row r="204" spans="1:1">
      <c r="A204" s="4"/>
    </row>
    <row r="205" spans="1:1">
      <c r="A205" s="4"/>
    </row>
    <row r="206" spans="1:1">
      <c r="A206" s="4"/>
    </row>
    <row r="207" spans="1:1">
      <c r="A207" s="4"/>
    </row>
    <row r="208" spans="1:1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  <row r="214" spans="1:1">
      <c r="A214" s="4"/>
    </row>
    <row r="215" spans="1:1">
      <c r="A215" s="4"/>
    </row>
    <row r="216" spans="1:1">
      <c r="A216" s="4"/>
    </row>
    <row r="217" spans="1:1">
      <c r="A217" s="4"/>
    </row>
    <row r="218" spans="1:1">
      <c r="A218" s="4"/>
    </row>
    <row r="219" spans="1:1">
      <c r="A219" s="4"/>
    </row>
    <row r="220" spans="1:1">
      <c r="A220" s="4"/>
    </row>
    <row r="221" spans="1:1">
      <c r="A221" s="4"/>
    </row>
    <row r="222" spans="1:1">
      <c r="A222" s="4"/>
    </row>
    <row r="223" spans="1:1">
      <c r="A223" s="4"/>
    </row>
    <row r="224" spans="1:1">
      <c r="A224" s="4"/>
    </row>
    <row r="225" spans="1:1">
      <c r="A225" s="4"/>
    </row>
    <row r="226" spans="1:1">
      <c r="A226" s="4"/>
    </row>
    <row r="227" spans="1:1">
      <c r="A227" s="4"/>
    </row>
    <row r="228" spans="1:1">
      <c r="A228" s="4"/>
    </row>
    <row r="229" spans="1:1">
      <c r="A229" s="4"/>
    </row>
    <row r="230" spans="1:1">
      <c r="A230" s="4"/>
    </row>
    <row r="231" spans="1:1">
      <c r="A231" s="4"/>
    </row>
    <row r="232" spans="1:1">
      <c r="A232" s="4"/>
    </row>
    <row r="233" spans="1:1">
      <c r="A233" s="4"/>
    </row>
    <row r="234" spans="1:1">
      <c r="A234" s="4"/>
    </row>
    <row r="235" spans="1:1">
      <c r="A235" s="4"/>
    </row>
    <row r="236" spans="1:1">
      <c r="A236" s="4"/>
    </row>
    <row r="237" spans="1:1">
      <c r="A237" s="4"/>
    </row>
    <row r="238" spans="1:1">
      <c r="A238" s="4"/>
    </row>
    <row r="239" spans="1:1">
      <c r="A239" s="4"/>
    </row>
    <row r="240" spans="1:1">
      <c r="A240" s="4"/>
    </row>
    <row r="241" spans="1:1">
      <c r="A241" s="4"/>
    </row>
    <row r="242" spans="1:1">
      <c r="A242" s="4"/>
    </row>
    <row r="243" spans="1:1">
      <c r="A243" s="4"/>
    </row>
    <row r="244" spans="1:1">
      <c r="A244" s="4"/>
    </row>
    <row r="245" spans="1:1">
      <c r="A245" s="4"/>
    </row>
    <row r="246" spans="1:1">
      <c r="A246" s="4"/>
    </row>
    <row r="247" spans="1:1">
      <c r="A247" s="4"/>
    </row>
    <row r="248" spans="1:1">
      <c r="A248" s="4"/>
    </row>
    <row r="249" spans="1:1">
      <c r="A249" s="4"/>
    </row>
    <row r="250" spans="1:1">
      <c r="A250" s="4"/>
    </row>
    <row r="251" spans="1:1">
      <c r="A251" s="4"/>
    </row>
    <row r="252" spans="1:1">
      <c r="A252" s="4"/>
    </row>
    <row r="253" spans="1:1">
      <c r="A253" s="4"/>
    </row>
    <row r="254" spans="1:1">
      <c r="A254" s="4"/>
    </row>
    <row r="255" spans="1:1">
      <c r="A255" s="4"/>
    </row>
    <row r="256" spans="1:1">
      <c r="A256" s="4"/>
    </row>
    <row r="257" spans="1:1">
      <c r="A257" s="4"/>
    </row>
    <row r="258" spans="1:1">
      <c r="A258" s="4"/>
    </row>
    <row r="259" spans="1:1">
      <c r="A259" s="4"/>
    </row>
    <row r="260" spans="1:1">
      <c r="A260" s="4"/>
    </row>
    <row r="261" spans="1:1">
      <c r="A261" s="4"/>
    </row>
    <row r="262" spans="1:1">
      <c r="A262" s="4"/>
    </row>
    <row r="263" spans="1:1">
      <c r="A263" s="4"/>
    </row>
    <row r="264" spans="1:1">
      <c r="A264" s="4"/>
    </row>
    <row r="265" spans="1:1">
      <c r="A265" s="4"/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23226-6DC6-CC47-B9FF-6D81069FBA12}">
  <dimension ref="A1:G121"/>
  <sheetViews>
    <sheetView workbookViewId="0">
      <selection activeCell="G2" sqref="G2"/>
    </sheetView>
  </sheetViews>
  <sheetFormatPr baseColWidth="10" defaultRowHeight="13"/>
  <sheetData>
    <row r="1" spans="1:7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>
      <c r="A2" s="3">
        <v>41640</v>
      </c>
      <c r="B2" s="2">
        <v>37.349997999999999</v>
      </c>
      <c r="C2" s="2">
        <v>37.889999000000003</v>
      </c>
      <c r="D2" s="2">
        <v>34.630001</v>
      </c>
      <c r="E2" s="2">
        <v>37.840000000000003</v>
      </c>
      <c r="F2" s="2">
        <v>31.863426</v>
      </c>
      <c r="G2" s="2">
        <v>930226200</v>
      </c>
    </row>
    <row r="3" spans="1:7">
      <c r="A3" s="3">
        <v>41671</v>
      </c>
      <c r="B3" s="2">
        <v>37.740001999999997</v>
      </c>
      <c r="C3" s="2">
        <v>38.459999000000003</v>
      </c>
      <c r="D3" s="2">
        <v>35.689999</v>
      </c>
      <c r="E3" s="2">
        <v>38.310001</v>
      </c>
      <c r="F3" s="2">
        <v>32.259186</v>
      </c>
      <c r="G3" s="2">
        <v>705304500</v>
      </c>
    </row>
    <row r="4" spans="1:7">
      <c r="A4" s="3">
        <v>41699</v>
      </c>
      <c r="B4" s="2">
        <v>37.919998</v>
      </c>
      <c r="C4" s="2">
        <v>41.5</v>
      </c>
      <c r="D4" s="2">
        <v>37.490001999999997</v>
      </c>
      <c r="E4" s="2">
        <v>40.990001999999997</v>
      </c>
      <c r="F4" s="2">
        <v>34.774731000000003</v>
      </c>
      <c r="G4" s="2">
        <v>778425700</v>
      </c>
    </row>
    <row r="5" spans="1:7">
      <c r="A5" s="3">
        <v>41730</v>
      </c>
      <c r="B5" s="2">
        <v>41.150002000000001</v>
      </c>
      <c r="C5" s="2">
        <v>41.66</v>
      </c>
      <c r="D5" s="2">
        <v>38.900002000000001</v>
      </c>
      <c r="E5" s="2">
        <v>40.400002000000001</v>
      </c>
      <c r="F5" s="2">
        <v>34.274185000000003</v>
      </c>
      <c r="G5" s="2">
        <v>746112500</v>
      </c>
    </row>
    <row r="6" spans="1:7">
      <c r="A6" s="3">
        <v>41760</v>
      </c>
      <c r="B6" s="2">
        <v>40.240001999999997</v>
      </c>
      <c r="C6" s="2">
        <v>40.970001000000003</v>
      </c>
      <c r="D6" s="2">
        <v>38.509998000000003</v>
      </c>
      <c r="E6" s="2">
        <v>40.939999</v>
      </c>
      <c r="F6" s="2">
        <v>34.732300000000002</v>
      </c>
      <c r="G6" s="2">
        <v>574362900</v>
      </c>
    </row>
    <row r="7" spans="1:7">
      <c r="A7" s="3">
        <v>41791</v>
      </c>
      <c r="B7" s="2">
        <v>40.950001</v>
      </c>
      <c r="C7" s="2">
        <v>42.290000999999997</v>
      </c>
      <c r="D7" s="2">
        <v>39.860000999999997</v>
      </c>
      <c r="E7" s="2">
        <v>41.700001</v>
      </c>
      <c r="F7" s="2">
        <v>35.626632999999998</v>
      </c>
      <c r="G7" s="2">
        <v>555767300</v>
      </c>
    </row>
    <row r="8" spans="1:7">
      <c r="A8" s="3">
        <v>41821</v>
      </c>
      <c r="B8" s="2">
        <v>41.860000999999997</v>
      </c>
      <c r="C8" s="2">
        <v>45.709999000000003</v>
      </c>
      <c r="D8" s="2">
        <v>41.049999</v>
      </c>
      <c r="E8" s="2">
        <v>43.16</v>
      </c>
      <c r="F8" s="2">
        <v>36.873992999999999</v>
      </c>
      <c r="G8" s="2">
        <v>731616500</v>
      </c>
    </row>
    <row r="9" spans="1:7">
      <c r="A9" s="3">
        <v>41852</v>
      </c>
      <c r="B9" s="2">
        <v>43.209999000000003</v>
      </c>
      <c r="C9" s="2">
        <v>45.470001000000003</v>
      </c>
      <c r="D9" s="2">
        <v>42.209999000000003</v>
      </c>
      <c r="E9" s="2">
        <v>45.43</v>
      </c>
      <c r="F9" s="2">
        <v>38.813389000000001</v>
      </c>
      <c r="G9" s="2">
        <v>513919700</v>
      </c>
    </row>
    <row r="10" spans="1:7">
      <c r="A10" s="3">
        <v>41883</v>
      </c>
      <c r="B10" s="2">
        <v>45.43</v>
      </c>
      <c r="C10" s="2">
        <v>47.57</v>
      </c>
      <c r="D10" s="2">
        <v>44.529998999999997</v>
      </c>
      <c r="E10" s="2">
        <v>46.360000999999997</v>
      </c>
      <c r="F10" s="2">
        <v>39.855308999999998</v>
      </c>
      <c r="G10" s="2">
        <v>860827300</v>
      </c>
    </row>
    <row r="11" spans="1:7">
      <c r="A11" s="3">
        <v>41913</v>
      </c>
      <c r="B11" s="2">
        <v>46.27</v>
      </c>
      <c r="C11" s="2">
        <v>46.970001000000003</v>
      </c>
      <c r="D11" s="2">
        <v>42.099997999999999</v>
      </c>
      <c r="E11" s="2">
        <v>46.950001</v>
      </c>
      <c r="F11" s="2">
        <v>40.362533999999997</v>
      </c>
      <c r="G11" s="2">
        <v>853260900</v>
      </c>
    </row>
    <row r="12" spans="1:7">
      <c r="A12" s="3">
        <v>41944</v>
      </c>
      <c r="B12" s="2">
        <v>46.889999000000003</v>
      </c>
      <c r="C12" s="2">
        <v>50.049999</v>
      </c>
      <c r="D12" s="2">
        <v>46.73</v>
      </c>
      <c r="E12" s="2">
        <v>47.810001</v>
      </c>
      <c r="F12" s="2">
        <v>41.101875</v>
      </c>
      <c r="G12" s="2">
        <v>523005900</v>
      </c>
    </row>
    <row r="13" spans="1:7">
      <c r="A13" s="3">
        <v>41974</v>
      </c>
      <c r="B13" s="2">
        <v>47.880001</v>
      </c>
      <c r="C13" s="2">
        <v>49.060001</v>
      </c>
      <c r="D13" s="2">
        <v>44.900002000000001</v>
      </c>
      <c r="E13" s="2">
        <v>46.450001</v>
      </c>
      <c r="F13" s="2">
        <v>40.184562999999997</v>
      </c>
      <c r="G13" s="2">
        <v>626771200</v>
      </c>
    </row>
    <row r="14" spans="1:7">
      <c r="A14" s="3">
        <v>42005</v>
      </c>
      <c r="B14" s="2">
        <v>46.66</v>
      </c>
      <c r="C14" s="2">
        <v>47.91</v>
      </c>
      <c r="D14" s="2">
        <v>40.349997999999999</v>
      </c>
      <c r="E14" s="2">
        <v>40.400002000000001</v>
      </c>
      <c r="F14" s="2">
        <v>34.950626</v>
      </c>
      <c r="G14" s="2">
        <v>918966800</v>
      </c>
    </row>
    <row r="15" spans="1:7">
      <c r="A15" s="3">
        <v>42036</v>
      </c>
      <c r="B15" s="2">
        <v>40.590000000000003</v>
      </c>
      <c r="C15" s="2">
        <v>44.299999</v>
      </c>
      <c r="D15" s="2">
        <v>40.229999999999997</v>
      </c>
      <c r="E15" s="2">
        <v>43.849997999999999</v>
      </c>
      <c r="F15" s="2">
        <v>37.935253000000003</v>
      </c>
      <c r="G15" s="2">
        <v>656509700</v>
      </c>
    </row>
    <row r="16" spans="1:7">
      <c r="A16" s="3">
        <v>42064</v>
      </c>
      <c r="B16" s="2">
        <v>43.669998</v>
      </c>
      <c r="C16" s="2">
        <v>44.189999</v>
      </c>
      <c r="D16" s="2">
        <v>40.540000999999997</v>
      </c>
      <c r="E16" s="2">
        <v>40.659999999999997</v>
      </c>
      <c r="F16" s="2">
        <v>35.425873000000003</v>
      </c>
      <c r="G16" s="2">
        <v>824335300</v>
      </c>
    </row>
    <row r="17" spans="1:7">
      <c r="A17" s="3">
        <v>42095</v>
      </c>
      <c r="B17" s="2">
        <v>40.599997999999999</v>
      </c>
      <c r="C17" s="2">
        <v>49.540000999999997</v>
      </c>
      <c r="D17" s="2">
        <v>40.119999</v>
      </c>
      <c r="E17" s="2">
        <v>48.639999000000003</v>
      </c>
      <c r="F17" s="2">
        <v>42.378601000000003</v>
      </c>
      <c r="G17" s="2">
        <v>874535300</v>
      </c>
    </row>
    <row r="18" spans="1:7">
      <c r="A18" s="3">
        <v>42125</v>
      </c>
      <c r="B18" s="2">
        <v>48.580002</v>
      </c>
      <c r="C18" s="2">
        <v>48.91</v>
      </c>
      <c r="D18" s="2">
        <v>46.02</v>
      </c>
      <c r="E18" s="2">
        <v>46.860000999999997</v>
      </c>
      <c r="F18" s="2">
        <v>40.827744000000003</v>
      </c>
      <c r="G18" s="2">
        <v>633072800</v>
      </c>
    </row>
    <row r="19" spans="1:7">
      <c r="A19" s="3">
        <v>42156</v>
      </c>
      <c r="B19" s="2">
        <v>47.060001</v>
      </c>
      <c r="C19" s="2">
        <v>47.77</v>
      </c>
      <c r="D19" s="2">
        <v>43.939999</v>
      </c>
      <c r="E19" s="2">
        <v>44.150002000000001</v>
      </c>
      <c r="F19" s="2">
        <v>38.716591000000001</v>
      </c>
      <c r="G19" s="2">
        <v>664853400</v>
      </c>
    </row>
    <row r="20" spans="1:7">
      <c r="A20" s="3">
        <v>42186</v>
      </c>
      <c r="B20" s="2">
        <v>44.459999000000003</v>
      </c>
      <c r="C20" s="2">
        <v>47.400002000000001</v>
      </c>
      <c r="D20" s="2">
        <v>43.32</v>
      </c>
      <c r="E20" s="2">
        <v>46.700001</v>
      </c>
      <c r="F20" s="2">
        <v>40.952778000000002</v>
      </c>
      <c r="G20" s="2">
        <v>725458100</v>
      </c>
    </row>
    <row r="21" spans="1:7">
      <c r="A21" s="3">
        <v>42217</v>
      </c>
      <c r="B21" s="2">
        <v>46.98</v>
      </c>
      <c r="C21" s="2">
        <v>48.41</v>
      </c>
      <c r="D21" s="2">
        <v>39.720001000000003</v>
      </c>
      <c r="E21" s="2">
        <v>43.52</v>
      </c>
      <c r="F21" s="2">
        <v>38.164138999999999</v>
      </c>
      <c r="G21" s="2">
        <v>776480300</v>
      </c>
    </row>
    <row r="22" spans="1:7">
      <c r="A22" s="3">
        <v>42248</v>
      </c>
      <c r="B22" s="2">
        <v>42.169998</v>
      </c>
      <c r="C22" s="2">
        <v>45</v>
      </c>
      <c r="D22" s="2">
        <v>41.66</v>
      </c>
      <c r="E22" s="2">
        <v>44.259998000000003</v>
      </c>
      <c r="F22" s="2">
        <v>39.069012000000001</v>
      </c>
      <c r="G22" s="2">
        <v>673079900</v>
      </c>
    </row>
    <row r="23" spans="1:7">
      <c r="A23" s="3">
        <v>42278</v>
      </c>
      <c r="B23" s="2">
        <v>44.75</v>
      </c>
      <c r="C23" s="2">
        <v>54.369999</v>
      </c>
      <c r="D23" s="2">
        <v>43.75</v>
      </c>
      <c r="E23" s="2">
        <v>52.639999000000003</v>
      </c>
      <c r="F23" s="2">
        <v>46.466183000000001</v>
      </c>
      <c r="G23" s="2">
        <v>856716800</v>
      </c>
    </row>
    <row r="24" spans="1:7">
      <c r="A24" s="3">
        <v>42309</v>
      </c>
      <c r="B24" s="2">
        <v>52.849997999999999</v>
      </c>
      <c r="C24" s="2">
        <v>54.98</v>
      </c>
      <c r="D24" s="2">
        <v>52.529998999999997</v>
      </c>
      <c r="E24" s="2">
        <v>54.349997999999999</v>
      </c>
      <c r="F24" s="2">
        <v>47.975616000000002</v>
      </c>
      <c r="G24" s="2">
        <v>662626600</v>
      </c>
    </row>
    <row r="25" spans="1:7">
      <c r="A25" s="3">
        <v>42339</v>
      </c>
      <c r="B25" s="2">
        <v>54.41</v>
      </c>
      <c r="C25" s="2">
        <v>56.849997999999999</v>
      </c>
      <c r="D25" s="2">
        <v>53.68</v>
      </c>
      <c r="E25" s="2">
        <v>55.48</v>
      </c>
      <c r="F25" s="2">
        <v>49.303165</v>
      </c>
      <c r="G25" s="2">
        <v>792820900</v>
      </c>
    </row>
    <row r="26" spans="1:7">
      <c r="A26" s="3">
        <v>42370</v>
      </c>
      <c r="B26" s="2">
        <v>54.32</v>
      </c>
      <c r="C26" s="2">
        <v>55.389999000000003</v>
      </c>
      <c r="D26" s="2">
        <v>49.099997999999999</v>
      </c>
      <c r="E26" s="2">
        <v>55.09</v>
      </c>
      <c r="F26" s="2">
        <v>48.956595999999998</v>
      </c>
      <c r="G26" s="2">
        <v>927914700</v>
      </c>
    </row>
    <row r="27" spans="1:7">
      <c r="A27" s="3">
        <v>42401</v>
      </c>
      <c r="B27" s="2">
        <v>54.880001</v>
      </c>
      <c r="C27" s="2">
        <v>55.09</v>
      </c>
      <c r="D27" s="2">
        <v>48.189999</v>
      </c>
      <c r="E27" s="2">
        <v>50.880001</v>
      </c>
      <c r="F27" s="2">
        <v>45.215321000000003</v>
      </c>
      <c r="G27" s="2">
        <v>814770900</v>
      </c>
    </row>
    <row r="28" spans="1:7">
      <c r="A28" s="3">
        <v>42430</v>
      </c>
      <c r="B28" s="2">
        <v>50.970001000000003</v>
      </c>
      <c r="C28" s="2">
        <v>55.639999000000003</v>
      </c>
      <c r="D28" s="2">
        <v>50.580002</v>
      </c>
      <c r="E28" s="2">
        <v>55.23</v>
      </c>
      <c r="F28" s="2">
        <v>49.433411</v>
      </c>
      <c r="G28" s="2">
        <v>641110900</v>
      </c>
    </row>
    <row r="29" spans="1:7">
      <c r="A29" s="3">
        <v>42461</v>
      </c>
      <c r="B29" s="2">
        <v>55.049999</v>
      </c>
      <c r="C29" s="2">
        <v>56.77</v>
      </c>
      <c r="D29" s="2">
        <v>49.349997999999999</v>
      </c>
      <c r="E29" s="2">
        <v>49.869999</v>
      </c>
      <c r="F29" s="2">
        <v>44.635967000000001</v>
      </c>
      <c r="G29" s="2">
        <v>699025700</v>
      </c>
    </row>
    <row r="30" spans="1:7">
      <c r="A30" s="3">
        <v>42491</v>
      </c>
      <c r="B30" s="2">
        <v>50</v>
      </c>
      <c r="C30" s="2">
        <v>53</v>
      </c>
      <c r="D30" s="2">
        <v>49.459999000000003</v>
      </c>
      <c r="E30" s="2">
        <v>53</v>
      </c>
      <c r="F30" s="2">
        <v>47.437449999999998</v>
      </c>
      <c r="G30" s="2">
        <v>530704800</v>
      </c>
    </row>
    <row r="31" spans="1:7">
      <c r="A31" s="3">
        <v>42522</v>
      </c>
      <c r="B31" s="2">
        <v>52.439999</v>
      </c>
      <c r="C31" s="2">
        <v>52.950001</v>
      </c>
      <c r="D31" s="2">
        <v>48.040000999999997</v>
      </c>
      <c r="E31" s="2">
        <v>51.169998</v>
      </c>
      <c r="F31" s="2">
        <v>46.119858000000001</v>
      </c>
      <c r="G31" s="2">
        <v>823627000</v>
      </c>
    </row>
    <row r="32" spans="1:7">
      <c r="A32" s="3">
        <v>42552</v>
      </c>
      <c r="B32" s="2">
        <v>51.130001</v>
      </c>
      <c r="C32" s="2">
        <v>57.290000999999997</v>
      </c>
      <c r="D32" s="2">
        <v>50.389999000000003</v>
      </c>
      <c r="E32" s="2">
        <v>56.68</v>
      </c>
      <c r="F32" s="2">
        <v>51.086060000000003</v>
      </c>
      <c r="G32" s="2">
        <v>647587800</v>
      </c>
    </row>
    <row r="33" spans="1:7">
      <c r="A33" s="3">
        <v>42583</v>
      </c>
      <c r="B33" s="2">
        <v>56.599997999999999</v>
      </c>
      <c r="C33" s="2">
        <v>58.700001</v>
      </c>
      <c r="D33" s="2">
        <v>56.139999000000003</v>
      </c>
      <c r="E33" s="2">
        <v>57.459999000000003</v>
      </c>
      <c r="F33" s="2">
        <v>51.789082000000001</v>
      </c>
      <c r="G33" s="2">
        <v>467078900</v>
      </c>
    </row>
    <row r="34" spans="1:7">
      <c r="A34" s="3">
        <v>42614</v>
      </c>
      <c r="B34" s="2">
        <v>57.009998000000003</v>
      </c>
      <c r="C34" s="2">
        <v>58.189999</v>
      </c>
      <c r="D34" s="2">
        <v>55.610000999999997</v>
      </c>
      <c r="E34" s="2">
        <v>57.599997999999999</v>
      </c>
      <c r="F34" s="2">
        <v>52.238833999999997</v>
      </c>
      <c r="G34" s="2">
        <v>526427800</v>
      </c>
    </row>
    <row r="35" spans="1:7">
      <c r="A35" s="3">
        <v>42644</v>
      </c>
      <c r="B35" s="2">
        <v>57.41</v>
      </c>
      <c r="C35" s="2">
        <v>61.369999</v>
      </c>
      <c r="D35" s="2">
        <v>56.32</v>
      </c>
      <c r="E35" s="2">
        <v>59.919998</v>
      </c>
      <c r="F35" s="2">
        <v>54.342888000000002</v>
      </c>
      <c r="G35" s="2">
        <v>614841800</v>
      </c>
    </row>
    <row r="36" spans="1:7">
      <c r="A36" s="3">
        <v>42675</v>
      </c>
      <c r="B36" s="2">
        <v>59.970001000000003</v>
      </c>
      <c r="C36" s="2">
        <v>61.41</v>
      </c>
      <c r="D36" s="2">
        <v>57.279998999999997</v>
      </c>
      <c r="E36" s="2">
        <v>60.259998000000003</v>
      </c>
      <c r="F36" s="2">
        <v>54.651249</v>
      </c>
      <c r="G36" s="2">
        <v>613056800</v>
      </c>
    </row>
    <row r="37" spans="1:7">
      <c r="A37" s="3">
        <v>42705</v>
      </c>
      <c r="B37" s="2">
        <v>60.110000999999997</v>
      </c>
      <c r="C37" s="2">
        <v>64.099997999999999</v>
      </c>
      <c r="D37" s="2">
        <v>58.799999</v>
      </c>
      <c r="E37" s="2">
        <v>62.139999000000003</v>
      </c>
      <c r="F37" s="2">
        <v>56.736984</v>
      </c>
      <c r="G37" s="2">
        <v>513579700</v>
      </c>
    </row>
    <row r="38" spans="1:7">
      <c r="A38" s="3">
        <v>42736</v>
      </c>
      <c r="B38" s="2">
        <v>62.790000999999997</v>
      </c>
      <c r="C38" s="2">
        <v>65.910004000000001</v>
      </c>
      <c r="D38" s="2">
        <v>61.950001</v>
      </c>
      <c r="E38" s="2">
        <v>64.650002000000001</v>
      </c>
      <c r="F38" s="2">
        <v>59.028748</v>
      </c>
      <c r="G38" s="2">
        <v>493453500</v>
      </c>
    </row>
    <row r="39" spans="1:7">
      <c r="A39" s="3">
        <v>42767</v>
      </c>
      <c r="B39" s="2">
        <v>64.360000999999997</v>
      </c>
      <c r="C39" s="2">
        <v>65.239998</v>
      </c>
      <c r="D39" s="2">
        <v>62.75</v>
      </c>
      <c r="E39" s="2">
        <v>63.98</v>
      </c>
      <c r="F39" s="2">
        <v>58.416995999999997</v>
      </c>
      <c r="G39" s="2">
        <v>440744000</v>
      </c>
    </row>
    <row r="40" spans="1:7">
      <c r="A40" s="3">
        <v>42795</v>
      </c>
      <c r="B40" s="2">
        <v>64.129997000000003</v>
      </c>
      <c r="C40" s="2">
        <v>66.190002000000007</v>
      </c>
      <c r="D40" s="2">
        <v>63.619999</v>
      </c>
      <c r="E40" s="2">
        <v>65.860000999999997</v>
      </c>
      <c r="F40" s="2">
        <v>60.498100000000001</v>
      </c>
      <c r="G40" s="2">
        <v>489169700</v>
      </c>
    </row>
    <row r="41" spans="1:7">
      <c r="A41" s="3">
        <v>42826</v>
      </c>
      <c r="B41" s="2">
        <v>65.809997999999993</v>
      </c>
      <c r="C41" s="2">
        <v>69.139999000000003</v>
      </c>
      <c r="D41" s="2">
        <v>64.849997999999999</v>
      </c>
      <c r="E41" s="2">
        <v>68.459998999999996</v>
      </c>
      <c r="F41" s="2">
        <v>62.886398</v>
      </c>
      <c r="G41" s="2">
        <v>433191200</v>
      </c>
    </row>
    <row r="42" spans="1:7">
      <c r="A42" s="3">
        <v>42856</v>
      </c>
      <c r="B42" s="2">
        <v>68.680000000000007</v>
      </c>
      <c r="C42" s="2">
        <v>70.739998</v>
      </c>
      <c r="D42" s="2">
        <v>67.139999000000003</v>
      </c>
      <c r="E42" s="2">
        <v>69.839995999999999</v>
      </c>
      <c r="F42" s="2">
        <v>64.154053000000005</v>
      </c>
      <c r="G42" s="2">
        <v>517218500</v>
      </c>
    </row>
    <row r="43" spans="1:7">
      <c r="A43" s="3">
        <v>42887</v>
      </c>
      <c r="B43" s="2">
        <v>70.239998</v>
      </c>
      <c r="C43" s="2">
        <v>72.889999000000003</v>
      </c>
      <c r="D43" s="2">
        <v>68.089995999999999</v>
      </c>
      <c r="E43" s="2">
        <v>68.930000000000007</v>
      </c>
      <c r="F43" s="2">
        <v>63.681091000000002</v>
      </c>
      <c r="G43" s="2">
        <v>629716800</v>
      </c>
    </row>
    <row r="44" spans="1:7">
      <c r="A44" s="3">
        <v>42917</v>
      </c>
      <c r="B44" s="2">
        <v>69.330001999999993</v>
      </c>
      <c r="C44" s="2">
        <v>74.419998000000007</v>
      </c>
      <c r="D44" s="2">
        <v>68.019997000000004</v>
      </c>
      <c r="E44" s="2">
        <v>72.699996999999996</v>
      </c>
      <c r="F44" s="2">
        <v>67.16404</v>
      </c>
      <c r="G44" s="2">
        <v>469851200</v>
      </c>
    </row>
    <row r="45" spans="1:7">
      <c r="A45" s="3">
        <v>42948</v>
      </c>
      <c r="B45" s="2">
        <v>73.099997999999999</v>
      </c>
      <c r="C45" s="2">
        <v>74.959998999999996</v>
      </c>
      <c r="D45" s="2">
        <v>71.279999000000004</v>
      </c>
      <c r="E45" s="2">
        <v>74.769997000000004</v>
      </c>
      <c r="F45" s="2">
        <v>69.076369999999997</v>
      </c>
      <c r="G45" s="2">
        <v>444070500</v>
      </c>
    </row>
    <row r="46" spans="1:7">
      <c r="A46" s="3">
        <v>42979</v>
      </c>
      <c r="B46" s="2">
        <v>74.709998999999996</v>
      </c>
      <c r="C46" s="2">
        <v>75.970000999999996</v>
      </c>
      <c r="D46" s="2">
        <v>72.919998000000007</v>
      </c>
      <c r="E46" s="2">
        <v>74.489998</v>
      </c>
      <c r="F46" s="2">
        <v>69.184380000000004</v>
      </c>
      <c r="G46" s="2">
        <v>375983900</v>
      </c>
    </row>
    <row r="47" spans="1:7">
      <c r="A47" s="3">
        <v>43009</v>
      </c>
      <c r="B47" s="2">
        <v>74.709998999999996</v>
      </c>
      <c r="C47" s="2">
        <v>86.199996999999996</v>
      </c>
      <c r="D47" s="2">
        <v>73.709998999999996</v>
      </c>
      <c r="E47" s="2">
        <v>83.18</v>
      </c>
      <c r="F47" s="2">
        <v>77.255393999999995</v>
      </c>
      <c r="G47" s="2">
        <v>449950000</v>
      </c>
    </row>
    <row r="48" spans="1:7">
      <c r="A48" s="3">
        <v>43040</v>
      </c>
      <c r="B48" s="2">
        <v>83.68</v>
      </c>
      <c r="C48" s="2">
        <v>85.059997999999993</v>
      </c>
      <c r="D48" s="2">
        <v>82.239998</v>
      </c>
      <c r="E48" s="2">
        <v>84.169998000000007</v>
      </c>
      <c r="F48" s="2">
        <v>78.174888999999993</v>
      </c>
      <c r="G48" s="2">
        <v>421926000</v>
      </c>
    </row>
    <row r="49" spans="1:7">
      <c r="A49" s="3">
        <v>43070</v>
      </c>
      <c r="B49" s="2">
        <v>83.599997999999999</v>
      </c>
      <c r="C49" s="2">
        <v>87.5</v>
      </c>
      <c r="D49" s="2">
        <v>80.699996999999996</v>
      </c>
      <c r="E49" s="2">
        <v>85.540001000000004</v>
      </c>
      <c r="F49" s="2">
        <v>79.846298000000004</v>
      </c>
      <c r="G49" s="2">
        <v>466203300</v>
      </c>
    </row>
    <row r="50" spans="1:7">
      <c r="A50" s="3">
        <v>43101</v>
      </c>
      <c r="B50" s="2">
        <v>86.129997000000003</v>
      </c>
      <c r="C50" s="2">
        <v>95.449996999999996</v>
      </c>
      <c r="D50" s="2">
        <v>85.5</v>
      </c>
      <c r="E50" s="2">
        <v>95.010002</v>
      </c>
      <c r="F50" s="2">
        <v>88.685958999999997</v>
      </c>
      <c r="G50" s="2">
        <v>574258400</v>
      </c>
    </row>
    <row r="51" spans="1:7">
      <c r="A51" s="3">
        <v>43132</v>
      </c>
      <c r="B51" s="2">
        <v>94.790001000000004</v>
      </c>
      <c r="C51" s="2">
        <v>96.07</v>
      </c>
      <c r="D51" s="2">
        <v>83.830001999999993</v>
      </c>
      <c r="E51" s="2">
        <v>93.769997000000004</v>
      </c>
      <c r="F51" s="2">
        <v>87.528487999999996</v>
      </c>
      <c r="G51" s="2">
        <v>725663300</v>
      </c>
    </row>
    <row r="52" spans="1:7">
      <c r="A52" s="3">
        <v>43160</v>
      </c>
      <c r="B52" s="2">
        <v>93.989998</v>
      </c>
      <c r="C52" s="2">
        <v>97.239998</v>
      </c>
      <c r="D52" s="2">
        <v>87.080001999999993</v>
      </c>
      <c r="E52" s="2">
        <v>91.269997000000004</v>
      </c>
      <c r="F52" s="2">
        <v>85.595107999999996</v>
      </c>
      <c r="G52" s="2">
        <v>750754800</v>
      </c>
    </row>
    <row r="53" spans="1:7">
      <c r="A53" s="3">
        <v>43191</v>
      </c>
      <c r="B53" s="2">
        <v>90.470000999999996</v>
      </c>
      <c r="C53" s="2">
        <v>97.900002000000001</v>
      </c>
      <c r="D53" s="2">
        <v>87.510002</v>
      </c>
      <c r="E53" s="2">
        <v>93.519997000000004</v>
      </c>
      <c r="F53" s="2">
        <v>87.705192999999994</v>
      </c>
      <c r="G53" s="2">
        <v>668130700</v>
      </c>
    </row>
    <row r="54" spans="1:7">
      <c r="A54" s="3">
        <v>43221</v>
      </c>
      <c r="B54" s="2">
        <v>93.209998999999996</v>
      </c>
      <c r="C54" s="2">
        <v>99.989998</v>
      </c>
      <c r="D54" s="2">
        <v>92.449996999999996</v>
      </c>
      <c r="E54" s="2">
        <v>98.839995999999999</v>
      </c>
      <c r="F54" s="2">
        <v>92.694412</v>
      </c>
      <c r="G54" s="2">
        <v>509417900</v>
      </c>
    </row>
    <row r="55" spans="1:7">
      <c r="A55" s="3">
        <v>43252</v>
      </c>
      <c r="B55" s="2">
        <v>99.279999000000004</v>
      </c>
      <c r="C55" s="2">
        <v>102.69000200000001</v>
      </c>
      <c r="D55" s="2">
        <v>97.260002</v>
      </c>
      <c r="E55" s="2">
        <v>98.610000999999997</v>
      </c>
      <c r="F55" s="2">
        <v>92.879554999999996</v>
      </c>
      <c r="G55" s="2">
        <v>602585200</v>
      </c>
    </row>
    <row r="56" spans="1:7">
      <c r="A56" s="3">
        <v>43282</v>
      </c>
      <c r="B56" s="2">
        <v>98.099997999999999</v>
      </c>
      <c r="C56" s="2">
        <v>111.150002</v>
      </c>
      <c r="D56" s="2">
        <v>98</v>
      </c>
      <c r="E56" s="2">
        <v>106.08000199999999</v>
      </c>
      <c r="F56" s="2">
        <v>99.915481999999997</v>
      </c>
      <c r="G56" s="2">
        <v>569352300</v>
      </c>
    </row>
    <row r="57" spans="1:7">
      <c r="A57" s="3">
        <v>43313</v>
      </c>
      <c r="B57" s="2">
        <v>106.029999</v>
      </c>
      <c r="C57" s="2">
        <v>112.779999</v>
      </c>
      <c r="D57" s="2">
        <v>104.839996</v>
      </c>
      <c r="E57" s="2">
        <v>112.33000199999999</v>
      </c>
      <c r="F57" s="2">
        <v>105.802246</v>
      </c>
      <c r="G57" s="2">
        <v>456628100</v>
      </c>
    </row>
    <row r="58" spans="1:7">
      <c r="A58" s="3">
        <v>43344</v>
      </c>
      <c r="B58" s="2">
        <v>110.849998</v>
      </c>
      <c r="C58" s="2">
        <v>115.290001</v>
      </c>
      <c r="D58" s="2">
        <v>107.230003</v>
      </c>
      <c r="E58" s="2">
        <v>114.370003</v>
      </c>
      <c r="F58" s="2">
        <v>108.13827499999999</v>
      </c>
      <c r="G58" s="2">
        <v>480255500</v>
      </c>
    </row>
    <row r="59" spans="1:7">
      <c r="A59" s="3">
        <v>43374</v>
      </c>
      <c r="B59" s="2">
        <v>114.75</v>
      </c>
      <c r="C59" s="2">
        <v>116.18</v>
      </c>
      <c r="D59" s="2">
        <v>100.110001</v>
      </c>
      <c r="E59" s="2">
        <v>106.80999799999999</v>
      </c>
      <c r="F59" s="2">
        <v>100.990189</v>
      </c>
      <c r="G59" s="2">
        <v>927548000</v>
      </c>
    </row>
    <row r="60" spans="1:7">
      <c r="A60" s="3">
        <v>43405</v>
      </c>
      <c r="B60" s="2">
        <v>107.050003</v>
      </c>
      <c r="C60" s="2">
        <v>112.239998</v>
      </c>
      <c r="D60" s="2">
        <v>99.349997999999999</v>
      </c>
      <c r="E60" s="2">
        <v>110.889999</v>
      </c>
      <c r="F60" s="2">
        <v>104.84788500000001</v>
      </c>
      <c r="G60" s="2">
        <v>720228600</v>
      </c>
    </row>
    <row r="61" spans="1:7">
      <c r="A61" s="3">
        <v>43435</v>
      </c>
      <c r="B61" s="2">
        <v>113</v>
      </c>
      <c r="C61" s="2">
        <v>113.41999800000001</v>
      </c>
      <c r="D61" s="2">
        <v>93.959998999999996</v>
      </c>
      <c r="E61" s="2">
        <v>101.57</v>
      </c>
      <c r="F61" s="2">
        <v>96.450599999999994</v>
      </c>
      <c r="G61" s="2">
        <v>944314600</v>
      </c>
    </row>
    <row r="62" spans="1:7">
      <c r="A62" s="3">
        <v>43466</v>
      </c>
      <c r="B62" s="2">
        <v>99.550003000000004</v>
      </c>
      <c r="C62" s="2">
        <v>107.900002</v>
      </c>
      <c r="D62" s="2">
        <v>97.199996999999996</v>
      </c>
      <c r="E62" s="2">
        <v>104.43</v>
      </c>
      <c r="F62" s="2">
        <v>99.166427999999996</v>
      </c>
      <c r="G62" s="2">
        <v>714212800</v>
      </c>
    </row>
    <row r="63" spans="1:7">
      <c r="A63" s="3">
        <v>43497</v>
      </c>
      <c r="B63" s="2">
        <v>103.779999</v>
      </c>
      <c r="C63" s="2">
        <v>113.239998</v>
      </c>
      <c r="D63" s="2">
        <v>102.349998</v>
      </c>
      <c r="E63" s="2">
        <v>112.029999</v>
      </c>
      <c r="F63" s="2">
        <v>106.383369</v>
      </c>
      <c r="G63" s="2">
        <v>469095900</v>
      </c>
    </row>
    <row r="64" spans="1:7">
      <c r="A64" s="3">
        <v>43525</v>
      </c>
      <c r="B64" s="2">
        <v>112.889999</v>
      </c>
      <c r="C64" s="2">
        <v>120.82</v>
      </c>
      <c r="D64" s="2">
        <v>108.800003</v>
      </c>
      <c r="E64" s="2">
        <v>117.94000200000001</v>
      </c>
      <c r="F64" s="2">
        <v>112.47378500000001</v>
      </c>
      <c r="G64" s="2">
        <v>589095800</v>
      </c>
    </row>
    <row r="65" spans="1:7">
      <c r="A65" s="3">
        <v>43556</v>
      </c>
      <c r="B65" s="2">
        <v>118.949997</v>
      </c>
      <c r="C65" s="2">
        <v>131.36999499999999</v>
      </c>
      <c r="D65" s="2">
        <v>118.099998</v>
      </c>
      <c r="E65" s="2">
        <v>130.60000600000001</v>
      </c>
      <c r="F65" s="2">
        <v>124.547028</v>
      </c>
      <c r="G65" s="2">
        <v>433157700</v>
      </c>
    </row>
    <row r="66" spans="1:7">
      <c r="A66" s="3">
        <v>43586</v>
      </c>
      <c r="B66" s="2">
        <v>130.529999</v>
      </c>
      <c r="C66" s="2">
        <v>130.64999399999999</v>
      </c>
      <c r="D66" s="2">
        <v>123.040001</v>
      </c>
      <c r="E66" s="2">
        <v>123.68</v>
      </c>
      <c r="F66" s="2">
        <v>117.947762</v>
      </c>
      <c r="G66" s="2">
        <v>547218800</v>
      </c>
    </row>
    <row r="67" spans="1:7">
      <c r="A67" s="3">
        <v>43617</v>
      </c>
      <c r="B67" s="2">
        <v>123.849998</v>
      </c>
      <c r="C67" s="2">
        <v>138.39999399999999</v>
      </c>
      <c r="D67" s="2">
        <v>119.010002</v>
      </c>
      <c r="E67" s="2">
        <v>133.96000699999999</v>
      </c>
      <c r="F67" s="2">
        <v>128.22421299999999</v>
      </c>
      <c r="G67" s="2">
        <v>508324300</v>
      </c>
    </row>
    <row r="68" spans="1:7">
      <c r="A68" s="3">
        <v>43647</v>
      </c>
      <c r="B68" s="2">
        <v>136.63000500000001</v>
      </c>
      <c r="C68" s="2">
        <v>141.679993</v>
      </c>
      <c r="D68" s="2">
        <v>134.66999799999999</v>
      </c>
      <c r="E68" s="2">
        <v>136.270004</v>
      </c>
      <c r="F68" s="2">
        <v>130.43528699999999</v>
      </c>
      <c r="G68" s="2">
        <v>484079900</v>
      </c>
    </row>
    <row r="69" spans="1:7">
      <c r="A69" s="3">
        <v>43678</v>
      </c>
      <c r="B69" s="2">
        <v>137</v>
      </c>
      <c r="C69" s="2">
        <v>140.94000199999999</v>
      </c>
      <c r="D69" s="2">
        <v>130.779999</v>
      </c>
      <c r="E69" s="2">
        <v>137.86000100000001</v>
      </c>
      <c r="F69" s="2">
        <v>131.95721399999999</v>
      </c>
      <c r="G69" s="2">
        <v>584482000</v>
      </c>
    </row>
    <row r="70" spans="1:7">
      <c r="A70" s="3">
        <v>43709</v>
      </c>
      <c r="B70" s="2">
        <v>136.61000100000001</v>
      </c>
      <c r="C70" s="2">
        <v>142.36999499999999</v>
      </c>
      <c r="D70" s="2">
        <v>134.509995</v>
      </c>
      <c r="E70" s="2">
        <v>139.029999</v>
      </c>
      <c r="F70" s="2">
        <v>133.520264</v>
      </c>
      <c r="G70" s="2">
        <v>472544800</v>
      </c>
    </row>
    <row r="71" spans="1:7">
      <c r="A71" s="3">
        <v>43739</v>
      </c>
      <c r="B71" s="2">
        <v>139.66000399999999</v>
      </c>
      <c r="C71" s="2">
        <v>145.66999799999999</v>
      </c>
      <c r="D71" s="2">
        <v>133.220001</v>
      </c>
      <c r="E71" s="2">
        <v>143.36999499999999</v>
      </c>
      <c r="F71" s="2">
        <v>137.68826300000001</v>
      </c>
      <c r="G71" s="2">
        <v>549523400</v>
      </c>
    </row>
    <row r="72" spans="1:7">
      <c r="A72" s="3">
        <v>43770</v>
      </c>
      <c r="B72" s="2">
        <v>144.259995</v>
      </c>
      <c r="C72" s="2">
        <v>152.5</v>
      </c>
      <c r="D72" s="2">
        <v>142.970001</v>
      </c>
      <c r="E72" s="2">
        <v>151.38000500000001</v>
      </c>
      <c r="F72" s="2">
        <v>145.380844</v>
      </c>
      <c r="G72" s="2">
        <v>392371800</v>
      </c>
    </row>
    <row r="73" spans="1:7">
      <c r="A73" s="3">
        <v>43800</v>
      </c>
      <c r="B73" s="2">
        <v>151.80999800000001</v>
      </c>
      <c r="C73" s="2">
        <v>159.550003</v>
      </c>
      <c r="D73" s="2">
        <v>146.64999399999999</v>
      </c>
      <c r="E73" s="2">
        <v>157.699997</v>
      </c>
      <c r="F73" s="2">
        <v>151.965698</v>
      </c>
      <c r="G73" s="2">
        <v>450303300</v>
      </c>
    </row>
    <row r="74" spans="1:7">
      <c r="A74" s="3">
        <v>43831</v>
      </c>
      <c r="B74" s="2">
        <v>158.779999</v>
      </c>
      <c r="C74" s="2">
        <v>174.050003</v>
      </c>
      <c r="D74" s="2">
        <v>156.509995</v>
      </c>
      <c r="E74" s="2">
        <v>170.229996</v>
      </c>
      <c r="F74" s="2">
        <v>164.0401</v>
      </c>
      <c r="G74" s="2">
        <v>558530000</v>
      </c>
    </row>
    <row r="75" spans="1:7">
      <c r="A75" s="3">
        <v>43862</v>
      </c>
      <c r="B75" s="2">
        <v>170.429993</v>
      </c>
      <c r="C75" s="2">
        <v>190.699997</v>
      </c>
      <c r="D75" s="2">
        <v>152</v>
      </c>
      <c r="E75" s="2">
        <v>162.009995</v>
      </c>
      <c r="F75" s="2">
        <v>156.11897300000001</v>
      </c>
      <c r="G75" s="2">
        <v>887522300</v>
      </c>
    </row>
    <row r="76" spans="1:7">
      <c r="A76" s="3">
        <v>43891</v>
      </c>
      <c r="B76" s="2">
        <v>165.30999800000001</v>
      </c>
      <c r="C76" s="2">
        <v>175</v>
      </c>
      <c r="D76" s="2">
        <v>132.520004</v>
      </c>
      <c r="E76" s="2">
        <v>157.71000699999999</v>
      </c>
      <c r="F76" s="2">
        <v>152.390457</v>
      </c>
      <c r="G76" s="2">
        <v>1612695500</v>
      </c>
    </row>
    <row r="77" spans="1:7">
      <c r="A77" s="3">
        <v>43922</v>
      </c>
      <c r="B77" s="2">
        <v>153</v>
      </c>
      <c r="C77" s="2">
        <v>180.39999399999999</v>
      </c>
      <c r="D77" s="2">
        <v>150.36000100000001</v>
      </c>
      <c r="E77" s="2">
        <v>179.21000699999999</v>
      </c>
      <c r="F77" s="2">
        <v>173.16525300000001</v>
      </c>
      <c r="G77" s="2">
        <v>984705000</v>
      </c>
    </row>
    <row r="78" spans="1:7">
      <c r="A78" s="3">
        <v>43952</v>
      </c>
      <c r="B78" s="2">
        <v>175.800003</v>
      </c>
      <c r="C78" s="2">
        <v>187.509995</v>
      </c>
      <c r="D78" s="2">
        <v>173.800003</v>
      </c>
      <c r="E78" s="2">
        <v>183.25</v>
      </c>
      <c r="F78" s="2">
        <v>177.06895399999999</v>
      </c>
      <c r="G78" s="2">
        <v>688845000</v>
      </c>
    </row>
    <row r="79" spans="1:7">
      <c r="A79" s="3">
        <v>43983</v>
      </c>
      <c r="B79" s="2">
        <v>182.53999300000001</v>
      </c>
      <c r="C79" s="2">
        <v>204.39999399999999</v>
      </c>
      <c r="D79" s="2">
        <v>181.35000600000001</v>
      </c>
      <c r="E79" s="2">
        <v>203.509995</v>
      </c>
      <c r="F79" s="2">
        <v>197.19328300000001</v>
      </c>
      <c r="G79" s="2">
        <v>764965400</v>
      </c>
    </row>
    <row r="80" spans="1:7">
      <c r="A80" s="3">
        <v>44013</v>
      </c>
      <c r="B80" s="2">
        <v>203.13999899999999</v>
      </c>
      <c r="C80" s="2">
        <v>216.38000500000001</v>
      </c>
      <c r="D80" s="2">
        <v>197.509995</v>
      </c>
      <c r="E80" s="2">
        <v>205.009995</v>
      </c>
      <c r="F80" s="2">
        <v>198.64672899999999</v>
      </c>
      <c r="G80" s="2">
        <v>770190800</v>
      </c>
    </row>
    <row r="81" spans="1:7">
      <c r="A81" s="3">
        <v>44044</v>
      </c>
      <c r="B81" s="2">
        <v>211.520004</v>
      </c>
      <c r="C81" s="2">
        <v>231.14999399999999</v>
      </c>
      <c r="D81" s="2">
        <v>203.13999899999999</v>
      </c>
      <c r="E81" s="2">
        <v>225.529999</v>
      </c>
      <c r="F81" s="2">
        <v>218.52981600000001</v>
      </c>
      <c r="G81" s="2">
        <v>692423900</v>
      </c>
    </row>
    <row r="82" spans="1:7">
      <c r="A82" s="3">
        <v>44075</v>
      </c>
      <c r="B82" s="2">
        <v>225.509995</v>
      </c>
      <c r="C82" s="2">
        <v>232.86000100000001</v>
      </c>
      <c r="D82" s="2">
        <v>196.25</v>
      </c>
      <c r="E82" s="2">
        <v>210.33000200000001</v>
      </c>
      <c r="F82" s="2">
        <v>204.29425000000001</v>
      </c>
      <c r="G82" s="2">
        <v>768176300</v>
      </c>
    </row>
    <row r="83" spans="1:7">
      <c r="A83" s="3">
        <v>44105</v>
      </c>
      <c r="B83" s="2">
        <v>213.490005</v>
      </c>
      <c r="C83" s="2">
        <v>225.21000699999999</v>
      </c>
      <c r="D83" s="2">
        <v>199.61999499999999</v>
      </c>
      <c r="E83" s="2">
        <v>202.470001</v>
      </c>
      <c r="F83" s="2">
        <v>196.65980500000001</v>
      </c>
      <c r="G83" s="2">
        <v>631618000</v>
      </c>
    </row>
    <row r="84" spans="1:7">
      <c r="A84" s="3">
        <v>44136</v>
      </c>
      <c r="B84" s="2">
        <v>204.28999300000001</v>
      </c>
      <c r="C84" s="2">
        <v>228.11999499999999</v>
      </c>
      <c r="D84" s="2">
        <v>200.11999499999999</v>
      </c>
      <c r="E84" s="2">
        <v>214.070007</v>
      </c>
      <c r="F84" s="2">
        <v>207.92690999999999</v>
      </c>
      <c r="G84" s="2">
        <v>573443000</v>
      </c>
    </row>
    <row r="85" spans="1:7">
      <c r="A85" s="3">
        <v>44166</v>
      </c>
      <c r="B85" s="2">
        <v>214.509995</v>
      </c>
      <c r="C85" s="2">
        <v>227.179993</v>
      </c>
      <c r="D85" s="2">
        <v>209.11000100000001</v>
      </c>
      <c r="E85" s="2">
        <v>222.41999799999999</v>
      </c>
      <c r="F85" s="2">
        <v>216.60290499999999</v>
      </c>
      <c r="G85" s="2">
        <v>594761700</v>
      </c>
    </row>
    <row r="86" spans="1:7">
      <c r="A86" s="3">
        <v>44197</v>
      </c>
      <c r="B86" s="2">
        <v>222.529999</v>
      </c>
      <c r="C86" s="2">
        <v>242.63999899999999</v>
      </c>
      <c r="D86" s="2">
        <v>211.94000199999999</v>
      </c>
      <c r="E86" s="2">
        <v>231.96000699999999</v>
      </c>
      <c r="F86" s="2">
        <v>225.89338699999999</v>
      </c>
      <c r="G86" s="2">
        <v>648076400</v>
      </c>
    </row>
    <row r="87" spans="1:7">
      <c r="A87" s="3">
        <v>44228</v>
      </c>
      <c r="B87" s="2">
        <v>235.05999800000001</v>
      </c>
      <c r="C87" s="2">
        <v>246.13000500000001</v>
      </c>
      <c r="D87" s="2">
        <v>227.88000500000001</v>
      </c>
      <c r="E87" s="2">
        <v>232.38000500000001</v>
      </c>
      <c r="F87" s="2">
        <v>226.30242899999999</v>
      </c>
      <c r="G87" s="2">
        <v>490962200</v>
      </c>
    </row>
    <row r="88" spans="1:7">
      <c r="A88" s="3">
        <v>44256</v>
      </c>
      <c r="B88" s="2">
        <v>235.89999399999999</v>
      </c>
      <c r="C88" s="2">
        <v>241.050003</v>
      </c>
      <c r="D88" s="2">
        <v>224.259995</v>
      </c>
      <c r="E88" s="2">
        <v>235.770004</v>
      </c>
      <c r="F88" s="2">
        <v>230.13256799999999</v>
      </c>
      <c r="G88" s="2">
        <v>724945800</v>
      </c>
    </row>
    <row r="89" spans="1:7">
      <c r="A89" s="3">
        <v>44287</v>
      </c>
      <c r="B89" s="2">
        <v>238.470001</v>
      </c>
      <c r="C89" s="2">
        <v>263.19000199999999</v>
      </c>
      <c r="D89" s="2">
        <v>238.050003</v>
      </c>
      <c r="E89" s="2">
        <v>252.179993</v>
      </c>
      <c r="F89" s="2">
        <v>246.15020799999999</v>
      </c>
      <c r="G89" s="2">
        <v>568661600</v>
      </c>
    </row>
    <row r="90" spans="1:7">
      <c r="A90" s="3">
        <v>44317</v>
      </c>
      <c r="B90" s="2">
        <v>253.39999399999999</v>
      </c>
      <c r="C90" s="2">
        <v>254.35000600000001</v>
      </c>
      <c r="D90" s="2">
        <v>238.070007</v>
      </c>
      <c r="E90" s="2">
        <v>249.679993</v>
      </c>
      <c r="F90" s="2">
        <v>243.709946</v>
      </c>
      <c r="G90" s="2">
        <v>495084900</v>
      </c>
    </row>
    <row r="91" spans="1:7">
      <c r="A91" s="3">
        <v>44348</v>
      </c>
      <c r="B91" s="2">
        <v>251.229996</v>
      </c>
      <c r="C91" s="2">
        <v>271.64999399999999</v>
      </c>
      <c r="D91" s="2">
        <v>243</v>
      </c>
      <c r="E91" s="2">
        <v>270.89999399999999</v>
      </c>
      <c r="F91" s="2">
        <v>265.03323399999999</v>
      </c>
      <c r="G91" s="2">
        <v>508572200</v>
      </c>
    </row>
    <row r="92" spans="1:7">
      <c r="A92" s="3">
        <v>44378</v>
      </c>
      <c r="B92" s="2">
        <v>269.60998499999999</v>
      </c>
      <c r="C92" s="2">
        <v>290.14999399999999</v>
      </c>
      <c r="D92" s="2">
        <v>269.60000600000001</v>
      </c>
      <c r="E92" s="2">
        <v>284.91000400000001</v>
      </c>
      <c r="F92" s="2">
        <v>278.73974600000003</v>
      </c>
      <c r="G92" s="2">
        <v>522672700</v>
      </c>
    </row>
    <row r="93" spans="1:7">
      <c r="A93" s="3">
        <v>44409</v>
      </c>
      <c r="B93" s="2">
        <v>286.35998499999999</v>
      </c>
      <c r="C93" s="2">
        <v>305.83999599999999</v>
      </c>
      <c r="D93" s="2">
        <v>283.73998999999998</v>
      </c>
      <c r="E93" s="2">
        <v>301.88000499999998</v>
      </c>
      <c r="F93" s="2">
        <v>295.34225500000002</v>
      </c>
      <c r="G93" s="2">
        <v>441308900</v>
      </c>
    </row>
    <row r="94" spans="1:7">
      <c r="A94" s="3">
        <v>44440</v>
      </c>
      <c r="B94" s="2">
        <v>302.86999500000002</v>
      </c>
      <c r="C94" s="2">
        <v>305.32000699999998</v>
      </c>
      <c r="D94" s="2">
        <v>281.61999500000002</v>
      </c>
      <c r="E94" s="2">
        <v>281.92001299999998</v>
      </c>
      <c r="F94" s="2">
        <v>276.34252900000001</v>
      </c>
      <c r="G94" s="2">
        <v>502918700</v>
      </c>
    </row>
    <row r="95" spans="1:7">
      <c r="A95" s="3">
        <v>44470</v>
      </c>
      <c r="B95" s="2">
        <v>282.11999500000002</v>
      </c>
      <c r="C95" s="2">
        <v>332</v>
      </c>
      <c r="D95" s="2">
        <v>280.25</v>
      </c>
      <c r="E95" s="2">
        <v>331.61999500000002</v>
      </c>
      <c r="F95" s="2">
        <v>325.05926499999998</v>
      </c>
      <c r="G95" s="2">
        <v>516515800</v>
      </c>
    </row>
    <row r="96" spans="1:7">
      <c r="A96" s="3">
        <v>44501</v>
      </c>
      <c r="B96" s="2">
        <v>331.35998499999999</v>
      </c>
      <c r="C96" s="2">
        <v>349.67001299999998</v>
      </c>
      <c r="D96" s="2">
        <v>326.36999500000002</v>
      </c>
      <c r="E96" s="2">
        <v>330.58999599999999</v>
      </c>
      <c r="F96" s="2">
        <v>324.04965199999998</v>
      </c>
      <c r="G96" s="2">
        <v>509885200</v>
      </c>
    </row>
    <row r="97" spans="1:7">
      <c r="A97" s="3">
        <v>44531</v>
      </c>
      <c r="B97" s="2">
        <v>335.13000499999998</v>
      </c>
      <c r="C97" s="2">
        <v>344.29998799999998</v>
      </c>
      <c r="D97" s="2">
        <v>317.25</v>
      </c>
      <c r="E97" s="2">
        <v>336.32000699999998</v>
      </c>
      <c r="F97" s="2">
        <v>330.269409</v>
      </c>
      <c r="G97" s="2">
        <v>625674800</v>
      </c>
    </row>
    <row r="98" spans="1:7">
      <c r="A98" s="3">
        <v>44562</v>
      </c>
      <c r="B98" s="2">
        <v>335.35000600000001</v>
      </c>
      <c r="C98" s="2">
        <v>338</v>
      </c>
      <c r="D98" s="2">
        <v>276.04998799999998</v>
      </c>
      <c r="E98" s="2">
        <v>310.98001099999999</v>
      </c>
      <c r="F98" s="2">
        <v>305.38528400000001</v>
      </c>
      <c r="G98" s="2">
        <v>947531400</v>
      </c>
    </row>
    <row r="99" spans="1:7">
      <c r="A99" s="3">
        <v>44593</v>
      </c>
      <c r="B99" s="2">
        <v>310.41000400000001</v>
      </c>
      <c r="C99" s="2">
        <v>315.11999500000002</v>
      </c>
      <c r="D99" s="2">
        <v>271.51998900000001</v>
      </c>
      <c r="E99" s="2">
        <v>298.790009</v>
      </c>
      <c r="F99" s="2">
        <v>293.414581</v>
      </c>
      <c r="G99" s="2">
        <v>697050600</v>
      </c>
    </row>
    <row r="100" spans="1:7">
      <c r="A100" s="3">
        <v>44621</v>
      </c>
      <c r="B100" s="2">
        <v>296.39999399999999</v>
      </c>
      <c r="C100" s="2">
        <v>315.95001200000002</v>
      </c>
      <c r="D100" s="2">
        <v>270</v>
      </c>
      <c r="E100" s="2">
        <v>308.30999800000001</v>
      </c>
      <c r="F100" s="2">
        <v>303.38937399999998</v>
      </c>
      <c r="G100" s="2">
        <v>734334200</v>
      </c>
    </row>
    <row r="101" spans="1:7">
      <c r="A101" s="3">
        <v>44652</v>
      </c>
      <c r="B101" s="2">
        <v>309.36999500000002</v>
      </c>
      <c r="C101" s="2">
        <v>315.10998499999999</v>
      </c>
      <c r="D101" s="2">
        <v>270</v>
      </c>
      <c r="E101" s="2">
        <v>277.51998900000001</v>
      </c>
      <c r="F101" s="2">
        <v>273.09075899999999</v>
      </c>
      <c r="G101" s="2">
        <v>627343400</v>
      </c>
    </row>
    <row r="102" spans="1:7">
      <c r="A102" s="3">
        <v>44682</v>
      </c>
      <c r="B102" s="2">
        <v>277.709991</v>
      </c>
      <c r="C102" s="2">
        <v>290.88000499999998</v>
      </c>
      <c r="D102" s="2">
        <v>246.44000199999999</v>
      </c>
      <c r="E102" s="2">
        <v>271.86999500000002</v>
      </c>
      <c r="F102" s="2">
        <v>267.530914</v>
      </c>
      <c r="G102" s="2">
        <v>742902000</v>
      </c>
    </row>
    <row r="103" spans="1:7">
      <c r="A103" s="3">
        <v>44713</v>
      </c>
      <c r="B103" s="2">
        <v>275.20001200000002</v>
      </c>
      <c r="C103" s="2">
        <v>277.69000199999999</v>
      </c>
      <c r="D103" s="2">
        <v>241.509995</v>
      </c>
      <c r="E103" s="2">
        <v>256.82998700000002</v>
      </c>
      <c r="F103" s="2">
        <v>253.31959499999999</v>
      </c>
      <c r="G103" s="2">
        <v>621372300</v>
      </c>
    </row>
    <row r="104" spans="1:7">
      <c r="A104" s="3">
        <v>44743</v>
      </c>
      <c r="B104" s="2">
        <v>256.39001500000001</v>
      </c>
      <c r="C104" s="2">
        <v>282</v>
      </c>
      <c r="D104" s="2">
        <v>245.94000199999999</v>
      </c>
      <c r="E104" s="2">
        <v>280.73998999999998</v>
      </c>
      <c r="F104" s="2">
        <v>276.90277099999997</v>
      </c>
      <c r="G104" s="2">
        <v>534891800</v>
      </c>
    </row>
    <row r="105" spans="1:7">
      <c r="A105" s="3">
        <v>44774</v>
      </c>
      <c r="B105" s="2">
        <v>277.82000699999998</v>
      </c>
      <c r="C105" s="2">
        <v>294.17999300000002</v>
      </c>
      <c r="D105" s="2">
        <v>260.66000400000001</v>
      </c>
      <c r="E105" s="2">
        <v>261.47000100000002</v>
      </c>
      <c r="F105" s="2">
        <v>257.89617900000002</v>
      </c>
      <c r="G105" s="2">
        <v>477157600</v>
      </c>
    </row>
    <row r="106" spans="1:7">
      <c r="A106" s="3">
        <v>44805</v>
      </c>
      <c r="B106" s="2">
        <v>258.86999500000002</v>
      </c>
      <c r="C106" s="2">
        <v>267.45001200000002</v>
      </c>
      <c r="D106" s="2">
        <v>232.729996</v>
      </c>
      <c r="E106" s="2">
        <v>232.89999399999999</v>
      </c>
      <c r="F106" s="2">
        <v>230.20426900000001</v>
      </c>
      <c r="G106" s="2">
        <v>575586600</v>
      </c>
    </row>
    <row r="107" spans="1:7">
      <c r="A107" s="3">
        <v>44835</v>
      </c>
      <c r="B107" s="2">
        <v>235.41000399999999</v>
      </c>
      <c r="C107" s="2">
        <v>251.03999300000001</v>
      </c>
      <c r="D107" s="2">
        <v>219.13000500000001</v>
      </c>
      <c r="E107" s="2">
        <v>232.13000500000001</v>
      </c>
      <c r="F107" s="2">
        <v>229.443207</v>
      </c>
      <c r="G107" s="2">
        <v>671225100</v>
      </c>
    </row>
    <row r="108" spans="1:7">
      <c r="A108" s="3">
        <v>44866</v>
      </c>
      <c r="B108" s="2">
        <v>234.60000600000001</v>
      </c>
      <c r="C108" s="2">
        <v>255.33000200000001</v>
      </c>
      <c r="D108" s="2">
        <v>213.429993</v>
      </c>
      <c r="E108" s="2">
        <v>255.13999899999999</v>
      </c>
      <c r="F108" s="2">
        <v>252.18689000000001</v>
      </c>
      <c r="G108" s="2">
        <v>615296000</v>
      </c>
    </row>
    <row r="109" spans="1:7">
      <c r="A109" s="3">
        <v>44896</v>
      </c>
      <c r="B109" s="2">
        <v>253.86999499999999</v>
      </c>
      <c r="C109" s="2">
        <v>263.92001299999998</v>
      </c>
      <c r="D109" s="2">
        <v>233.86999499999999</v>
      </c>
      <c r="E109" s="2">
        <v>239.820007</v>
      </c>
      <c r="F109" s="2">
        <v>237.71225000000001</v>
      </c>
      <c r="G109" s="2">
        <v>591358700</v>
      </c>
    </row>
    <row r="110" spans="1:7">
      <c r="A110" s="3">
        <v>44927</v>
      </c>
      <c r="B110" s="2">
        <v>243.08000200000001</v>
      </c>
      <c r="C110" s="2">
        <v>249.83000200000001</v>
      </c>
      <c r="D110" s="2">
        <v>219.35000600000001</v>
      </c>
      <c r="E110" s="2">
        <v>247.80999800000001</v>
      </c>
      <c r="F110" s="2">
        <v>245.631989</v>
      </c>
      <c r="G110" s="2">
        <v>666168100</v>
      </c>
    </row>
    <row r="111" spans="1:7">
      <c r="A111" s="3">
        <v>44958</v>
      </c>
      <c r="B111" s="2">
        <v>248</v>
      </c>
      <c r="C111" s="2">
        <v>276.76001000000002</v>
      </c>
      <c r="D111" s="2">
        <v>245.470001</v>
      </c>
      <c r="E111" s="2">
        <v>249.41999799999999</v>
      </c>
      <c r="F111" s="2">
        <v>247.227844</v>
      </c>
      <c r="G111" s="2">
        <v>615501000</v>
      </c>
    </row>
    <row r="112" spans="1:7">
      <c r="A112" s="3">
        <v>44986</v>
      </c>
      <c r="B112" s="2">
        <v>250.759995</v>
      </c>
      <c r="C112" s="2">
        <v>289.26998900000001</v>
      </c>
      <c r="D112" s="2">
        <v>245.61000100000001</v>
      </c>
      <c r="E112" s="2">
        <v>288.29998799999998</v>
      </c>
      <c r="F112" s="2">
        <v>286.48187300000001</v>
      </c>
      <c r="G112" s="2">
        <v>747635000</v>
      </c>
    </row>
    <row r="113" spans="1:7">
      <c r="A113" s="3">
        <v>45017</v>
      </c>
      <c r="B113" s="2">
        <v>286.51998900000001</v>
      </c>
      <c r="C113" s="2">
        <v>308.92999300000002</v>
      </c>
      <c r="D113" s="2">
        <v>275.36999500000002</v>
      </c>
      <c r="E113" s="2">
        <v>307.26001000000002</v>
      </c>
      <c r="F113" s="2">
        <v>305.32232699999997</v>
      </c>
      <c r="G113" s="2">
        <v>551497100</v>
      </c>
    </row>
    <row r="114" spans="1:7">
      <c r="A114" s="3">
        <v>45047</v>
      </c>
      <c r="B114" s="2">
        <v>306.97000100000002</v>
      </c>
      <c r="C114" s="2">
        <v>335.94000199999999</v>
      </c>
      <c r="D114" s="2">
        <v>303.39999399999999</v>
      </c>
      <c r="E114" s="2">
        <v>328.39001500000001</v>
      </c>
      <c r="F114" s="2">
        <v>326.31909200000001</v>
      </c>
      <c r="G114" s="2">
        <v>600807200</v>
      </c>
    </row>
    <row r="115" spans="1:7">
      <c r="A115" s="3">
        <v>45078</v>
      </c>
      <c r="B115" s="2">
        <v>325.92999300000002</v>
      </c>
      <c r="C115" s="2">
        <v>351.47000100000002</v>
      </c>
      <c r="D115" s="2">
        <v>322.5</v>
      </c>
      <c r="E115" s="2">
        <v>340.540009</v>
      </c>
      <c r="F115" s="2">
        <v>339.13220200000001</v>
      </c>
      <c r="G115" s="2">
        <v>547588700</v>
      </c>
    </row>
    <row r="116" spans="1:7">
      <c r="A116" s="3">
        <v>45108</v>
      </c>
      <c r="B116" s="2">
        <v>339.19000199999999</v>
      </c>
      <c r="C116" s="2">
        <v>366.77999899999998</v>
      </c>
      <c r="D116" s="2">
        <v>327</v>
      </c>
      <c r="E116" s="2">
        <v>335.92001299999998</v>
      </c>
      <c r="F116" s="2">
        <v>334.53131100000002</v>
      </c>
      <c r="G116" s="2">
        <v>666764400</v>
      </c>
    </row>
    <row r="117" spans="1:7">
      <c r="A117" s="3">
        <v>45139</v>
      </c>
      <c r="B117" s="2">
        <v>335.19000199999999</v>
      </c>
      <c r="C117" s="2">
        <v>338.540009</v>
      </c>
      <c r="D117" s="2">
        <v>311.54998799999998</v>
      </c>
      <c r="E117" s="2">
        <v>327.76001000000002</v>
      </c>
      <c r="F117" s="2">
        <v>326.40505999999999</v>
      </c>
      <c r="G117" s="2">
        <v>479456700</v>
      </c>
    </row>
    <row r="118" spans="1:7">
      <c r="A118" s="3">
        <v>45170</v>
      </c>
      <c r="B118" s="2">
        <v>331.30999800000001</v>
      </c>
      <c r="C118" s="2">
        <v>340.85998499999999</v>
      </c>
      <c r="D118" s="2">
        <v>309.45001200000002</v>
      </c>
      <c r="E118" s="2">
        <v>315.75</v>
      </c>
      <c r="F118" s="2">
        <v>315.11044299999998</v>
      </c>
      <c r="G118" s="2">
        <v>416680700</v>
      </c>
    </row>
    <row r="119" spans="1:7">
      <c r="A119" s="3">
        <v>45200</v>
      </c>
      <c r="B119" s="2">
        <v>316.27999899999998</v>
      </c>
      <c r="C119" s="2">
        <v>346.20001200000002</v>
      </c>
      <c r="D119" s="2">
        <v>311.209991</v>
      </c>
      <c r="E119" s="2">
        <v>338.10998499999999</v>
      </c>
      <c r="F119" s="2">
        <v>337.42514</v>
      </c>
      <c r="G119" s="2">
        <v>540907000</v>
      </c>
    </row>
    <row r="120" spans="1:7">
      <c r="A120" s="3">
        <v>45231</v>
      </c>
      <c r="B120" s="2">
        <v>339.790009</v>
      </c>
      <c r="C120" s="2">
        <v>384.29998799999998</v>
      </c>
      <c r="D120" s="2">
        <v>339.64999399999999</v>
      </c>
      <c r="E120" s="2">
        <v>378.91000400000001</v>
      </c>
      <c r="F120" s="2">
        <v>378.142517</v>
      </c>
      <c r="G120" s="2">
        <v>563880300</v>
      </c>
    </row>
    <row r="121" spans="1:7">
      <c r="A121" s="3">
        <v>45261</v>
      </c>
      <c r="B121" s="2">
        <v>376.76001000000002</v>
      </c>
      <c r="C121" s="2">
        <v>378.16000400000001</v>
      </c>
      <c r="D121" s="2">
        <v>362.89999399999999</v>
      </c>
      <c r="E121" s="2">
        <v>368.79998799999998</v>
      </c>
      <c r="F121" s="2">
        <v>368.79998799999998</v>
      </c>
      <c r="G121" s="2">
        <v>109309000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DAA9B-D688-2046-8060-5F872E4D1371}">
  <dimension ref="A1:G121"/>
  <sheetViews>
    <sheetView workbookViewId="0">
      <selection sqref="A1:G121"/>
    </sheetView>
  </sheetViews>
  <sheetFormatPr baseColWidth="10" defaultRowHeight="13"/>
  <sheetData>
    <row r="1" spans="1:7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>
      <c r="A2" s="3">
        <v>41640</v>
      </c>
      <c r="B2" s="2">
        <v>1845.8599850000001</v>
      </c>
      <c r="C2" s="2">
        <v>1850.839966</v>
      </c>
      <c r="D2" s="2">
        <v>1770.4499510000001</v>
      </c>
      <c r="E2" s="2">
        <v>1782.589966</v>
      </c>
      <c r="F2" s="2">
        <v>1782.589966</v>
      </c>
      <c r="G2" s="2">
        <v>75871910000</v>
      </c>
    </row>
    <row r="3" spans="1:7">
      <c r="A3" s="3">
        <v>41671</v>
      </c>
      <c r="B3" s="2">
        <v>1782.6800539999999</v>
      </c>
      <c r="C3" s="2">
        <v>1867.920044</v>
      </c>
      <c r="D3" s="2">
        <v>1737.920044</v>
      </c>
      <c r="E3" s="2">
        <v>1859.4499510000001</v>
      </c>
      <c r="F3" s="2">
        <v>1859.4499510000001</v>
      </c>
      <c r="G3" s="2">
        <v>69725590000</v>
      </c>
    </row>
    <row r="4" spans="1:7">
      <c r="A4" s="3">
        <v>41699</v>
      </c>
      <c r="B4" s="2">
        <v>1857.6800539999999</v>
      </c>
      <c r="C4" s="2">
        <v>1883.969971</v>
      </c>
      <c r="D4" s="2">
        <v>1834.4399410000001</v>
      </c>
      <c r="E4" s="2">
        <v>1872.339966</v>
      </c>
      <c r="F4" s="2">
        <v>1872.339966</v>
      </c>
      <c r="G4" s="2">
        <v>71885030000</v>
      </c>
    </row>
    <row r="5" spans="1:7">
      <c r="A5" s="3">
        <v>41730</v>
      </c>
      <c r="B5" s="2">
        <v>1873.959961</v>
      </c>
      <c r="C5" s="2">
        <v>1897.280029</v>
      </c>
      <c r="D5" s="2">
        <v>1814.3599850000001</v>
      </c>
      <c r="E5" s="2">
        <v>1883.9499510000001</v>
      </c>
      <c r="F5" s="2">
        <v>1883.9499510000001</v>
      </c>
      <c r="G5" s="2">
        <v>71595810000</v>
      </c>
    </row>
    <row r="6" spans="1:7">
      <c r="A6" s="3">
        <v>41760</v>
      </c>
      <c r="B6" s="2">
        <v>1884.3900149999999</v>
      </c>
      <c r="C6" s="2">
        <v>1924.030029</v>
      </c>
      <c r="D6" s="2">
        <v>1859.790039</v>
      </c>
      <c r="E6" s="2">
        <v>1923.5699460000001</v>
      </c>
      <c r="F6" s="2">
        <v>1923.5699460000001</v>
      </c>
      <c r="G6" s="2">
        <v>63623630000</v>
      </c>
    </row>
    <row r="7" spans="1:7">
      <c r="A7" s="3">
        <v>41791</v>
      </c>
      <c r="B7" s="2">
        <v>1923.869995</v>
      </c>
      <c r="C7" s="2">
        <v>1968.170044</v>
      </c>
      <c r="D7" s="2">
        <v>1915.9799800000001</v>
      </c>
      <c r="E7" s="2">
        <v>1960.2299800000001</v>
      </c>
      <c r="F7" s="2">
        <v>1960.2299800000001</v>
      </c>
      <c r="G7" s="2">
        <v>63283380000</v>
      </c>
    </row>
    <row r="8" spans="1:7">
      <c r="A8" s="3">
        <v>41821</v>
      </c>
      <c r="B8" s="2">
        <v>1962.290039</v>
      </c>
      <c r="C8" s="2">
        <v>1991.3900149999999</v>
      </c>
      <c r="D8" s="2">
        <v>1930.670044</v>
      </c>
      <c r="E8" s="2">
        <v>1930.670044</v>
      </c>
      <c r="F8" s="2">
        <v>1930.670044</v>
      </c>
      <c r="G8" s="2">
        <v>66524690000</v>
      </c>
    </row>
    <row r="9" spans="1:7">
      <c r="A9" s="3">
        <v>41852</v>
      </c>
      <c r="B9" s="2">
        <v>1929.8000489999999</v>
      </c>
      <c r="C9" s="2">
        <v>2005.040039</v>
      </c>
      <c r="D9" s="2">
        <v>1904.780029</v>
      </c>
      <c r="E9" s="2">
        <v>2003.369995</v>
      </c>
      <c r="F9" s="2">
        <v>2003.369995</v>
      </c>
      <c r="G9" s="2">
        <v>58131140000</v>
      </c>
    </row>
    <row r="10" spans="1:7">
      <c r="A10" s="3">
        <v>41883</v>
      </c>
      <c r="B10" s="2">
        <v>2004.0699460000001</v>
      </c>
      <c r="C10" s="2">
        <v>2019.26001</v>
      </c>
      <c r="D10" s="2">
        <v>1964.040039</v>
      </c>
      <c r="E10" s="2">
        <v>1972.290039</v>
      </c>
      <c r="F10" s="2">
        <v>1972.290039</v>
      </c>
      <c r="G10" s="2">
        <v>66706000000</v>
      </c>
    </row>
    <row r="11" spans="1:7">
      <c r="A11" s="3">
        <v>41913</v>
      </c>
      <c r="B11" s="2">
        <v>1971.4399410000001</v>
      </c>
      <c r="C11" s="2">
        <v>2018.1899410000001</v>
      </c>
      <c r="D11" s="2">
        <v>1820.660034</v>
      </c>
      <c r="E11" s="2">
        <v>2018.0500489999999</v>
      </c>
      <c r="F11" s="2">
        <v>2018.0500489999999</v>
      </c>
      <c r="G11" s="2">
        <v>93714040000</v>
      </c>
    </row>
    <row r="12" spans="1:7">
      <c r="A12" s="3">
        <v>41944</v>
      </c>
      <c r="B12" s="2">
        <v>2018.209961</v>
      </c>
      <c r="C12" s="2">
        <v>2075.76001</v>
      </c>
      <c r="D12" s="2">
        <v>2001.01001</v>
      </c>
      <c r="E12" s="2">
        <v>2067.5600589999999</v>
      </c>
      <c r="F12" s="2">
        <v>2067.5600589999999</v>
      </c>
      <c r="G12" s="2">
        <v>63600190000</v>
      </c>
    </row>
    <row r="13" spans="1:7">
      <c r="A13" s="3">
        <v>41974</v>
      </c>
      <c r="B13" s="2">
        <v>2065.780029</v>
      </c>
      <c r="C13" s="2">
        <v>2093.5500489999999</v>
      </c>
      <c r="D13" s="2">
        <v>1972.5600589999999</v>
      </c>
      <c r="E13" s="2">
        <v>2058.8999020000001</v>
      </c>
      <c r="F13" s="2">
        <v>2058.8999020000001</v>
      </c>
      <c r="G13" s="2">
        <v>80743820000</v>
      </c>
    </row>
    <row r="14" spans="1:7">
      <c r="A14" s="3">
        <v>42005</v>
      </c>
      <c r="B14" s="2">
        <v>2058.8999020000001</v>
      </c>
      <c r="C14" s="2">
        <v>2072.360107</v>
      </c>
      <c r="D14" s="2">
        <v>1988.119995</v>
      </c>
      <c r="E14" s="2">
        <v>1994.98999</v>
      </c>
      <c r="F14" s="2">
        <v>1994.98999</v>
      </c>
      <c r="G14" s="2">
        <v>77330040000</v>
      </c>
    </row>
    <row r="15" spans="1:7">
      <c r="A15" s="3">
        <v>42036</v>
      </c>
      <c r="B15" s="2">
        <v>1996.670044</v>
      </c>
      <c r="C15" s="2">
        <v>2119.5900879999999</v>
      </c>
      <c r="D15" s="2">
        <v>1980.900024</v>
      </c>
      <c r="E15" s="2">
        <v>2104.5</v>
      </c>
      <c r="F15" s="2">
        <v>2104.5</v>
      </c>
      <c r="G15" s="2">
        <v>68775560000</v>
      </c>
    </row>
    <row r="16" spans="1:7">
      <c r="A16" s="3">
        <v>42064</v>
      </c>
      <c r="B16" s="2">
        <v>2105.2299800000001</v>
      </c>
      <c r="C16" s="2">
        <v>2117.5200199999999</v>
      </c>
      <c r="D16" s="2">
        <v>2039.6899410000001</v>
      </c>
      <c r="E16" s="2">
        <v>2067.889893</v>
      </c>
      <c r="F16" s="2">
        <v>2067.889893</v>
      </c>
      <c r="G16" s="2">
        <v>76675850000</v>
      </c>
    </row>
    <row r="17" spans="1:7">
      <c r="A17" s="3">
        <v>42095</v>
      </c>
      <c r="B17" s="2">
        <v>2067.6298830000001</v>
      </c>
      <c r="C17" s="2">
        <v>2125.919922</v>
      </c>
      <c r="D17" s="2">
        <v>2048.3798830000001</v>
      </c>
      <c r="E17" s="2">
        <v>2085.51001</v>
      </c>
      <c r="F17" s="2">
        <v>2085.51001</v>
      </c>
      <c r="G17" s="2">
        <v>72060940000</v>
      </c>
    </row>
    <row r="18" spans="1:7">
      <c r="A18" s="3">
        <v>42125</v>
      </c>
      <c r="B18" s="2">
        <v>2087.3798830000001</v>
      </c>
      <c r="C18" s="2">
        <v>2134.719971</v>
      </c>
      <c r="D18" s="2">
        <v>2067.929932</v>
      </c>
      <c r="E18" s="2">
        <v>2107.389893</v>
      </c>
      <c r="F18" s="2">
        <v>2107.389893</v>
      </c>
      <c r="G18" s="2">
        <v>65187730000</v>
      </c>
    </row>
    <row r="19" spans="1:7">
      <c r="A19" s="3">
        <v>42156</v>
      </c>
      <c r="B19" s="2">
        <v>2108.639893</v>
      </c>
      <c r="C19" s="2">
        <v>2129.8701169999999</v>
      </c>
      <c r="D19" s="2">
        <v>2056.320068</v>
      </c>
      <c r="E19" s="2">
        <v>2063.110107</v>
      </c>
      <c r="F19" s="2">
        <v>2063.110107</v>
      </c>
      <c r="G19" s="2">
        <v>73213980000</v>
      </c>
    </row>
    <row r="20" spans="1:7">
      <c r="A20" s="3">
        <v>42186</v>
      </c>
      <c r="B20" s="2">
        <v>2067</v>
      </c>
      <c r="C20" s="2">
        <v>2132.820068</v>
      </c>
      <c r="D20" s="2">
        <v>2044.0200199999999</v>
      </c>
      <c r="E20" s="2">
        <v>2103.8400879999999</v>
      </c>
      <c r="F20" s="2">
        <v>2103.8400879999999</v>
      </c>
      <c r="G20" s="2">
        <v>77920590000</v>
      </c>
    </row>
    <row r="21" spans="1:7">
      <c r="A21" s="3">
        <v>42217</v>
      </c>
      <c r="B21" s="2">
        <v>2104.48999</v>
      </c>
      <c r="C21" s="2">
        <v>2112.6599120000001</v>
      </c>
      <c r="D21" s="2">
        <v>1867.01001</v>
      </c>
      <c r="E21" s="2">
        <v>1972.1800539999999</v>
      </c>
      <c r="F21" s="2">
        <v>1972.1800539999999</v>
      </c>
      <c r="G21" s="2">
        <v>84626790000</v>
      </c>
    </row>
    <row r="22" spans="1:7">
      <c r="A22" s="3">
        <v>42248</v>
      </c>
      <c r="B22" s="2">
        <v>1970.089966</v>
      </c>
      <c r="C22" s="2">
        <v>2020.8599850000001</v>
      </c>
      <c r="D22" s="2">
        <v>1871.910034</v>
      </c>
      <c r="E22" s="2">
        <v>1920.030029</v>
      </c>
      <c r="F22" s="2">
        <v>1920.030029</v>
      </c>
      <c r="G22" s="2">
        <v>79989370000</v>
      </c>
    </row>
    <row r="23" spans="1:7">
      <c r="A23" s="3">
        <v>42278</v>
      </c>
      <c r="B23" s="2">
        <v>1919.650024</v>
      </c>
      <c r="C23" s="2">
        <v>2094.320068</v>
      </c>
      <c r="D23" s="2">
        <v>1893.6999510000001</v>
      </c>
      <c r="E23" s="2">
        <v>2079.360107</v>
      </c>
      <c r="F23" s="2">
        <v>2079.360107</v>
      </c>
      <c r="G23" s="2">
        <v>85844900000</v>
      </c>
    </row>
    <row r="24" spans="1:7">
      <c r="A24" s="3">
        <v>42309</v>
      </c>
      <c r="B24" s="2">
        <v>2080.76001</v>
      </c>
      <c r="C24" s="2">
        <v>2116.4799800000001</v>
      </c>
      <c r="D24" s="2">
        <v>2019.3900149999999</v>
      </c>
      <c r="E24" s="2">
        <v>2080.4099120000001</v>
      </c>
      <c r="F24" s="2">
        <v>2080.4099120000001</v>
      </c>
      <c r="G24" s="2">
        <v>75943590000</v>
      </c>
    </row>
    <row r="25" spans="1:7">
      <c r="A25" s="3">
        <v>42339</v>
      </c>
      <c r="B25" s="2">
        <v>2082.929932</v>
      </c>
      <c r="C25" s="2">
        <v>2104.2700199999999</v>
      </c>
      <c r="D25" s="2">
        <v>1993.26001</v>
      </c>
      <c r="E25" s="2">
        <v>2043.9399410000001</v>
      </c>
      <c r="F25" s="2">
        <v>2043.9399410000001</v>
      </c>
      <c r="G25" s="2">
        <v>83649260000</v>
      </c>
    </row>
    <row r="26" spans="1:7">
      <c r="A26" s="3">
        <v>42370</v>
      </c>
      <c r="B26" s="2">
        <v>2038.1999510000001</v>
      </c>
      <c r="C26" s="2">
        <v>2038.1999510000001</v>
      </c>
      <c r="D26" s="2">
        <v>1812.290039</v>
      </c>
      <c r="E26" s="2">
        <v>1940.23999</v>
      </c>
      <c r="F26" s="2">
        <v>1940.23999</v>
      </c>
      <c r="G26" s="2">
        <v>92409770000</v>
      </c>
    </row>
    <row r="27" spans="1:7">
      <c r="A27" s="3">
        <v>42401</v>
      </c>
      <c r="B27" s="2">
        <v>1936.9399410000001</v>
      </c>
      <c r="C27" s="2">
        <v>1962.959961</v>
      </c>
      <c r="D27" s="2">
        <v>1810.099976</v>
      </c>
      <c r="E27" s="2">
        <v>1932.2299800000001</v>
      </c>
      <c r="F27" s="2">
        <v>1932.2299800000001</v>
      </c>
      <c r="G27" s="2">
        <v>93049560000</v>
      </c>
    </row>
    <row r="28" spans="1:7">
      <c r="A28" s="3">
        <v>42430</v>
      </c>
      <c r="B28" s="2">
        <v>1937.089966</v>
      </c>
      <c r="C28" s="2">
        <v>2072.209961</v>
      </c>
      <c r="D28" s="2">
        <v>1937.089966</v>
      </c>
      <c r="E28" s="2">
        <v>2059.73999</v>
      </c>
      <c r="F28" s="2">
        <v>2059.73999</v>
      </c>
      <c r="G28" s="2">
        <v>92639420000</v>
      </c>
    </row>
    <row r="29" spans="1:7">
      <c r="A29" s="3">
        <v>42461</v>
      </c>
      <c r="B29" s="2">
        <v>2056.6201169999999</v>
      </c>
      <c r="C29" s="2">
        <v>2111.0500489999999</v>
      </c>
      <c r="D29" s="2">
        <v>2033.8000489999999</v>
      </c>
      <c r="E29" s="2">
        <v>2065.3000489999999</v>
      </c>
      <c r="F29" s="2">
        <v>2065.3000489999999</v>
      </c>
      <c r="G29" s="2">
        <v>81124990000</v>
      </c>
    </row>
    <row r="30" spans="1:7">
      <c r="A30" s="3">
        <v>42491</v>
      </c>
      <c r="B30" s="2">
        <v>2067.169922</v>
      </c>
      <c r="C30" s="2">
        <v>2103.4799800000001</v>
      </c>
      <c r="D30" s="2">
        <v>2025.910034</v>
      </c>
      <c r="E30" s="2">
        <v>2096.9499510000001</v>
      </c>
      <c r="F30" s="2">
        <v>2096.9499510000001</v>
      </c>
      <c r="G30" s="2">
        <v>78883600000</v>
      </c>
    </row>
    <row r="31" spans="1:7">
      <c r="A31" s="3">
        <v>42522</v>
      </c>
      <c r="B31" s="2">
        <v>2093.9399410000001</v>
      </c>
      <c r="C31" s="2">
        <v>2120.5500489999999</v>
      </c>
      <c r="D31" s="2">
        <v>1991.6800539999999</v>
      </c>
      <c r="E31" s="2">
        <v>2098.860107</v>
      </c>
      <c r="F31" s="2">
        <v>2098.860107</v>
      </c>
      <c r="G31" s="2">
        <v>86852700000</v>
      </c>
    </row>
    <row r="32" spans="1:7">
      <c r="A32" s="3">
        <v>42552</v>
      </c>
      <c r="B32" s="2">
        <v>2099.3400879999999</v>
      </c>
      <c r="C32" s="2">
        <v>2177.0900879999999</v>
      </c>
      <c r="D32" s="2">
        <v>2074.0200199999999</v>
      </c>
      <c r="E32" s="2">
        <v>2173.6000979999999</v>
      </c>
      <c r="F32" s="2">
        <v>2173.6000979999999</v>
      </c>
      <c r="G32" s="2">
        <v>69530250000</v>
      </c>
    </row>
    <row r="33" spans="1:7">
      <c r="A33" s="3">
        <v>42583</v>
      </c>
      <c r="B33" s="2">
        <v>2173.1499020000001</v>
      </c>
      <c r="C33" s="2">
        <v>2193.8100589999999</v>
      </c>
      <c r="D33" s="2">
        <v>2147.580078</v>
      </c>
      <c r="E33" s="2">
        <v>2170.9499510000001</v>
      </c>
      <c r="F33" s="2">
        <v>2170.9499510000001</v>
      </c>
      <c r="G33" s="2">
        <v>75610310000</v>
      </c>
    </row>
    <row r="34" spans="1:7">
      <c r="A34" s="3">
        <v>42614</v>
      </c>
      <c r="B34" s="2">
        <v>2171.330078</v>
      </c>
      <c r="C34" s="2">
        <v>2187.8701169999999</v>
      </c>
      <c r="D34" s="2">
        <v>2119.1201169999999</v>
      </c>
      <c r="E34" s="2">
        <v>2168.2700199999999</v>
      </c>
      <c r="F34" s="2">
        <v>2168.2700199999999</v>
      </c>
      <c r="G34" s="2">
        <v>77023620000</v>
      </c>
    </row>
    <row r="35" spans="1:7">
      <c r="A35" s="3">
        <v>42644</v>
      </c>
      <c r="B35" s="2">
        <v>2164.330078</v>
      </c>
      <c r="C35" s="2">
        <v>2169.6000979999999</v>
      </c>
      <c r="D35" s="2">
        <v>2114.719971</v>
      </c>
      <c r="E35" s="2">
        <v>2126.1499020000001</v>
      </c>
      <c r="F35" s="2">
        <v>2126.1499020000001</v>
      </c>
      <c r="G35" s="2">
        <v>72915530000</v>
      </c>
    </row>
    <row r="36" spans="1:7">
      <c r="A36" s="3">
        <v>42675</v>
      </c>
      <c r="B36" s="2">
        <v>2128.679932</v>
      </c>
      <c r="C36" s="2">
        <v>2214.1000979999999</v>
      </c>
      <c r="D36" s="2">
        <v>2083.790039</v>
      </c>
      <c r="E36" s="2">
        <v>2198.8100589999999</v>
      </c>
      <c r="F36" s="2">
        <v>2198.8100589999999</v>
      </c>
      <c r="G36" s="2">
        <v>88445380000</v>
      </c>
    </row>
    <row r="37" spans="1:7">
      <c r="A37" s="3">
        <v>42705</v>
      </c>
      <c r="B37" s="2">
        <v>2200.169922</v>
      </c>
      <c r="C37" s="2">
        <v>2277.530029</v>
      </c>
      <c r="D37" s="2">
        <v>2187.4399410000001</v>
      </c>
      <c r="E37" s="2">
        <v>2238.830078</v>
      </c>
      <c r="F37" s="2">
        <v>2238.830078</v>
      </c>
      <c r="G37" s="2">
        <v>75344550000</v>
      </c>
    </row>
    <row r="38" spans="1:7">
      <c r="A38" s="3">
        <v>42736</v>
      </c>
      <c r="B38" s="2">
        <v>2251.570068</v>
      </c>
      <c r="C38" s="2">
        <v>2300.98999</v>
      </c>
      <c r="D38" s="2">
        <v>2245.1298830000001</v>
      </c>
      <c r="E38" s="2">
        <v>2278.8701169999999</v>
      </c>
      <c r="F38" s="2">
        <v>2278.8701169999999</v>
      </c>
      <c r="G38" s="2">
        <v>70576420000</v>
      </c>
    </row>
    <row r="39" spans="1:7">
      <c r="A39" s="3">
        <v>42767</v>
      </c>
      <c r="B39" s="2">
        <v>2285.5900879999999</v>
      </c>
      <c r="C39" s="2">
        <v>2371.540039</v>
      </c>
      <c r="D39" s="2">
        <v>2271.6499020000001</v>
      </c>
      <c r="E39" s="2">
        <v>2363.639893</v>
      </c>
      <c r="F39" s="2">
        <v>2363.639893</v>
      </c>
      <c r="G39" s="2">
        <v>69260940000</v>
      </c>
    </row>
    <row r="40" spans="1:7">
      <c r="A40" s="3">
        <v>42795</v>
      </c>
      <c r="B40" s="2">
        <v>2380.1298830000001</v>
      </c>
      <c r="C40" s="2">
        <v>2400.9799800000001</v>
      </c>
      <c r="D40" s="2">
        <v>2322.25</v>
      </c>
      <c r="E40" s="2">
        <v>2362.719971</v>
      </c>
      <c r="F40" s="2">
        <v>2362.719971</v>
      </c>
      <c r="G40" s="2">
        <v>81664010000</v>
      </c>
    </row>
    <row r="41" spans="1:7">
      <c r="A41" s="3">
        <v>42826</v>
      </c>
      <c r="B41" s="2">
        <v>2362.3400879999999</v>
      </c>
      <c r="C41" s="2">
        <v>2398.1599120000001</v>
      </c>
      <c r="D41" s="2">
        <v>2328.9499510000001</v>
      </c>
      <c r="E41" s="2">
        <v>2384.1999510000001</v>
      </c>
      <c r="F41" s="2">
        <v>2384.1999510000001</v>
      </c>
      <c r="G41" s="2">
        <v>65369860000</v>
      </c>
    </row>
    <row r="42" spans="1:7">
      <c r="A42" s="3">
        <v>42856</v>
      </c>
      <c r="B42" s="2">
        <v>2388.5</v>
      </c>
      <c r="C42" s="2">
        <v>2418.709961</v>
      </c>
      <c r="D42" s="2">
        <v>2352.719971</v>
      </c>
      <c r="E42" s="2">
        <v>2411.8000489999999</v>
      </c>
      <c r="F42" s="2">
        <v>2411.8000489999999</v>
      </c>
      <c r="G42" s="2">
        <v>79719460000</v>
      </c>
    </row>
    <row r="43" spans="1:7">
      <c r="A43" s="3">
        <v>42887</v>
      </c>
      <c r="B43" s="2">
        <v>2415.6499020000001</v>
      </c>
      <c r="C43" s="2">
        <v>2453.820068</v>
      </c>
      <c r="D43" s="2">
        <v>2405.6999510000001</v>
      </c>
      <c r="E43" s="2">
        <v>2423.4099120000001</v>
      </c>
      <c r="F43" s="2">
        <v>2423.4099120000001</v>
      </c>
      <c r="G43" s="2">
        <v>81078810000</v>
      </c>
    </row>
    <row r="44" spans="1:7">
      <c r="A44" s="3">
        <v>42917</v>
      </c>
      <c r="B44" s="2">
        <v>2431.389893</v>
      </c>
      <c r="C44" s="2">
        <v>2484.040039</v>
      </c>
      <c r="D44" s="2">
        <v>2407.6999510000001</v>
      </c>
      <c r="E44" s="2">
        <v>2470.3000489999999</v>
      </c>
      <c r="F44" s="2">
        <v>2470.3000489999999</v>
      </c>
      <c r="G44" s="2">
        <v>63348090000</v>
      </c>
    </row>
    <row r="45" spans="1:7">
      <c r="A45" s="3">
        <v>42948</v>
      </c>
      <c r="B45" s="2">
        <v>2477.1000979999999</v>
      </c>
      <c r="C45" s="2">
        <v>2490.8701169999999</v>
      </c>
      <c r="D45" s="2">
        <v>2417.3500979999999</v>
      </c>
      <c r="E45" s="2">
        <v>2471.6499020000001</v>
      </c>
      <c r="F45" s="2">
        <v>2471.6499020000001</v>
      </c>
      <c r="G45" s="2">
        <v>70784900000</v>
      </c>
    </row>
    <row r="46" spans="1:7">
      <c r="A46" s="3">
        <v>42979</v>
      </c>
      <c r="B46" s="2">
        <v>2474.419922</v>
      </c>
      <c r="C46" s="2">
        <v>2519.4399410000001</v>
      </c>
      <c r="D46" s="2">
        <v>2446.5500489999999</v>
      </c>
      <c r="E46" s="2">
        <v>2519.360107</v>
      </c>
      <c r="F46" s="2">
        <v>2519.360107</v>
      </c>
      <c r="G46" s="2">
        <v>66624120000</v>
      </c>
    </row>
    <row r="47" spans="1:7">
      <c r="A47" s="3">
        <v>43009</v>
      </c>
      <c r="B47" s="2">
        <v>2521.1999510000001</v>
      </c>
      <c r="C47" s="2">
        <v>2582.9799800000001</v>
      </c>
      <c r="D47" s="2">
        <v>2520.3999020000001</v>
      </c>
      <c r="E47" s="2">
        <v>2575.26001</v>
      </c>
      <c r="F47" s="2">
        <v>2575.26001</v>
      </c>
      <c r="G47" s="2">
        <v>71088550000</v>
      </c>
    </row>
    <row r="48" spans="1:7">
      <c r="A48" s="3">
        <v>43040</v>
      </c>
      <c r="B48" s="2">
        <v>2583.209961</v>
      </c>
      <c r="C48" s="2">
        <v>2657.73999</v>
      </c>
      <c r="D48" s="2">
        <v>2557.4499510000001</v>
      </c>
      <c r="E48" s="2">
        <v>2647.580078</v>
      </c>
      <c r="F48" s="2">
        <v>2647.580078</v>
      </c>
      <c r="G48" s="2">
        <v>73416960000</v>
      </c>
    </row>
    <row r="49" spans="1:7">
      <c r="A49" s="3">
        <v>43070</v>
      </c>
      <c r="B49" s="2">
        <v>2645.1000979999999</v>
      </c>
      <c r="C49" s="2">
        <v>2694.969971</v>
      </c>
      <c r="D49" s="2">
        <v>2605.5200199999999</v>
      </c>
      <c r="E49" s="2">
        <v>2673.610107</v>
      </c>
      <c r="F49" s="2">
        <v>2673.610107</v>
      </c>
      <c r="G49" s="2">
        <v>65531700000</v>
      </c>
    </row>
    <row r="50" spans="1:7">
      <c r="A50" s="3">
        <v>43101</v>
      </c>
      <c r="B50" s="2">
        <v>2683.7299800000001</v>
      </c>
      <c r="C50" s="2">
        <v>2872.8701169999999</v>
      </c>
      <c r="D50" s="2">
        <v>2682.360107</v>
      </c>
      <c r="E50" s="2">
        <v>2823.8100589999999</v>
      </c>
      <c r="F50" s="2">
        <v>2823.8100589999999</v>
      </c>
      <c r="G50" s="2">
        <v>77318690000</v>
      </c>
    </row>
    <row r="51" spans="1:7">
      <c r="A51" s="3">
        <v>43132</v>
      </c>
      <c r="B51" s="2">
        <v>2816.4499510000001</v>
      </c>
      <c r="C51" s="2">
        <v>2835.959961</v>
      </c>
      <c r="D51" s="2">
        <v>2532.6899410000001</v>
      </c>
      <c r="E51" s="2">
        <v>2713.830078</v>
      </c>
      <c r="F51" s="2">
        <v>2713.830078</v>
      </c>
      <c r="G51" s="2">
        <v>79933970000</v>
      </c>
    </row>
    <row r="52" spans="1:7">
      <c r="A52" s="3">
        <v>43160</v>
      </c>
      <c r="B52" s="2">
        <v>2715.219971</v>
      </c>
      <c r="C52" s="2">
        <v>2801.8999020000001</v>
      </c>
      <c r="D52" s="2">
        <v>2585.889893</v>
      </c>
      <c r="E52" s="2">
        <v>2640.8701169999999</v>
      </c>
      <c r="F52" s="2">
        <v>2640.8701169999999</v>
      </c>
      <c r="G52" s="2">
        <v>76803890000</v>
      </c>
    </row>
    <row r="53" spans="1:7">
      <c r="A53" s="3">
        <v>43191</v>
      </c>
      <c r="B53" s="2">
        <v>2633.4499510000001</v>
      </c>
      <c r="C53" s="2">
        <v>2717.48999</v>
      </c>
      <c r="D53" s="2">
        <v>2553.8000489999999</v>
      </c>
      <c r="E53" s="2">
        <v>2648.0500489999999</v>
      </c>
      <c r="F53" s="2">
        <v>2648.0500489999999</v>
      </c>
      <c r="G53" s="2">
        <v>70194700000</v>
      </c>
    </row>
    <row r="54" spans="1:7">
      <c r="A54" s="3">
        <v>43221</v>
      </c>
      <c r="B54" s="2">
        <v>2642.959961</v>
      </c>
      <c r="C54" s="2">
        <v>2742.23999</v>
      </c>
      <c r="D54" s="2">
        <v>2594.6201169999999</v>
      </c>
      <c r="E54" s="2">
        <v>2705.2700199999999</v>
      </c>
      <c r="F54" s="2">
        <v>2705.2700199999999</v>
      </c>
      <c r="G54" s="2">
        <v>76011820000</v>
      </c>
    </row>
    <row r="55" spans="1:7">
      <c r="A55" s="3">
        <v>43252</v>
      </c>
      <c r="B55" s="2">
        <v>2718.6999510000001</v>
      </c>
      <c r="C55" s="2">
        <v>2791.469971</v>
      </c>
      <c r="D55" s="2">
        <v>2691.98999</v>
      </c>
      <c r="E55" s="2">
        <v>2718.3701169999999</v>
      </c>
      <c r="F55" s="2">
        <v>2718.3701169999999</v>
      </c>
      <c r="G55" s="2">
        <v>77891360000</v>
      </c>
    </row>
    <row r="56" spans="1:7">
      <c r="A56" s="3">
        <v>43282</v>
      </c>
      <c r="B56" s="2">
        <v>2704.9499510000001</v>
      </c>
      <c r="C56" s="2">
        <v>2848.030029</v>
      </c>
      <c r="D56" s="2">
        <v>2698.9499510000001</v>
      </c>
      <c r="E56" s="2">
        <v>2816.290039</v>
      </c>
      <c r="F56" s="2">
        <v>2816.290039</v>
      </c>
      <c r="G56" s="2">
        <v>64898300000</v>
      </c>
    </row>
    <row r="57" spans="1:7">
      <c r="A57" s="3">
        <v>43313</v>
      </c>
      <c r="B57" s="2">
        <v>2821.169922</v>
      </c>
      <c r="C57" s="2">
        <v>2916.5</v>
      </c>
      <c r="D57" s="2">
        <v>2796.3400879999999</v>
      </c>
      <c r="E57" s="2">
        <v>2901.5200199999999</v>
      </c>
      <c r="F57" s="2">
        <v>2901.5200199999999</v>
      </c>
      <c r="G57" s="2">
        <v>69523070000</v>
      </c>
    </row>
    <row r="58" spans="1:7">
      <c r="A58" s="3">
        <v>43344</v>
      </c>
      <c r="B58" s="2">
        <v>2896.959961</v>
      </c>
      <c r="C58" s="2">
        <v>2940.9099120000001</v>
      </c>
      <c r="D58" s="2">
        <v>2864.1201169999999</v>
      </c>
      <c r="E58" s="2">
        <v>2913.9799800000001</v>
      </c>
      <c r="F58" s="2">
        <v>2913.9799800000001</v>
      </c>
      <c r="G58" s="2">
        <v>63031510000</v>
      </c>
    </row>
    <row r="59" spans="1:7">
      <c r="A59" s="3">
        <v>43374</v>
      </c>
      <c r="B59" s="2">
        <v>2926.290039</v>
      </c>
      <c r="C59" s="2">
        <v>2939.860107</v>
      </c>
      <c r="D59" s="2">
        <v>2603.540039</v>
      </c>
      <c r="E59" s="2">
        <v>2711.73999</v>
      </c>
      <c r="F59" s="2">
        <v>2711.73999</v>
      </c>
      <c r="G59" s="2">
        <v>91930980000</v>
      </c>
    </row>
    <row r="60" spans="1:7">
      <c r="A60" s="3">
        <v>43405</v>
      </c>
      <c r="B60" s="2">
        <v>2717.580078</v>
      </c>
      <c r="C60" s="2">
        <v>2815.1499020000001</v>
      </c>
      <c r="D60" s="2">
        <v>2631.0900879999999</v>
      </c>
      <c r="E60" s="2">
        <v>2760.169922</v>
      </c>
      <c r="F60" s="2">
        <v>2760.169922</v>
      </c>
      <c r="G60" s="2">
        <v>80620020000</v>
      </c>
    </row>
    <row r="61" spans="1:7">
      <c r="A61" s="3">
        <v>43435</v>
      </c>
      <c r="B61" s="2">
        <v>2790.5</v>
      </c>
      <c r="C61" s="2">
        <v>2800.179932</v>
      </c>
      <c r="D61" s="2">
        <v>2346.580078</v>
      </c>
      <c r="E61" s="2">
        <v>2506.8500979999999</v>
      </c>
      <c r="F61" s="2">
        <v>2506.8500979999999</v>
      </c>
      <c r="G61" s="2">
        <v>84162180000</v>
      </c>
    </row>
    <row r="62" spans="1:7">
      <c r="A62" s="3">
        <v>43466</v>
      </c>
      <c r="B62" s="2">
        <v>2476.959961</v>
      </c>
      <c r="C62" s="2">
        <v>2708.9499510000001</v>
      </c>
      <c r="D62" s="2">
        <v>2443.959961</v>
      </c>
      <c r="E62" s="2">
        <v>2704.1000979999999</v>
      </c>
      <c r="F62" s="2">
        <v>2704.1000979999999</v>
      </c>
      <c r="G62" s="2">
        <v>80859870000</v>
      </c>
    </row>
    <row r="63" spans="1:7">
      <c r="A63" s="3">
        <v>43497</v>
      </c>
      <c r="B63" s="2">
        <v>2702.320068</v>
      </c>
      <c r="C63" s="2">
        <v>2813.48999</v>
      </c>
      <c r="D63" s="2">
        <v>2681.830078</v>
      </c>
      <c r="E63" s="2">
        <v>2784.48999</v>
      </c>
      <c r="F63" s="2">
        <v>2784.48999</v>
      </c>
      <c r="G63" s="2">
        <v>70638770000</v>
      </c>
    </row>
    <row r="64" spans="1:7">
      <c r="A64" s="3">
        <v>43525</v>
      </c>
      <c r="B64" s="2">
        <v>2798.219971</v>
      </c>
      <c r="C64" s="2">
        <v>2860.3100589999999</v>
      </c>
      <c r="D64" s="2">
        <v>2722.2700199999999</v>
      </c>
      <c r="E64" s="2">
        <v>2834.3999020000001</v>
      </c>
      <c r="F64" s="2">
        <v>2834.3999020000001</v>
      </c>
      <c r="G64" s="2">
        <v>79159660000</v>
      </c>
    </row>
    <row r="65" spans="1:7">
      <c r="A65" s="3">
        <v>43556</v>
      </c>
      <c r="B65" s="2">
        <v>2848.6298830000001</v>
      </c>
      <c r="C65" s="2">
        <v>2949.5200199999999</v>
      </c>
      <c r="D65" s="2">
        <v>2848.6298830000001</v>
      </c>
      <c r="E65" s="2">
        <v>2945.830078</v>
      </c>
      <c r="F65" s="2">
        <v>2945.830078</v>
      </c>
      <c r="G65" s="2">
        <v>70090370000</v>
      </c>
    </row>
    <row r="66" spans="1:7">
      <c r="A66" s="3">
        <v>43586</v>
      </c>
      <c r="B66" s="2">
        <v>2952.330078</v>
      </c>
      <c r="C66" s="2">
        <v>2954.1298830000001</v>
      </c>
      <c r="D66" s="2">
        <v>2750.5200199999999</v>
      </c>
      <c r="E66" s="2">
        <v>2752.0600589999999</v>
      </c>
      <c r="F66" s="2">
        <v>2752.0600589999999</v>
      </c>
      <c r="G66" s="2">
        <v>77250740000</v>
      </c>
    </row>
    <row r="67" spans="1:7">
      <c r="A67" s="3">
        <v>43617</v>
      </c>
      <c r="B67" s="2">
        <v>2751.530029</v>
      </c>
      <c r="C67" s="2">
        <v>2964.1499020000001</v>
      </c>
      <c r="D67" s="2">
        <v>2728.8100589999999</v>
      </c>
      <c r="E67" s="2">
        <v>2941.76001</v>
      </c>
      <c r="F67" s="2">
        <v>2941.76001</v>
      </c>
      <c r="G67" s="2">
        <v>71250630000</v>
      </c>
    </row>
    <row r="68" spans="1:7">
      <c r="A68" s="3">
        <v>43647</v>
      </c>
      <c r="B68" s="2">
        <v>2971.4099120000001</v>
      </c>
      <c r="C68" s="2">
        <v>3027.9799800000001</v>
      </c>
      <c r="D68" s="2">
        <v>2952.219971</v>
      </c>
      <c r="E68" s="2">
        <v>2980.3798830000001</v>
      </c>
      <c r="F68" s="2">
        <v>2980.3798830000001</v>
      </c>
      <c r="G68" s="2">
        <v>70599470000</v>
      </c>
    </row>
    <row r="69" spans="1:7">
      <c r="A69" s="3">
        <v>43678</v>
      </c>
      <c r="B69" s="2">
        <v>2980.320068</v>
      </c>
      <c r="C69" s="2">
        <v>3013.5900879999999</v>
      </c>
      <c r="D69" s="2">
        <v>2822.1201169999999</v>
      </c>
      <c r="E69" s="2">
        <v>2926.459961</v>
      </c>
      <c r="F69" s="2">
        <v>2926.459961</v>
      </c>
      <c r="G69" s="2">
        <v>80269220000</v>
      </c>
    </row>
    <row r="70" spans="1:7">
      <c r="A70" s="3">
        <v>43709</v>
      </c>
      <c r="B70" s="2">
        <v>2909.01001</v>
      </c>
      <c r="C70" s="2">
        <v>3021.98999</v>
      </c>
      <c r="D70" s="2">
        <v>2891.8500979999999</v>
      </c>
      <c r="E70" s="2">
        <v>2976.73999</v>
      </c>
      <c r="F70" s="2">
        <v>2976.73999</v>
      </c>
      <c r="G70" s="2">
        <v>74178980000</v>
      </c>
    </row>
    <row r="71" spans="1:7">
      <c r="A71" s="3">
        <v>43739</v>
      </c>
      <c r="B71" s="2">
        <v>2983.6899410000001</v>
      </c>
      <c r="C71" s="2">
        <v>3050.1000979999999</v>
      </c>
      <c r="D71" s="2">
        <v>2855.9399410000001</v>
      </c>
      <c r="E71" s="2">
        <v>3037.5600589999999</v>
      </c>
      <c r="F71" s="2">
        <v>3037.5600589999999</v>
      </c>
      <c r="G71" s="2">
        <v>77720640000</v>
      </c>
    </row>
    <row r="72" spans="1:7">
      <c r="A72" s="3">
        <v>43770</v>
      </c>
      <c r="B72" s="2">
        <v>3050.719971</v>
      </c>
      <c r="C72" s="2">
        <v>3154.26001</v>
      </c>
      <c r="D72" s="2">
        <v>3050.719971</v>
      </c>
      <c r="E72" s="2">
        <v>3140.9799800000001</v>
      </c>
      <c r="F72" s="2">
        <v>3140.9799800000001</v>
      </c>
      <c r="G72" s="2">
        <v>72410620000</v>
      </c>
    </row>
    <row r="73" spans="1:7">
      <c r="A73" s="3">
        <v>43800</v>
      </c>
      <c r="B73" s="2">
        <v>3143.8500979999999</v>
      </c>
      <c r="C73" s="2">
        <v>3247.929932</v>
      </c>
      <c r="D73" s="2">
        <v>3070.330078</v>
      </c>
      <c r="E73" s="2">
        <v>3230.780029</v>
      </c>
      <c r="F73" s="2">
        <v>3230.780029</v>
      </c>
      <c r="G73" s="2">
        <v>72325540000</v>
      </c>
    </row>
    <row r="74" spans="1:7">
      <c r="A74" s="3">
        <v>43831</v>
      </c>
      <c r="B74" s="2">
        <v>3244.669922</v>
      </c>
      <c r="C74" s="2">
        <v>3337.7700199999999</v>
      </c>
      <c r="D74" s="2">
        <v>3214.639893</v>
      </c>
      <c r="E74" s="2">
        <v>3225.5200199999999</v>
      </c>
      <c r="F74" s="2">
        <v>3225.5200199999999</v>
      </c>
      <c r="G74" s="2">
        <v>77287980000</v>
      </c>
    </row>
    <row r="75" spans="1:7">
      <c r="A75" s="3">
        <v>43862</v>
      </c>
      <c r="B75" s="2">
        <v>3235.6599120000001</v>
      </c>
      <c r="C75" s="2">
        <v>3393.5200199999999</v>
      </c>
      <c r="D75" s="2">
        <v>2855.8400879999999</v>
      </c>
      <c r="E75" s="2">
        <v>2954.219971</v>
      </c>
      <c r="F75" s="2">
        <v>2954.219971</v>
      </c>
      <c r="G75" s="2">
        <v>84436590000</v>
      </c>
    </row>
    <row r="76" spans="1:7">
      <c r="A76" s="3">
        <v>43891</v>
      </c>
      <c r="B76" s="2">
        <v>2974.280029</v>
      </c>
      <c r="C76" s="2">
        <v>3136.719971</v>
      </c>
      <c r="D76" s="2">
        <v>2191.860107</v>
      </c>
      <c r="E76" s="2">
        <v>2584.5900879999999</v>
      </c>
      <c r="F76" s="2">
        <v>2584.5900879999999</v>
      </c>
      <c r="G76" s="2">
        <v>162185380000</v>
      </c>
    </row>
    <row r="77" spans="1:7">
      <c r="A77" s="3">
        <v>43922</v>
      </c>
      <c r="B77" s="2">
        <v>2498.080078</v>
      </c>
      <c r="C77" s="2">
        <v>2954.860107</v>
      </c>
      <c r="D77" s="2">
        <v>2447.48999</v>
      </c>
      <c r="E77" s="2">
        <v>2912.429932</v>
      </c>
      <c r="F77" s="2">
        <v>2912.429932</v>
      </c>
      <c r="G77" s="2">
        <v>123608160000</v>
      </c>
    </row>
    <row r="78" spans="1:7">
      <c r="A78" s="3">
        <v>43952</v>
      </c>
      <c r="B78" s="2">
        <v>2869.0900879999999</v>
      </c>
      <c r="C78" s="2">
        <v>3068.669922</v>
      </c>
      <c r="D78" s="2">
        <v>2766.639893</v>
      </c>
      <c r="E78" s="2">
        <v>3044.3100589999999</v>
      </c>
      <c r="F78" s="2">
        <v>3044.3100589999999</v>
      </c>
      <c r="G78" s="2">
        <v>107135190000</v>
      </c>
    </row>
    <row r="79" spans="1:7">
      <c r="A79" s="3">
        <v>43983</v>
      </c>
      <c r="B79" s="2">
        <v>3038.780029</v>
      </c>
      <c r="C79" s="2">
        <v>3233.1298830000001</v>
      </c>
      <c r="D79" s="2">
        <v>2965.6599120000001</v>
      </c>
      <c r="E79" s="2">
        <v>3100.290039</v>
      </c>
      <c r="F79" s="2">
        <v>3100.290039</v>
      </c>
      <c r="G79" s="2">
        <v>131458880000</v>
      </c>
    </row>
    <row r="80" spans="1:7">
      <c r="A80" s="3">
        <v>44013</v>
      </c>
      <c r="B80" s="2">
        <v>3105.919922</v>
      </c>
      <c r="C80" s="2">
        <v>3279.98999</v>
      </c>
      <c r="D80" s="2">
        <v>3101.169922</v>
      </c>
      <c r="E80" s="2">
        <v>3271.1201169999999</v>
      </c>
      <c r="F80" s="2">
        <v>3271.1201169999999</v>
      </c>
      <c r="G80" s="2">
        <v>96928130000</v>
      </c>
    </row>
    <row r="81" spans="1:7">
      <c r="A81" s="3">
        <v>44044</v>
      </c>
      <c r="B81" s="2">
        <v>3288.26001</v>
      </c>
      <c r="C81" s="2">
        <v>3514.7700199999999</v>
      </c>
      <c r="D81" s="2">
        <v>3284.530029</v>
      </c>
      <c r="E81" s="2">
        <v>3500.3100589999999</v>
      </c>
      <c r="F81" s="2">
        <v>3500.3100589999999</v>
      </c>
      <c r="G81" s="2">
        <v>82466520000</v>
      </c>
    </row>
    <row r="82" spans="1:7">
      <c r="A82" s="3">
        <v>44075</v>
      </c>
      <c r="B82" s="2">
        <v>3507.4399410000001</v>
      </c>
      <c r="C82" s="2">
        <v>3588.110107</v>
      </c>
      <c r="D82" s="2">
        <v>3209.4499510000001</v>
      </c>
      <c r="E82" s="2">
        <v>3363</v>
      </c>
      <c r="F82" s="2">
        <v>3363</v>
      </c>
      <c r="G82" s="2">
        <v>92310780000</v>
      </c>
    </row>
    <row r="83" spans="1:7">
      <c r="A83" s="3">
        <v>44105</v>
      </c>
      <c r="B83" s="2">
        <v>3385.8701169999999</v>
      </c>
      <c r="C83" s="2">
        <v>3549.8500979999999</v>
      </c>
      <c r="D83" s="2">
        <v>3233.9399410000001</v>
      </c>
      <c r="E83" s="2">
        <v>3269.959961</v>
      </c>
      <c r="F83" s="2">
        <v>3269.959961</v>
      </c>
      <c r="G83" s="2">
        <v>89938980000</v>
      </c>
    </row>
    <row r="84" spans="1:7">
      <c r="A84" s="3">
        <v>44136</v>
      </c>
      <c r="B84" s="2">
        <v>3296.1999510000001</v>
      </c>
      <c r="C84" s="2">
        <v>3645.98999</v>
      </c>
      <c r="D84" s="2">
        <v>3279.73999</v>
      </c>
      <c r="E84" s="2">
        <v>3621.6298830000001</v>
      </c>
      <c r="F84" s="2">
        <v>3621.6298830000001</v>
      </c>
      <c r="G84" s="2">
        <v>101247180000</v>
      </c>
    </row>
    <row r="85" spans="1:7">
      <c r="A85" s="3">
        <v>44166</v>
      </c>
      <c r="B85" s="2">
        <v>3645.8701169999999</v>
      </c>
      <c r="C85" s="2">
        <v>3760.1999510000001</v>
      </c>
      <c r="D85" s="2">
        <v>3633.3999020000001</v>
      </c>
      <c r="E85" s="2">
        <v>3756.070068</v>
      </c>
      <c r="F85" s="2">
        <v>3756.070068</v>
      </c>
      <c r="G85" s="2">
        <v>96375680000</v>
      </c>
    </row>
    <row r="86" spans="1:7">
      <c r="A86" s="3">
        <v>44197</v>
      </c>
      <c r="B86" s="2">
        <v>3764.610107</v>
      </c>
      <c r="C86" s="2">
        <v>3870.8999020000001</v>
      </c>
      <c r="D86" s="2">
        <v>3662.709961</v>
      </c>
      <c r="E86" s="2">
        <v>3714.23999</v>
      </c>
      <c r="F86" s="2">
        <v>3714.23999</v>
      </c>
      <c r="G86" s="2">
        <v>106117800000</v>
      </c>
    </row>
    <row r="87" spans="1:7">
      <c r="A87" s="3">
        <v>44228</v>
      </c>
      <c r="B87" s="2">
        <v>3731.169922</v>
      </c>
      <c r="C87" s="2">
        <v>3950.429932</v>
      </c>
      <c r="D87" s="2">
        <v>3725.6201169999999</v>
      </c>
      <c r="E87" s="2">
        <v>3811.1499020000001</v>
      </c>
      <c r="F87" s="2">
        <v>3811.1499020000001</v>
      </c>
      <c r="G87" s="2">
        <v>99082320000</v>
      </c>
    </row>
    <row r="88" spans="1:7">
      <c r="A88" s="3">
        <v>44256</v>
      </c>
      <c r="B88" s="2">
        <v>3842.51001</v>
      </c>
      <c r="C88" s="2">
        <v>3994.4099120000001</v>
      </c>
      <c r="D88" s="2">
        <v>3723.3400879999999</v>
      </c>
      <c r="E88" s="2">
        <v>3972.889893</v>
      </c>
      <c r="F88" s="2">
        <v>3972.889893</v>
      </c>
      <c r="G88" s="2">
        <v>122371150000</v>
      </c>
    </row>
    <row r="89" spans="1:7">
      <c r="A89" s="3">
        <v>44287</v>
      </c>
      <c r="B89" s="2">
        <v>3992.780029</v>
      </c>
      <c r="C89" s="2">
        <v>4218.7797849999997</v>
      </c>
      <c r="D89" s="2">
        <v>3992.780029</v>
      </c>
      <c r="E89" s="2">
        <v>4181.169922</v>
      </c>
      <c r="F89" s="2">
        <v>4181.169922</v>
      </c>
      <c r="G89" s="2">
        <v>83124090000</v>
      </c>
    </row>
    <row r="90" spans="1:7">
      <c r="A90" s="3">
        <v>44317</v>
      </c>
      <c r="B90" s="2">
        <v>4191.9799800000001</v>
      </c>
      <c r="C90" s="2">
        <v>4238.0400390000004</v>
      </c>
      <c r="D90" s="2">
        <v>4056.8798830000001</v>
      </c>
      <c r="E90" s="2">
        <v>4204.1098629999997</v>
      </c>
      <c r="F90" s="2">
        <v>4204.1098629999997</v>
      </c>
      <c r="G90" s="2">
        <v>88321860000</v>
      </c>
    </row>
    <row r="91" spans="1:7">
      <c r="A91" s="3">
        <v>44348</v>
      </c>
      <c r="B91" s="2">
        <v>4216.5200199999999</v>
      </c>
      <c r="C91" s="2">
        <v>4302.4301759999998</v>
      </c>
      <c r="D91" s="2">
        <v>4164.3999020000001</v>
      </c>
      <c r="E91" s="2">
        <v>4297.5</v>
      </c>
      <c r="F91" s="2">
        <v>4297.5</v>
      </c>
      <c r="G91" s="2">
        <v>102544180000</v>
      </c>
    </row>
    <row r="92" spans="1:7">
      <c r="A92" s="3">
        <v>44378</v>
      </c>
      <c r="B92" s="2">
        <v>4300.7299800000001</v>
      </c>
      <c r="C92" s="2">
        <v>4429.9702150000003</v>
      </c>
      <c r="D92" s="2">
        <v>4233.1298829999996</v>
      </c>
      <c r="E92" s="2">
        <v>4395.2597660000001</v>
      </c>
      <c r="F92" s="2">
        <v>4395.2597660000001</v>
      </c>
      <c r="G92" s="2">
        <v>84255620000</v>
      </c>
    </row>
    <row r="93" spans="1:7">
      <c r="A93" s="3">
        <v>44409</v>
      </c>
      <c r="B93" s="2">
        <v>4406.8598629999997</v>
      </c>
      <c r="C93" s="2">
        <v>4537.3598629999997</v>
      </c>
      <c r="D93" s="2">
        <v>4367.7299800000001</v>
      </c>
      <c r="E93" s="2">
        <v>4522.6801759999998</v>
      </c>
      <c r="F93" s="2">
        <v>4522.6801759999998</v>
      </c>
      <c r="G93" s="2">
        <v>80500760000</v>
      </c>
    </row>
    <row r="94" spans="1:7">
      <c r="A94" s="3">
        <v>44440</v>
      </c>
      <c r="B94" s="2">
        <v>4528.7998049999997</v>
      </c>
      <c r="C94" s="2">
        <v>4545.8500979999999</v>
      </c>
      <c r="D94" s="2">
        <v>4305.9101559999999</v>
      </c>
      <c r="E94" s="2">
        <v>4307.5400390000004</v>
      </c>
      <c r="F94" s="2">
        <v>4307.5400390000004</v>
      </c>
      <c r="G94" s="2">
        <v>85528860000</v>
      </c>
    </row>
    <row r="95" spans="1:7">
      <c r="A95" s="3">
        <v>44470</v>
      </c>
      <c r="B95" s="2">
        <v>4317.1601559999999</v>
      </c>
      <c r="C95" s="2">
        <v>4608.080078</v>
      </c>
      <c r="D95" s="2">
        <v>4278.9399409999996</v>
      </c>
      <c r="E95" s="2">
        <v>4605.3798829999996</v>
      </c>
      <c r="F95" s="2">
        <v>4605.3798829999996</v>
      </c>
      <c r="G95" s="2">
        <v>80253600000</v>
      </c>
    </row>
    <row r="96" spans="1:7">
      <c r="A96" s="3">
        <v>44501</v>
      </c>
      <c r="B96" s="2">
        <v>4610.6201170000004</v>
      </c>
      <c r="C96" s="2">
        <v>4743.830078</v>
      </c>
      <c r="D96" s="2">
        <v>4560</v>
      </c>
      <c r="E96" s="2">
        <v>4567</v>
      </c>
      <c r="F96" s="2">
        <v>4567</v>
      </c>
      <c r="G96" s="2">
        <v>88268840000</v>
      </c>
    </row>
    <row r="97" spans="1:7">
      <c r="A97" s="3">
        <v>44531</v>
      </c>
      <c r="B97" s="2">
        <v>4602.8198240000002</v>
      </c>
      <c r="C97" s="2">
        <v>4808.9301759999998</v>
      </c>
      <c r="D97" s="2">
        <v>4495.1201170000004</v>
      </c>
      <c r="E97" s="2">
        <v>4766.1801759999998</v>
      </c>
      <c r="F97" s="2">
        <v>4766.1801759999998</v>
      </c>
      <c r="G97" s="2">
        <v>92750180000</v>
      </c>
    </row>
    <row r="98" spans="1:7">
      <c r="A98" s="3">
        <v>44562</v>
      </c>
      <c r="B98" s="2">
        <v>4778.1401370000003</v>
      </c>
      <c r="C98" s="2">
        <v>4818.6201170000004</v>
      </c>
      <c r="D98" s="2">
        <v>4222.6201170000004</v>
      </c>
      <c r="E98" s="2">
        <v>4515.5498049999997</v>
      </c>
      <c r="F98" s="2">
        <v>4515.5498049999997</v>
      </c>
      <c r="G98" s="2">
        <v>95562890000</v>
      </c>
    </row>
    <row r="99" spans="1:7">
      <c r="A99" s="3">
        <v>44593</v>
      </c>
      <c r="B99" s="2">
        <v>4519.5698240000002</v>
      </c>
      <c r="C99" s="2">
        <v>4595.3100590000004</v>
      </c>
      <c r="D99" s="2">
        <v>4114.6499020000001</v>
      </c>
      <c r="E99" s="2">
        <v>4373.9399409999996</v>
      </c>
      <c r="F99" s="2">
        <v>4373.9399409999996</v>
      </c>
      <c r="G99" s="2">
        <v>92667710000</v>
      </c>
    </row>
    <row r="100" spans="1:7">
      <c r="A100" s="3">
        <v>44621</v>
      </c>
      <c r="B100" s="2">
        <v>4363.1401370000003</v>
      </c>
      <c r="C100" s="2">
        <v>4637.2998049999997</v>
      </c>
      <c r="D100" s="2">
        <v>4157.8701170000004</v>
      </c>
      <c r="E100" s="2">
        <v>4530.4101559999999</v>
      </c>
      <c r="F100" s="2">
        <v>4530.4101559999999</v>
      </c>
      <c r="G100" s="2">
        <v>123546260000</v>
      </c>
    </row>
    <row r="101" spans="1:7">
      <c r="A101" s="3">
        <v>44652</v>
      </c>
      <c r="B101" s="2">
        <v>4540.3198240000002</v>
      </c>
      <c r="C101" s="2">
        <v>4593.4501950000003</v>
      </c>
      <c r="D101" s="2">
        <v>4124.2797849999997</v>
      </c>
      <c r="E101" s="2">
        <v>4131.9301759999998</v>
      </c>
      <c r="F101" s="2">
        <v>4131.9301759999998</v>
      </c>
      <c r="G101" s="2">
        <v>90367840000</v>
      </c>
    </row>
    <row r="102" spans="1:7">
      <c r="A102" s="3">
        <v>44682</v>
      </c>
      <c r="B102" s="2">
        <v>4130.6098629999997</v>
      </c>
      <c r="C102" s="2">
        <v>4307.6601559999999</v>
      </c>
      <c r="D102" s="2">
        <v>3810.320068</v>
      </c>
      <c r="E102" s="2">
        <v>4132.1499020000001</v>
      </c>
      <c r="F102" s="2">
        <v>4132.1499020000001</v>
      </c>
      <c r="G102" s="2">
        <v>108860390000</v>
      </c>
    </row>
    <row r="103" spans="1:7">
      <c r="A103" s="3">
        <v>44713</v>
      </c>
      <c r="B103" s="2">
        <v>4149.7797849999997</v>
      </c>
      <c r="C103" s="2">
        <v>4177.5097660000001</v>
      </c>
      <c r="D103" s="2">
        <v>3636.8701169999999</v>
      </c>
      <c r="E103" s="2">
        <v>3785.3798830000001</v>
      </c>
      <c r="F103" s="2">
        <v>3785.3798830000001</v>
      </c>
      <c r="G103" s="2">
        <v>106116710000</v>
      </c>
    </row>
    <row r="104" spans="1:7">
      <c r="A104" s="3">
        <v>44743</v>
      </c>
      <c r="B104" s="2">
        <v>3781</v>
      </c>
      <c r="C104" s="2">
        <v>4140.1499020000001</v>
      </c>
      <c r="D104" s="2">
        <v>3721.5600589999999</v>
      </c>
      <c r="E104" s="2">
        <v>4130.2900390000004</v>
      </c>
      <c r="F104" s="2">
        <v>4130.2900390000004</v>
      </c>
      <c r="G104" s="2">
        <v>81688320000</v>
      </c>
    </row>
    <row r="105" spans="1:7">
      <c r="A105" s="3">
        <v>44774</v>
      </c>
      <c r="B105" s="2">
        <v>4112.3798829999996</v>
      </c>
      <c r="C105" s="2">
        <v>4325.2797849999997</v>
      </c>
      <c r="D105" s="2">
        <v>3954.530029</v>
      </c>
      <c r="E105" s="2">
        <v>3955</v>
      </c>
      <c r="F105" s="2">
        <v>3955</v>
      </c>
      <c r="G105" s="2">
        <v>92252350000</v>
      </c>
    </row>
    <row r="106" spans="1:7">
      <c r="A106" s="3">
        <v>44805</v>
      </c>
      <c r="B106" s="2">
        <v>3936.7299800000001</v>
      </c>
      <c r="C106" s="2">
        <v>4119.2797849999997</v>
      </c>
      <c r="D106" s="2">
        <v>3584.1298830000001</v>
      </c>
      <c r="E106" s="2">
        <v>3585.6201169999999</v>
      </c>
      <c r="F106" s="2">
        <v>3585.6201169999999</v>
      </c>
      <c r="G106" s="2">
        <v>94241020000</v>
      </c>
    </row>
    <row r="107" spans="1:7">
      <c r="A107" s="3">
        <v>44835</v>
      </c>
      <c r="B107" s="2">
        <v>3609.780029</v>
      </c>
      <c r="C107" s="2">
        <v>3905.419922</v>
      </c>
      <c r="D107" s="2">
        <v>3491.580078</v>
      </c>
      <c r="E107" s="2">
        <v>3871.9799800000001</v>
      </c>
      <c r="F107" s="2">
        <v>3871.9799800000001</v>
      </c>
      <c r="G107" s="2">
        <v>95823760000</v>
      </c>
    </row>
    <row r="108" spans="1:7">
      <c r="A108" s="3">
        <v>44866</v>
      </c>
      <c r="B108" s="2">
        <v>3901.790039</v>
      </c>
      <c r="C108" s="2">
        <v>4080.110107</v>
      </c>
      <c r="D108" s="2">
        <v>3698.1499020000001</v>
      </c>
      <c r="E108" s="2">
        <v>4080.110107</v>
      </c>
      <c r="F108" s="2">
        <v>4080.110107</v>
      </c>
      <c r="G108" s="2">
        <v>92671910000</v>
      </c>
    </row>
    <row r="109" spans="1:7">
      <c r="A109" s="3">
        <v>44896</v>
      </c>
      <c r="B109" s="2">
        <v>4087.139893</v>
      </c>
      <c r="C109" s="2">
        <v>4100.9599609999996</v>
      </c>
      <c r="D109" s="2">
        <v>3764.48999</v>
      </c>
      <c r="E109" s="2">
        <v>3839.5</v>
      </c>
      <c r="F109" s="2">
        <v>3839.5</v>
      </c>
      <c r="G109" s="2">
        <v>85249330000</v>
      </c>
    </row>
    <row r="110" spans="1:7">
      <c r="A110" s="3">
        <v>44927</v>
      </c>
      <c r="B110" s="2">
        <v>3853.290039</v>
      </c>
      <c r="C110" s="2">
        <v>4094.209961</v>
      </c>
      <c r="D110" s="2">
        <v>3794.330078</v>
      </c>
      <c r="E110" s="2">
        <v>4076.6000979999999</v>
      </c>
      <c r="F110" s="2">
        <v>4076.6000979999999</v>
      </c>
      <c r="G110" s="2">
        <v>80763810000</v>
      </c>
    </row>
    <row r="111" spans="1:7">
      <c r="A111" s="3">
        <v>44958</v>
      </c>
      <c r="B111" s="2">
        <v>4070.070068</v>
      </c>
      <c r="C111" s="2">
        <v>4195.4399409999996</v>
      </c>
      <c r="D111" s="2">
        <v>3943.080078</v>
      </c>
      <c r="E111" s="2">
        <v>3970.1499020000001</v>
      </c>
      <c r="F111" s="2">
        <v>3970.1499020000001</v>
      </c>
      <c r="G111" s="2">
        <v>80392280000</v>
      </c>
    </row>
    <row r="112" spans="1:7">
      <c r="A112" s="3">
        <v>44986</v>
      </c>
      <c r="B112" s="2">
        <v>3963.3400879999999</v>
      </c>
      <c r="C112" s="2">
        <v>4110.75</v>
      </c>
      <c r="D112" s="2">
        <v>3808.860107</v>
      </c>
      <c r="E112" s="2">
        <v>4109.3100590000004</v>
      </c>
      <c r="F112" s="2">
        <v>4109.3100590000004</v>
      </c>
      <c r="G112" s="2">
        <v>113094800000</v>
      </c>
    </row>
    <row r="113" spans="1:7">
      <c r="A113" s="3">
        <v>45017</v>
      </c>
      <c r="B113" s="2">
        <v>4102.2001950000003</v>
      </c>
      <c r="C113" s="2">
        <v>4170.0600590000004</v>
      </c>
      <c r="D113" s="2">
        <v>4049.3500979999999</v>
      </c>
      <c r="E113" s="2">
        <v>4169.4799800000001</v>
      </c>
      <c r="F113" s="2">
        <v>4169.4799800000001</v>
      </c>
      <c r="G113" s="2">
        <v>70861260000</v>
      </c>
    </row>
    <row r="114" spans="1:7">
      <c r="A114" s="3">
        <v>45047</v>
      </c>
      <c r="B114" s="2">
        <v>4166.7900390000004</v>
      </c>
      <c r="C114" s="2">
        <v>4231.1000979999999</v>
      </c>
      <c r="D114" s="2">
        <v>4048.280029</v>
      </c>
      <c r="E114" s="2">
        <v>4179.830078</v>
      </c>
      <c r="F114" s="2">
        <v>4179.830078</v>
      </c>
      <c r="G114" s="2">
        <v>88929200000</v>
      </c>
    </row>
    <row r="115" spans="1:7">
      <c r="A115" s="3">
        <v>45078</v>
      </c>
      <c r="B115" s="2">
        <v>4183.0297849999997</v>
      </c>
      <c r="C115" s="2">
        <v>4458.4799800000001</v>
      </c>
      <c r="D115" s="2">
        <v>4171.6401370000003</v>
      </c>
      <c r="E115" s="2">
        <v>4450.3798829999996</v>
      </c>
      <c r="F115" s="2">
        <v>4450.3798829999996</v>
      </c>
      <c r="G115" s="2">
        <v>87983140000</v>
      </c>
    </row>
    <row r="116" spans="1:7">
      <c r="A116" s="3">
        <v>45108</v>
      </c>
      <c r="B116" s="2">
        <v>4450.4799800000001</v>
      </c>
      <c r="C116" s="2">
        <v>4607.0698240000002</v>
      </c>
      <c r="D116" s="2">
        <v>4385.0498049999997</v>
      </c>
      <c r="E116" s="2">
        <v>4588.9599609999996</v>
      </c>
      <c r="F116" s="2">
        <v>4588.9599609999996</v>
      </c>
      <c r="G116" s="2">
        <v>75063200000</v>
      </c>
    </row>
    <row r="117" spans="1:7">
      <c r="A117" s="3">
        <v>45139</v>
      </c>
      <c r="B117" s="2">
        <v>4578.830078</v>
      </c>
      <c r="C117" s="2">
        <v>4584.6201170000004</v>
      </c>
      <c r="D117" s="2">
        <v>4335.3100590000004</v>
      </c>
      <c r="E117" s="2">
        <v>4507.6601559999999</v>
      </c>
      <c r="F117" s="2">
        <v>4507.6601559999999</v>
      </c>
      <c r="G117" s="2">
        <v>86840820000</v>
      </c>
    </row>
    <row r="118" spans="1:7">
      <c r="A118" s="3">
        <v>45170</v>
      </c>
      <c r="B118" s="2">
        <v>4530.6000979999999</v>
      </c>
      <c r="C118" s="2">
        <v>4541.25</v>
      </c>
      <c r="D118" s="2">
        <v>4238.6298829999996</v>
      </c>
      <c r="E118" s="2">
        <v>4288.0498049999997</v>
      </c>
      <c r="F118" s="2">
        <v>4288.0498049999997</v>
      </c>
      <c r="G118" s="2">
        <v>73482980000</v>
      </c>
    </row>
    <row r="119" spans="1:7">
      <c r="A119" s="3">
        <v>45200</v>
      </c>
      <c r="B119" s="2">
        <v>4284.5200199999999</v>
      </c>
      <c r="C119" s="2">
        <v>4393.5698240000002</v>
      </c>
      <c r="D119" s="2">
        <v>4103.7797849999997</v>
      </c>
      <c r="E119" s="2">
        <v>4193.7998049999997</v>
      </c>
      <c r="F119" s="2">
        <v>4193.7998049999997</v>
      </c>
      <c r="G119" s="2">
        <v>79952900000</v>
      </c>
    </row>
    <row r="120" spans="1:7">
      <c r="A120" s="3">
        <v>45231</v>
      </c>
      <c r="B120" s="2">
        <v>4201.2700199999999</v>
      </c>
      <c r="C120" s="2">
        <v>4587.6401370000003</v>
      </c>
      <c r="D120" s="2">
        <v>4197.7402339999999</v>
      </c>
      <c r="E120" s="2">
        <v>4567.7998049999997</v>
      </c>
      <c r="F120" s="2">
        <v>4567.7998049999997</v>
      </c>
      <c r="G120" s="2">
        <v>80970570000</v>
      </c>
    </row>
    <row r="121" spans="1:7">
      <c r="A121" s="3">
        <v>45261</v>
      </c>
      <c r="B121" s="2">
        <v>4559.4301759999998</v>
      </c>
      <c r="C121" s="2">
        <v>4599.3901370000003</v>
      </c>
      <c r="D121" s="2">
        <v>4546.5</v>
      </c>
      <c r="E121" s="2">
        <v>4549.3398440000001</v>
      </c>
      <c r="F121" s="2">
        <v>4549.3398440000001</v>
      </c>
      <c r="G121" s="2">
        <v>16922660000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6A32E-7E6E-4A4E-B312-DE27FFA94F3B}">
  <dimension ref="A1:E121"/>
  <sheetViews>
    <sheetView workbookViewId="0">
      <selection sqref="A1:E121"/>
    </sheetView>
  </sheetViews>
  <sheetFormatPr baseColWidth="10" defaultRowHeight="13"/>
  <sheetData>
    <row r="1" spans="1:5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</row>
    <row r="2" spans="1:5">
      <c r="A2" s="4">
        <f>MSFT!A2</f>
        <v>41640</v>
      </c>
      <c r="B2">
        <f>MSFT!F2</f>
        <v>31.863426</v>
      </c>
      <c r="C2">
        <f>SPX!F2</f>
        <v>1782.589966</v>
      </c>
    </row>
    <row r="3" spans="1:5">
      <c r="A3" s="4">
        <f>MSFT!A3</f>
        <v>41671</v>
      </c>
      <c r="B3">
        <f>MSFT!F3</f>
        <v>32.259186</v>
      </c>
      <c r="C3">
        <f>SPX!F3</f>
        <v>1859.4499510000001</v>
      </c>
      <c r="D3">
        <f>B3/B2-1</f>
        <v>1.2420509960228365E-2</v>
      </c>
      <c r="E3">
        <f>C3/C2-1</f>
        <v>4.3117029976595278E-2</v>
      </c>
    </row>
    <row r="4" spans="1:5">
      <c r="A4" s="4">
        <f>MSFT!A4</f>
        <v>41699</v>
      </c>
      <c r="B4">
        <f>MSFT!F4</f>
        <v>34.774731000000003</v>
      </c>
      <c r="C4">
        <f>SPX!F4</f>
        <v>1872.339966</v>
      </c>
      <c r="D4">
        <f t="shared" ref="D4:D67" si="0">B4/B3-1</f>
        <v>7.7979183975690036E-2</v>
      </c>
      <c r="E4">
        <f t="shared" ref="E4:E67" si="1">C4/C3-1</f>
        <v>6.9321656079357474E-3</v>
      </c>
    </row>
    <row r="5" spans="1:5">
      <c r="A5" s="4">
        <f>MSFT!A5</f>
        <v>41730</v>
      </c>
      <c r="B5">
        <f>MSFT!F5</f>
        <v>34.274185000000003</v>
      </c>
      <c r="C5">
        <f>SPX!F5</f>
        <v>1883.9499510000001</v>
      </c>
      <c r="D5">
        <f t="shared" si="0"/>
        <v>-1.439395749747141E-2</v>
      </c>
      <c r="E5">
        <f t="shared" si="1"/>
        <v>6.2007889650528281E-3</v>
      </c>
    </row>
    <row r="6" spans="1:5">
      <c r="A6" s="4">
        <f>MSFT!A6</f>
        <v>41760</v>
      </c>
      <c r="B6">
        <f>MSFT!F6</f>
        <v>34.732300000000002</v>
      </c>
      <c r="C6">
        <f>SPX!F6</f>
        <v>1923.5699460000001</v>
      </c>
      <c r="D6">
        <f t="shared" si="0"/>
        <v>1.3366182157212414E-2</v>
      </c>
      <c r="E6">
        <f t="shared" si="1"/>
        <v>2.1030280012996005E-2</v>
      </c>
    </row>
    <row r="7" spans="1:5">
      <c r="A7" s="4">
        <f>MSFT!A7</f>
        <v>41791</v>
      </c>
      <c r="B7">
        <f>MSFT!F7</f>
        <v>35.626632999999998</v>
      </c>
      <c r="C7">
        <f>SPX!F7</f>
        <v>1960.2299800000001</v>
      </c>
      <c r="D7">
        <f t="shared" si="0"/>
        <v>2.5749316918257437E-2</v>
      </c>
      <c r="E7">
        <f t="shared" si="1"/>
        <v>1.9058331658920569E-2</v>
      </c>
    </row>
    <row r="8" spans="1:5">
      <c r="A8" s="4">
        <f>MSFT!A8</f>
        <v>41821</v>
      </c>
      <c r="B8">
        <f>MSFT!F8</f>
        <v>36.873992999999999</v>
      </c>
      <c r="C8">
        <f>SPX!F8</f>
        <v>1930.670044</v>
      </c>
      <c r="D8">
        <f t="shared" si="0"/>
        <v>3.5012009133728705E-2</v>
      </c>
      <c r="E8">
        <f t="shared" si="1"/>
        <v>-1.5079830581919862E-2</v>
      </c>
    </row>
    <row r="9" spans="1:5">
      <c r="A9" s="4">
        <f>MSFT!A9</f>
        <v>41852</v>
      </c>
      <c r="B9">
        <f>MSFT!F9</f>
        <v>38.813389000000001</v>
      </c>
      <c r="C9">
        <f>SPX!F9</f>
        <v>2003.369995</v>
      </c>
      <c r="D9">
        <f t="shared" si="0"/>
        <v>5.2595226125903949E-2</v>
      </c>
      <c r="E9">
        <f t="shared" si="1"/>
        <v>3.7655295489735119E-2</v>
      </c>
    </row>
    <row r="10" spans="1:5">
      <c r="A10" s="4">
        <f>MSFT!A10</f>
        <v>41883</v>
      </c>
      <c r="B10">
        <f>MSFT!F10</f>
        <v>39.855308999999998</v>
      </c>
      <c r="C10">
        <f>SPX!F10</f>
        <v>1972.290039</v>
      </c>
      <c r="D10">
        <f t="shared" si="0"/>
        <v>2.6844344872847703E-2</v>
      </c>
      <c r="E10">
        <f t="shared" si="1"/>
        <v>-1.5513837223063764E-2</v>
      </c>
    </row>
    <row r="11" spans="1:5">
      <c r="A11" s="4">
        <f>MSFT!A11</f>
        <v>41913</v>
      </c>
      <c r="B11">
        <f>MSFT!F11</f>
        <v>40.362533999999997</v>
      </c>
      <c r="C11">
        <f>SPX!F11</f>
        <v>2018.0500489999999</v>
      </c>
      <c r="D11">
        <f t="shared" si="0"/>
        <v>1.2726660832061309E-2</v>
      </c>
      <c r="E11">
        <f t="shared" si="1"/>
        <v>2.3201460786772321E-2</v>
      </c>
    </row>
    <row r="12" spans="1:5">
      <c r="A12" s="4">
        <f>MSFT!A12</f>
        <v>41944</v>
      </c>
      <c r="B12">
        <f>MSFT!F12</f>
        <v>41.101875</v>
      </c>
      <c r="C12">
        <f>SPX!F12</f>
        <v>2067.5600589999999</v>
      </c>
      <c r="D12">
        <f t="shared" si="0"/>
        <v>1.8317507022725721E-2</v>
      </c>
      <c r="E12">
        <f t="shared" si="1"/>
        <v>2.4533588760364822E-2</v>
      </c>
    </row>
    <row r="13" spans="1:5">
      <c r="A13" s="4">
        <f>MSFT!A13</f>
        <v>41974</v>
      </c>
      <c r="B13">
        <f>MSFT!F13</f>
        <v>40.184562999999997</v>
      </c>
      <c r="C13">
        <f>SPX!F13</f>
        <v>2058.8999020000001</v>
      </c>
      <c r="D13">
        <f t="shared" si="0"/>
        <v>-2.2318008606663331E-2</v>
      </c>
      <c r="E13">
        <f t="shared" si="1"/>
        <v>-4.1885878779204244E-3</v>
      </c>
    </row>
    <row r="14" spans="1:5">
      <c r="A14" s="4">
        <f>MSFT!A14</f>
        <v>42005</v>
      </c>
      <c r="B14">
        <f>MSFT!F14</f>
        <v>34.950626</v>
      </c>
      <c r="C14">
        <f>SPX!F14</f>
        <v>1994.98999</v>
      </c>
      <c r="D14">
        <f t="shared" si="0"/>
        <v>-0.13024745348107925</v>
      </c>
      <c r="E14">
        <f t="shared" si="1"/>
        <v>-3.1040805790470194E-2</v>
      </c>
    </row>
    <row r="15" spans="1:5">
      <c r="A15" s="4">
        <f>MSFT!A15</f>
        <v>42036</v>
      </c>
      <c r="B15">
        <f>MSFT!F15</f>
        <v>37.935253000000003</v>
      </c>
      <c r="C15">
        <f>SPX!F15</f>
        <v>2104.5</v>
      </c>
      <c r="D15">
        <f t="shared" si="0"/>
        <v>8.5395523387764349E-2</v>
      </c>
      <c r="E15">
        <f t="shared" si="1"/>
        <v>5.4892511014553946E-2</v>
      </c>
    </row>
    <row r="16" spans="1:5">
      <c r="A16" s="4">
        <f>MSFT!A16</f>
        <v>42064</v>
      </c>
      <c r="B16">
        <f>MSFT!F16</f>
        <v>35.425873000000003</v>
      </c>
      <c r="C16">
        <f>SPX!F16</f>
        <v>2067.889893</v>
      </c>
      <c r="D16">
        <f t="shared" si="0"/>
        <v>-6.6149025024295982E-2</v>
      </c>
      <c r="E16">
        <f t="shared" si="1"/>
        <v>-1.739610691375626E-2</v>
      </c>
    </row>
    <row r="17" spans="1:5">
      <c r="A17" s="4">
        <f>MSFT!A17</f>
        <v>42095</v>
      </c>
      <c r="B17">
        <f>MSFT!F17</f>
        <v>42.378601000000003</v>
      </c>
      <c r="C17">
        <f>SPX!F17</f>
        <v>2085.51001</v>
      </c>
      <c r="D17">
        <f t="shared" si="0"/>
        <v>0.19626130314417378</v>
      </c>
      <c r="E17">
        <f t="shared" si="1"/>
        <v>8.5208197301247512E-3</v>
      </c>
    </row>
    <row r="18" spans="1:5">
      <c r="A18" s="4">
        <f>MSFT!A18</f>
        <v>42125</v>
      </c>
      <c r="B18">
        <f>MSFT!F18</f>
        <v>40.827744000000003</v>
      </c>
      <c r="C18">
        <f>SPX!F18</f>
        <v>2107.389893</v>
      </c>
      <c r="D18">
        <f t="shared" si="0"/>
        <v>-3.6595285436628711E-2</v>
      </c>
      <c r="E18">
        <f t="shared" si="1"/>
        <v>1.0491382393316817E-2</v>
      </c>
    </row>
    <row r="19" spans="1:5">
      <c r="A19" s="4">
        <f>MSFT!A19</f>
        <v>42156</v>
      </c>
      <c r="B19">
        <f>MSFT!F19</f>
        <v>38.716591000000001</v>
      </c>
      <c r="C19">
        <f>SPX!F19</f>
        <v>2063.110107</v>
      </c>
      <c r="D19">
        <f t="shared" si="0"/>
        <v>-5.1708784105239824E-2</v>
      </c>
      <c r="E19">
        <f t="shared" si="1"/>
        <v>-2.1011672375900514E-2</v>
      </c>
    </row>
    <row r="20" spans="1:5">
      <c r="A20" s="4">
        <f>MSFT!A20</f>
        <v>42186</v>
      </c>
      <c r="B20">
        <f>MSFT!F20</f>
        <v>40.952778000000002</v>
      </c>
      <c r="C20">
        <f>SPX!F20</f>
        <v>2103.8400879999999</v>
      </c>
      <c r="D20">
        <f t="shared" si="0"/>
        <v>5.7757848566781123E-2</v>
      </c>
      <c r="E20">
        <f t="shared" si="1"/>
        <v>1.9742029696721453E-2</v>
      </c>
    </row>
    <row r="21" spans="1:5">
      <c r="A21" s="4">
        <f>MSFT!A21</f>
        <v>42217</v>
      </c>
      <c r="B21">
        <f>MSFT!F21</f>
        <v>38.164138999999999</v>
      </c>
      <c r="C21">
        <f>SPX!F21</f>
        <v>1972.1800539999999</v>
      </c>
      <c r="D21">
        <f t="shared" si="0"/>
        <v>-6.8094013060603698E-2</v>
      </c>
      <c r="E21">
        <f t="shared" si="1"/>
        <v>-6.2580818167202845E-2</v>
      </c>
    </row>
    <row r="22" spans="1:5">
      <c r="A22" s="4">
        <f>MSFT!A22</f>
        <v>42248</v>
      </c>
      <c r="B22">
        <f>MSFT!F22</f>
        <v>39.069012000000001</v>
      </c>
      <c r="C22">
        <f>SPX!F22</f>
        <v>1920.030029</v>
      </c>
      <c r="D22">
        <f t="shared" si="0"/>
        <v>2.3710033128220287E-2</v>
      </c>
      <c r="E22">
        <f t="shared" si="1"/>
        <v>-2.6442831573227132E-2</v>
      </c>
    </row>
    <row r="23" spans="1:5">
      <c r="A23" s="4">
        <f>MSFT!A23</f>
        <v>42278</v>
      </c>
      <c r="B23">
        <f>MSFT!F23</f>
        <v>46.466183000000001</v>
      </c>
      <c r="C23">
        <f>SPX!F23</f>
        <v>2079.360107</v>
      </c>
      <c r="D23">
        <f t="shared" si="0"/>
        <v>0.18933601392325961</v>
      </c>
      <c r="E23">
        <f t="shared" si="1"/>
        <v>8.2983117760394132E-2</v>
      </c>
    </row>
    <row r="24" spans="1:5">
      <c r="A24" s="4">
        <f>MSFT!A24</f>
        <v>42309</v>
      </c>
      <c r="B24">
        <f>MSFT!F24</f>
        <v>47.975616000000002</v>
      </c>
      <c r="C24">
        <f>SPX!F24</f>
        <v>2080.4099120000001</v>
      </c>
      <c r="D24">
        <f t="shared" si="0"/>
        <v>3.2484549032142374E-2</v>
      </c>
      <c r="E24">
        <f t="shared" si="1"/>
        <v>5.0486926072412786E-4</v>
      </c>
    </row>
    <row r="25" spans="1:5">
      <c r="A25" s="4">
        <f>MSFT!A25</f>
        <v>42339</v>
      </c>
      <c r="B25">
        <f>MSFT!F25</f>
        <v>49.303165</v>
      </c>
      <c r="C25">
        <f>SPX!F25</f>
        <v>2043.9399410000001</v>
      </c>
      <c r="D25">
        <f t="shared" si="0"/>
        <v>2.7671327867890172E-2</v>
      </c>
      <c r="E25">
        <f t="shared" si="1"/>
        <v>-1.7530185176314439E-2</v>
      </c>
    </row>
    <row r="26" spans="1:5">
      <c r="A26" s="4">
        <f>MSFT!A26</f>
        <v>42370</v>
      </c>
      <c r="B26">
        <f>MSFT!F26</f>
        <v>48.956595999999998</v>
      </c>
      <c r="C26">
        <f>SPX!F26</f>
        <v>1940.23999</v>
      </c>
      <c r="D26">
        <f t="shared" si="0"/>
        <v>-7.0293458847926482E-3</v>
      </c>
      <c r="E26">
        <f t="shared" si="1"/>
        <v>-5.073532197294639E-2</v>
      </c>
    </row>
    <row r="27" spans="1:5">
      <c r="A27" s="4">
        <f>MSFT!A27</f>
        <v>42401</v>
      </c>
      <c r="B27">
        <f>MSFT!F27</f>
        <v>45.215321000000003</v>
      </c>
      <c r="C27">
        <f>SPX!F27</f>
        <v>1932.2299800000001</v>
      </c>
      <c r="D27">
        <f t="shared" si="0"/>
        <v>-7.6420243760411677E-2</v>
      </c>
      <c r="E27">
        <f t="shared" si="1"/>
        <v>-4.1283604302990717E-3</v>
      </c>
    </row>
    <row r="28" spans="1:5">
      <c r="A28" s="4">
        <f>MSFT!A28</f>
        <v>42430</v>
      </c>
      <c r="B28">
        <f>MSFT!F28</f>
        <v>49.433411</v>
      </c>
      <c r="C28">
        <f>SPX!F28</f>
        <v>2059.73999</v>
      </c>
      <c r="D28">
        <f t="shared" si="0"/>
        <v>9.3288953980886102E-2</v>
      </c>
      <c r="E28">
        <f t="shared" si="1"/>
        <v>6.5991114577365062E-2</v>
      </c>
    </row>
    <row r="29" spans="1:5">
      <c r="A29" s="4">
        <f>MSFT!A29</f>
        <v>42461</v>
      </c>
      <c r="B29">
        <f>MSFT!F29</f>
        <v>44.635967000000001</v>
      </c>
      <c r="C29">
        <f>SPX!F29</f>
        <v>2065.3000489999999</v>
      </c>
      <c r="D29">
        <f t="shared" si="0"/>
        <v>-9.7048613537916717E-2</v>
      </c>
      <c r="E29">
        <f t="shared" si="1"/>
        <v>2.6993984808731941E-3</v>
      </c>
    </row>
    <row r="30" spans="1:5">
      <c r="A30" s="4">
        <f>MSFT!A30</f>
        <v>42491</v>
      </c>
      <c r="B30">
        <f>MSFT!F30</f>
        <v>47.437449999999998</v>
      </c>
      <c r="C30">
        <f>SPX!F30</f>
        <v>2096.9499510000001</v>
      </c>
      <c r="D30">
        <f t="shared" si="0"/>
        <v>6.2762905976698091E-2</v>
      </c>
      <c r="E30">
        <f t="shared" si="1"/>
        <v>1.5324602357572603E-2</v>
      </c>
    </row>
    <row r="31" spans="1:5">
      <c r="A31" s="4">
        <f>MSFT!A31</f>
        <v>42522</v>
      </c>
      <c r="B31">
        <f>MSFT!F31</f>
        <v>46.119858000000001</v>
      </c>
      <c r="C31">
        <f>SPX!F31</f>
        <v>2098.860107</v>
      </c>
      <c r="D31">
        <f t="shared" si="0"/>
        <v>-2.777535470393111E-2</v>
      </c>
      <c r="E31">
        <f t="shared" si="1"/>
        <v>9.1092112097812539E-4</v>
      </c>
    </row>
    <row r="32" spans="1:5">
      <c r="A32" s="4">
        <f>MSFT!A32</f>
        <v>42552</v>
      </c>
      <c r="B32">
        <f>MSFT!F32</f>
        <v>51.086060000000003</v>
      </c>
      <c r="C32">
        <f>SPX!F32</f>
        <v>2173.6000979999999</v>
      </c>
      <c r="D32">
        <f t="shared" si="0"/>
        <v>0.10768034021266937</v>
      </c>
      <c r="E32">
        <f t="shared" si="1"/>
        <v>3.5609801125254359E-2</v>
      </c>
    </row>
    <row r="33" spans="1:5">
      <c r="A33" s="4">
        <f>MSFT!A33</f>
        <v>42583</v>
      </c>
      <c r="B33">
        <f>MSFT!F33</f>
        <v>51.789082000000001</v>
      </c>
      <c r="C33">
        <f>SPX!F33</f>
        <v>2170.9499510000001</v>
      </c>
      <c r="D33">
        <f t="shared" si="0"/>
        <v>1.3761523202219905E-2</v>
      </c>
      <c r="E33">
        <f t="shared" si="1"/>
        <v>-1.2192431360480427E-3</v>
      </c>
    </row>
    <row r="34" spans="1:5">
      <c r="A34" s="4">
        <f>MSFT!A34</f>
        <v>42614</v>
      </c>
      <c r="B34">
        <f>MSFT!F34</f>
        <v>52.238833999999997</v>
      </c>
      <c r="C34">
        <f>SPX!F34</f>
        <v>2168.2700199999999</v>
      </c>
      <c r="D34">
        <f t="shared" si="0"/>
        <v>8.6843014518001027E-3</v>
      </c>
      <c r="E34">
        <f t="shared" si="1"/>
        <v>-1.2344508443253854E-3</v>
      </c>
    </row>
    <row r="35" spans="1:5">
      <c r="A35" s="4">
        <f>MSFT!A35</f>
        <v>42644</v>
      </c>
      <c r="B35">
        <f>MSFT!F35</f>
        <v>54.342888000000002</v>
      </c>
      <c r="C35">
        <f>SPX!F35</f>
        <v>2126.1499020000001</v>
      </c>
      <c r="D35">
        <f t="shared" si="0"/>
        <v>4.0277583531056704E-2</v>
      </c>
      <c r="E35">
        <f t="shared" si="1"/>
        <v>-1.9425679279557517E-2</v>
      </c>
    </row>
    <row r="36" spans="1:5">
      <c r="A36" s="4">
        <f>MSFT!A36</f>
        <v>42675</v>
      </c>
      <c r="B36">
        <f>MSFT!F36</f>
        <v>54.651249</v>
      </c>
      <c r="C36">
        <f>SPX!F36</f>
        <v>2198.8100589999999</v>
      </c>
      <c r="D36">
        <f t="shared" si="0"/>
        <v>5.6743579767051244E-3</v>
      </c>
      <c r="E36">
        <f t="shared" si="1"/>
        <v>3.4174522187570444E-2</v>
      </c>
    </row>
    <row r="37" spans="1:5">
      <c r="A37" s="4">
        <f>MSFT!A37</f>
        <v>42705</v>
      </c>
      <c r="B37">
        <f>MSFT!F37</f>
        <v>56.736984</v>
      </c>
      <c r="C37">
        <f>SPX!F37</f>
        <v>2238.830078</v>
      </c>
      <c r="D37">
        <f t="shared" si="0"/>
        <v>3.81644525635636E-2</v>
      </c>
      <c r="E37">
        <f t="shared" si="1"/>
        <v>1.8200762196895148E-2</v>
      </c>
    </row>
    <row r="38" spans="1:5">
      <c r="A38" s="4">
        <f>MSFT!A38</f>
        <v>42736</v>
      </c>
      <c r="B38">
        <f>MSFT!F38</f>
        <v>59.028748</v>
      </c>
      <c r="C38">
        <f>SPX!F38</f>
        <v>2278.8701169999999</v>
      </c>
      <c r="D38">
        <f t="shared" si="0"/>
        <v>4.0392770965760105E-2</v>
      </c>
      <c r="E38">
        <f t="shared" si="1"/>
        <v>1.7884358171464498E-2</v>
      </c>
    </row>
    <row r="39" spans="1:5">
      <c r="A39" s="4">
        <f>MSFT!A39</f>
        <v>42767</v>
      </c>
      <c r="B39">
        <f>MSFT!F39</f>
        <v>58.416995999999997</v>
      </c>
      <c r="C39">
        <f>SPX!F39</f>
        <v>2363.639893</v>
      </c>
      <c r="D39">
        <f t="shared" si="0"/>
        <v>-1.0363628244326017E-2</v>
      </c>
      <c r="E39">
        <f t="shared" si="1"/>
        <v>3.7198160337279074E-2</v>
      </c>
    </row>
    <row r="40" spans="1:5">
      <c r="A40" s="4">
        <f>MSFT!A40</f>
        <v>42795</v>
      </c>
      <c r="B40">
        <f>MSFT!F40</f>
        <v>60.498100000000001</v>
      </c>
      <c r="C40">
        <f>SPX!F40</f>
        <v>2362.719971</v>
      </c>
      <c r="D40">
        <f t="shared" si="0"/>
        <v>3.5624974622111782E-2</v>
      </c>
      <c r="E40">
        <f t="shared" si="1"/>
        <v>-3.8919718808450021E-4</v>
      </c>
    </row>
    <row r="41" spans="1:5">
      <c r="A41" s="4">
        <f>MSFT!A41</f>
        <v>42826</v>
      </c>
      <c r="B41">
        <f>MSFT!F41</f>
        <v>62.886398</v>
      </c>
      <c r="C41">
        <f>SPX!F41</f>
        <v>2384.1999510000001</v>
      </c>
      <c r="D41">
        <f t="shared" si="0"/>
        <v>3.9477239781084084E-2</v>
      </c>
      <c r="E41">
        <f t="shared" si="1"/>
        <v>9.0912085493182193E-3</v>
      </c>
    </row>
    <row r="42" spans="1:5">
      <c r="A42" s="4">
        <f>MSFT!A42</f>
        <v>42856</v>
      </c>
      <c r="B42">
        <f>MSFT!F42</f>
        <v>64.154053000000005</v>
      </c>
      <c r="C42">
        <f>SPX!F42</f>
        <v>2411.8000489999999</v>
      </c>
      <c r="D42">
        <f t="shared" si="0"/>
        <v>2.0157856711716882E-2</v>
      </c>
      <c r="E42">
        <f t="shared" si="1"/>
        <v>1.157625139134133E-2</v>
      </c>
    </row>
    <row r="43" spans="1:5">
      <c r="A43" s="4">
        <f>MSFT!A43</f>
        <v>42887</v>
      </c>
      <c r="B43">
        <f>MSFT!F43</f>
        <v>63.681091000000002</v>
      </c>
      <c r="C43">
        <f>SPX!F43</f>
        <v>2423.4099120000001</v>
      </c>
      <c r="D43">
        <f t="shared" si="0"/>
        <v>-7.3722855826428013E-3</v>
      </c>
      <c r="E43">
        <f t="shared" si="1"/>
        <v>4.8137750908554544E-3</v>
      </c>
    </row>
    <row r="44" spans="1:5">
      <c r="A44" s="4">
        <f>MSFT!A44</f>
        <v>42917</v>
      </c>
      <c r="B44">
        <f>MSFT!F44</f>
        <v>67.16404</v>
      </c>
      <c r="C44">
        <f>SPX!F44</f>
        <v>2470.3000489999999</v>
      </c>
      <c r="D44">
        <f t="shared" si="0"/>
        <v>5.4693613838996624E-2</v>
      </c>
      <c r="E44">
        <f t="shared" si="1"/>
        <v>1.9348826118030571E-2</v>
      </c>
    </row>
    <row r="45" spans="1:5">
      <c r="A45" s="4">
        <f>MSFT!A45</f>
        <v>42948</v>
      </c>
      <c r="B45">
        <f>MSFT!F45</f>
        <v>69.076369999999997</v>
      </c>
      <c r="C45">
        <f>SPX!F45</f>
        <v>2471.6499020000001</v>
      </c>
      <c r="D45">
        <f t="shared" si="0"/>
        <v>2.8472527858657726E-2</v>
      </c>
      <c r="E45">
        <f t="shared" si="1"/>
        <v>5.4643281108557318E-4</v>
      </c>
    </row>
    <row r="46" spans="1:5">
      <c r="A46" s="4">
        <f>MSFT!A46</f>
        <v>42979</v>
      </c>
      <c r="B46">
        <f>MSFT!F46</f>
        <v>69.184380000000004</v>
      </c>
      <c r="C46">
        <f>SPX!F46</f>
        <v>2519.360107</v>
      </c>
      <c r="D46">
        <f t="shared" si="0"/>
        <v>1.5636316731757471E-3</v>
      </c>
      <c r="E46">
        <f t="shared" si="1"/>
        <v>1.9302978533243698E-2</v>
      </c>
    </row>
    <row r="47" spans="1:5">
      <c r="A47" s="4">
        <f>MSFT!A47</f>
        <v>43009</v>
      </c>
      <c r="B47">
        <f>MSFT!F47</f>
        <v>77.255393999999995</v>
      </c>
      <c r="C47">
        <f>SPX!F47</f>
        <v>2575.26001</v>
      </c>
      <c r="D47">
        <f t="shared" si="0"/>
        <v>0.11665948296421802</v>
      </c>
      <c r="E47">
        <f t="shared" si="1"/>
        <v>2.218813533034969E-2</v>
      </c>
    </row>
    <row r="48" spans="1:5">
      <c r="A48" s="4">
        <f>MSFT!A48</f>
        <v>43040</v>
      </c>
      <c r="B48">
        <f>MSFT!F48</f>
        <v>78.174888999999993</v>
      </c>
      <c r="C48">
        <f>SPX!F48</f>
        <v>2647.580078</v>
      </c>
      <c r="D48">
        <f t="shared" si="0"/>
        <v>1.1902016835225737E-2</v>
      </c>
      <c r="E48">
        <f t="shared" si="1"/>
        <v>2.808262766445857E-2</v>
      </c>
    </row>
    <row r="49" spans="1:5">
      <c r="A49" s="4">
        <f>MSFT!A49</f>
        <v>43070</v>
      </c>
      <c r="B49">
        <f>MSFT!F49</f>
        <v>79.846298000000004</v>
      </c>
      <c r="C49">
        <f>SPX!F49</f>
        <v>2673.610107</v>
      </c>
      <c r="D49">
        <f t="shared" si="0"/>
        <v>2.1380382132682119E-2</v>
      </c>
      <c r="E49">
        <f t="shared" si="1"/>
        <v>9.8316304826040479E-3</v>
      </c>
    </row>
    <row r="50" spans="1:5">
      <c r="A50" s="4">
        <f>MSFT!A50</f>
        <v>43101</v>
      </c>
      <c r="B50">
        <f>MSFT!F50</f>
        <v>88.685958999999997</v>
      </c>
      <c r="C50">
        <f>SPX!F50</f>
        <v>2823.8100589999999</v>
      </c>
      <c r="D50">
        <f t="shared" si="0"/>
        <v>0.11070846390398703</v>
      </c>
      <c r="E50">
        <f t="shared" si="1"/>
        <v>5.6178704444133087E-2</v>
      </c>
    </row>
    <row r="51" spans="1:5">
      <c r="A51" s="4">
        <f>MSFT!A51</f>
        <v>43132</v>
      </c>
      <c r="B51">
        <f>MSFT!F51</f>
        <v>87.528487999999996</v>
      </c>
      <c r="C51">
        <f>SPX!F51</f>
        <v>2713.830078</v>
      </c>
      <c r="D51">
        <f t="shared" si="0"/>
        <v>-1.3051344463670955E-2</v>
      </c>
      <c r="E51">
        <f t="shared" si="1"/>
        <v>-3.8947372061896912E-2</v>
      </c>
    </row>
    <row r="52" spans="1:5">
      <c r="A52" s="4">
        <f>MSFT!A52</f>
        <v>43160</v>
      </c>
      <c r="B52">
        <f>MSFT!F52</f>
        <v>85.595107999999996</v>
      </c>
      <c r="C52">
        <f>SPX!F52</f>
        <v>2640.8701169999999</v>
      </c>
      <c r="D52">
        <f t="shared" si="0"/>
        <v>-2.2088579891840432E-2</v>
      </c>
      <c r="E52">
        <f t="shared" si="1"/>
        <v>-2.6884498624825115E-2</v>
      </c>
    </row>
    <row r="53" spans="1:5">
      <c r="A53" s="4">
        <f>MSFT!A53</f>
        <v>43191</v>
      </c>
      <c r="B53">
        <f>MSFT!F53</f>
        <v>87.705192999999994</v>
      </c>
      <c r="C53">
        <f>SPX!F53</f>
        <v>2648.0500489999999</v>
      </c>
      <c r="D53">
        <f t="shared" si="0"/>
        <v>2.4651934547474275E-2</v>
      </c>
      <c r="E53">
        <f t="shared" si="1"/>
        <v>2.718775131643536E-3</v>
      </c>
    </row>
    <row r="54" spans="1:5">
      <c r="A54" s="4">
        <f>MSFT!A54</f>
        <v>43221</v>
      </c>
      <c r="B54">
        <f>MSFT!F54</f>
        <v>92.694412</v>
      </c>
      <c r="C54">
        <f>SPX!F54</f>
        <v>2705.2700199999999</v>
      </c>
      <c r="D54">
        <f t="shared" si="0"/>
        <v>5.688624389664132E-2</v>
      </c>
      <c r="E54">
        <f t="shared" si="1"/>
        <v>2.1608341965291933E-2</v>
      </c>
    </row>
    <row r="55" spans="1:5">
      <c r="A55" s="4">
        <f>MSFT!A55</f>
        <v>43252</v>
      </c>
      <c r="B55">
        <f>MSFT!F55</f>
        <v>92.879554999999996</v>
      </c>
      <c r="C55">
        <f>SPX!F55</f>
        <v>2718.3701169999999</v>
      </c>
      <c r="D55">
        <f t="shared" si="0"/>
        <v>1.9973480170518698E-3</v>
      </c>
      <c r="E55">
        <f t="shared" si="1"/>
        <v>4.8424360241865472E-3</v>
      </c>
    </row>
    <row r="56" spans="1:5">
      <c r="A56" s="4">
        <f>MSFT!A56</f>
        <v>43282</v>
      </c>
      <c r="B56">
        <f>MSFT!F56</f>
        <v>99.915481999999997</v>
      </c>
      <c r="C56">
        <f>SPX!F56</f>
        <v>2816.290039</v>
      </c>
      <c r="D56">
        <f t="shared" si="0"/>
        <v>7.5753237620486136E-2</v>
      </c>
      <c r="E56">
        <f t="shared" si="1"/>
        <v>3.6021556221367268E-2</v>
      </c>
    </row>
    <row r="57" spans="1:5">
      <c r="A57" s="4">
        <f>MSFT!A57</f>
        <v>43313</v>
      </c>
      <c r="B57">
        <f>MSFT!F57</f>
        <v>105.802246</v>
      </c>
      <c r="C57">
        <f>SPX!F57</f>
        <v>2901.5200199999999</v>
      </c>
      <c r="D57">
        <f t="shared" si="0"/>
        <v>5.8917435838421905E-2</v>
      </c>
      <c r="E57">
        <f t="shared" si="1"/>
        <v>3.0263211466054596E-2</v>
      </c>
    </row>
    <row r="58" spans="1:5">
      <c r="A58" s="4">
        <f>MSFT!A58</f>
        <v>43344</v>
      </c>
      <c r="B58">
        <f>MSFT!F58</f>
        <v>108.13827499999999</v>
      </c>
      <c r="C58">
        <f>SPX!F58</f>
        <v>2913.9799800000001</v>
      </c>
      <c r="D58">
        <f t="shared" si="0"/>
        <v>2.2079200473683613E-2</v>
      </c>
      <c r="E58">
        <f t="shared" si="1"/>
        <v>4.2942871026614426E-3</v>
      </c>
    </row>
    <row r="59" spans="1:5">
      <c r="A59" s="4">
        <f>MSFT!A59</f>
        <v>43374</v>
      </c>
      <c r="B59">
        <f>MSFT!F59</f>
        <v>100.990189</v>
      </c>
      <c r="C59">
        <f>SPX!F59</f>
        <v>2711.73999</v>
      </c>
      <c r="D59">
        <f t="shared" si="0"/>
        <v>-6.6101350331323361E-2</v>
      </c>
      <c r="E59">
        <f t="shared" si="1"/>
        <v>-6.9403356024429486E-2</v>
      </c>
    </row>
    <row r="60" spans="1:5">
      <c r="A60" s="4">
        <f>MSFT!A60</f>
        <v>43405</v>
      </c>
      <c r="B60">
        <f>MSFT!F60</f>
        <v>104.84788500000001</v>
      </c>
      <c r="C60">
        <f>SPX!F60</f>
        <v>2760.169922</v>
      </c>
      <c r="D60">
        <f t="shared" si="0"/>
        <v>3.8198720471747993E-2</v>
      </c>
      <c r="E60">
        <f t="shared" si="1"/>
        <v>1.7859356788848979E-2</v>
      </c>
    </row>
    <row r="61" spans="1:5">
      <c r="A61" s="4">
        <f>MSFT!A61</f>
        <v>43435</v>
      </c>
      <c r="B61">
        <f>MSFT!F61</f>
        <v>96.450599999999994</v>
      </c>
      <c r="C61">
        <f>SPX!F61</f>
        <v>2506.8500979999999</v>
      </c>
      <c r="D61">
        <f t="shared" si="0"/>
        <v>-8.0090170631482049E-2</v>
      </c>
      <c r="E61">
        <f t="shared" si="1"/>
        <v>-9.1776894596563907E-2</v>
      </c>
    </row>
    <row r="62" spans="1:5">
      <c r="A62" s="4">
        <f>MSFT!A62</f>
        <v>43466</v>
      </c>
      <c r="B62">
        <f>MSFT!F62</f>
        <v>99.166427999999996</v>
      </c>
      <c r="C62">
        <f>SPX!F62</f>
        <v>2704.1000979999999</v>
      </c>
      <c r="D62">
        <f t="shared" si="0"/>
        <v>2.8157709749861537E-2</v>
      </c>
      <c r="E62">
        <f t="shared" si="1"/>
        <v>7.8684401655036762E-2</v>
      </c>
    </row>
    <row r="63" spans="1:5">
      <c r="A63" s="4">
        <f>MSFT!A63</f>
        <v>43497</v>
      </c>
      <c r="B63">
        <f>MSFT!F63</f>
        <v>106.383369</v>
      </c>
      <c r="C63">
        <f>SPX!F63</f>
        <v>2784.48999</v>
      </c>
      <c r="D63">
        <f t="shared" si="0"/>
        <v>7.2776050782024759E-2</v>
      </c>
      <c r="E63">
        <f t="shared" si="1"/>
        <v>2.9728889126352298E-2</v>
      </c>
    </row>
    <row r="64" spans="1:5">
      <c r="A64" s="4">
        <f>MSFT!A64</f>
        <v>43525</v>
      </c>
      <c r="B64">
        <f>MSFT!F64</f>
        <v>112.47378500000001</v>
      </c>
      <c r="C64">
        <f>SPX!F64</f>
        <v>2834.3999020000001</v>
      </c>
      <c r="D64">
        <f t="shared" si="0"/>
        <v>5.7249700373749324E-2</v>
      </c>
      <c r="E64">
        <f t="shared" si="1"/>
        <v>1.7924256211817147E-2</v>
      </c>
    </row>
    <row r="65" spans="1:5">
      <c r="A65" s="4">
        <f>MSFT!A65</f>
        <v>43556</v>
      </c>
      <c r="B65">
        <f>MSFT!F65</f>
        <v>124.547028</v>
      </c>
      <c r="C65">
        <f>SPX!F65</f>
        <v>2945.830078</v>
      </c>
      <c r="D65">
        <f t="shared" si="0"/>
        <v>0.10734272879675899</v>
      </c>
      <c r="E65">
        <f t="shared" si="1"/>
        <v>3.9313498395682656E-2</v>
      </c>
    </row>
    <row r="66" spans="1:5">
      <c r="A66" s="4">
        <f>MSFT!A66</f>
        <v>43586</v>
      </c>
      <c r="B66">
        <f>MSFT!F66</f>
        <v>117.947762</v>
      </c>
      <c r="C66">
        <f>SPX!F66</f>
        <v>2752.0600589999999</v>
      </c>
      <c r="D66">
        <f t="shared" si="0"/>
        <v>-5.2986137894835972E-2</v>
      </c>
      <c r="E66">
        <f t="shared" si="1"/>
        <v>-6.577773118928687E-2</v>
      </c>
    </row>
    <row r="67" spans="1:5">
      <c r="A67" s="4">
        <f>MSFT!A67</f>
        <v>43617</v>
      </c>
      <c r="B67">
        <f>MSFT!F67</f>
        <v>128.22421299999999</v>
      </c>
      <c r="C67">
        <f>SPX!F67</f>
        <v>2941.76001</v>
      </c>
      <c r="D67">
        <f t="shared" si="0"/>
        <v>8.7127138537821391E-2</v>
      </c>
      <c r="E67">
        <f t="shared" si="1"/>
        <v>6.8930163925612131E-2</v>
      </c>
    </row>
    <row r="68" spans="1:5">
      <c r="A68" s="4">
        <f>MSFT!A68</f>
        <v>43647</v>
      </c>
      <c r="B68">
        <f>MSFT!F68</f>
        <v>130.43528699999999</v>
      </c>
      <c r="C68">
        <f>SPX!F68</f>
        <v>2980.3798830000001</v>
      </c>
      <c r="D68">
        <f t="shared" ref="D68:D121" si="2">B68/B67-1</f>
        <v>1.724381026226296E-2</v>
      </c>
      <c r="E68">
        <f t="shared" ref="E68:E121" si="3">C68/C67-1</f>
        <v>1.3128152149977756E-2</v>
      </c>
    </row>
    <row r="69" spans="1:5">
      <c r="A69" s="4">
        <f>MSFT!A69</f>
        <v>43678</v>
      </c>
      <c r="B69">
        <f>MSFT!F69</f>
        <v>131.95721399999999</v>
      </c>
      <c r="C69">
        <f>SPX!F69</f>
        <v>2926.459961</v>
      </c>
      <c r="D69">
        <f t="shared" si="2"/>
        <v>1.1668061879604785E-2</v>
      </c>
      <c r="E69">
        <f t="shared" si="3"/>
        <v>-1.8091627281326739E-2</v>
      </c>
    </row>
    <row r="70" spans="1:5">
      <c r="A70" s="4">
        <f>MSFT!A70</f>
        <v>43709</v>
      </c>
      <c r="B70">
        <f>MSFT!F70</f>
        <v>133.520264</v>
      </c>
      <c r="C70">
        <f>SPX!F70</f>
        <v>2976.73999</v>
      </c>
      <c r="D70">
        <f t="shared" si="2"/>
        <v>1.1845127315282644E-2</v>
      </c>
      <c r="E70">
        <f t="shared" si="3"/>
        <v>1.7181177829208583E-2</v>
      </c>
    </row>
    <row r="71" spans="1:5">
      <c r="A71" s="4">
        <f>MSFT!A71</f>
        <v>43739</v>
      </c>
      <c r="B71">
        <f>MSFT!F71</f>
        <v>137.68826300000001</v>
      </c>
      <c r="C71">
        <f>SPX!F71</f>
        <v>3037.5600589999999</v>
      </c>
      <c r="D71">
        <f t="shared" si="2"/>
        <v>3.1216227972706845E-2</v>
      </c>
      <c r="E71">
        <f t="shared" si="3"/>
        <v>2.0431770730503063E-2</v>
      </c>
    </row>
    <row r="72" spans="1:5">
      <c r="A72" s="4">
        <f>MSFT!A72</f>
        <v>43770</v>
      </c>
      <c r="B72">
        <f>MSFT!F72</f>
        <v>145.380844</v>
      </c>
      <c r="C72">
        <f>SPX!F72</f>
        <v>3140.9799800000001</v>
      </c>
      <c r="D72">
        <f t="shared" si="2"/>
        <v>5.5869547864076052E-2</v>
      </c>
      <c r="E72">
        <f t="shared" si="3"/>
        <v>3.4047037421886195E-2</v>
      </c>
    </row>
    <row r="73" spans="1:5">
      <c r="A73" s="4">
        <f>MSFT!A73</f>
        <v>43800</v>
      </c>
      <c r="B73">
        <f>MSFT!F73</f>
        <v>151.965698</v>
      </c>
      <c r="C73">
        <f>SPX!F73</f>
        <v>3230.780029</v>
      </c>
      <c r="D73">
        <f t="shared" si="2"/>
        <v>4.5293821516127819E-2</v>
      </c>
      <c r="E73">
        <f t="shared" si="3"/>
        <v>2.8589818964716907E-2</v>
      </c>
    </row>
    <row r="74" spans="1:5">
      <c r="A74" s="4">
        <f>MSFT!A74</f>
        <v>43831</v>
      </c>
      <c r="B74">
        <f>MSFT!F74</f>
        <v>164.0401</v>
      </c>
      <c r="C74">
        <f>SPX!F74</f>
        <v>3225.5200199999999</v>
      </c>
      <c r="D74">
        <f t="shared" si="2"/>
        <v>7.9454785908330328E-2</v>
      </c>
      <c r="E74">
        <f t="shared" si="3"/>
        <v>-1.6280925822201864E-3</v>
      </c>
    </row>
    <row r="75" spans="1:5">
      <c r="A75" s="4">
        <f>MSFT!A75</f>
        <v>43862</v>
      </c>
      <c r="B75">
        <f>MSFT!F75</f>
        <v>156.11897300000001</v>
      </c>
      <c r="C75">
        <f>SPX!F75</f>
        <v>2954.219971</v>
      </c>
      <c r="D75">
        <f t="shared" si="2"/>
        <v>-4.8287747934803615E-2</v>
      </c>
      <c r="E75">
        <f t="shared" si="3"/>
        <v>-8.411048367946572E-2</v>
      </c>
    </row>
    <row r="76" spans="1:5">
      <c r="A76" s="4">
        <f>MSFT!A76</f>
        <v>43891</v>
      </c>
      <c r="B76">
        <f>MSFT!F76</f>
        <v>152.390457</v>
      </c>
      <c r="C76">
        <f>SPX!F76</f>
        <v>2584.5900879999999</v>
      </c>
      <c r="D76">
        <f t="shared" si="2"/>
        <v>-2.3882529639751127E-2</v>
      </c>
      <c r="E76">
        <f t="shared" si="3"/>
        <v>-0.12511928245982329</v>
      </c>
    </row>
    <row r="77" spans="1:5">
      <c r="A77" s="4">
        <f>MSFT!A77</f>
        <v>43922</v>
      </c>
      <c r="B77">
        <f>MSFT!F77</f>
        <v>173.16525300000001</v>
      </c>
      <c r="C77">
        <f>SPX!F77</f>
        <v>2912.429932</v>
      </c>
      <c r="D77">
        <f t="shared" si="2"/>
        <v>0.13632609553759667</v>
      </c>
      <c r="E77">
        <f t="shared" si="3"/>
        <v>0.12684403825663826</v>
      </c>
    </row>
    <row r="78" spans="1:5">
      <c r="A78" s="4">
        <f>MSFT!A78</f>
        <v>43952</v>
      </c>
      <c r="B78">
        <f>MSFT!F78</f>
        <v>177.06895399999999</v>
      </c>
      <c r="C78">
        <f>SPX!F78</f>
        <v>3044.3100589999999</v>
      </c>
      <c r="D78">
        <f t="shared" si="2"/>
        <v>2.254321194564346E-2</v>
      </c>
      <c r="E78">
        <f t="shared" si="3"/>
        <v>4.5281819676065593E-2</v>
      </c>
    </row>
    <row r="79" spans="1:5">
      <c r="A79" s="4">
        <f>MSFT!A79</f>
        <v>43983</v>
      </c>
      <c r="B79">
        <f>MSFT!F79</f>
        <v>197.19328300000001</v>
      </c>
      <c r="C79">
        <f>SPX!F79</f>
        <v>3100.290039</v>
      </c>
      <c r="D79">
        <f t="shared" si="2"/>
        <v>0.11365249833689095</v>
      </c>
      <c r="E79">
        <f t="shared" si="3"/>
        <v>1.8388396357494674E-2</v>
      </c>
    </row>
    <row r="80" spans="1:5">
      <c r="A80" s="4">
        <f>MSFT!A80</f>
        <v>44013</v>
      </c>
      <c r="B80">
        <f>MSFT!F80</f>
        <v>198.64672899999999</v>
      </c>
      <c r="C80">
        <f>SPX!F80</f>
        <v>3271.1201169999999</v>
      </c>
      <c r="D80">
        <f t="shared" si="2"/>
        <v>7.3706668801694075E-3</v>
      </c>
      <c r="E80">
        <f t="shared" si="3"/>
        <v>5.5101321441235696E-2</v>
      </c>
    </row>
    <row r="81" spans="1:5">
      <c r="A81" s="4">
        <f>MSFT!A81</f>
        <v>44044</v>
      </c>
      <c r="B81">
        <f>MSFT!F81</f>
        <v>218.52981600000001</v>
      </c>
      <c r="C81">
        <f>SPX!F81</f>
        <v>3500.3100589999999</v>
      </c>
      <c r="D81">
        <f t="shared" si="2"/>
        <v>0.10009269772571994</v>
      </c>
      <c r="E81">
        <f t="shared" si="3"/>
        <v>7.0064667087246457E-2</v>
      </c>
    </row>
    <row r="82" spans="1:5">
      <c r="A82" s="4">
        <f>MSFT!A82</f>
        <v>44075</v>
      </c>
      <c r="B82">
        <f>MSFT!F82</f>
        <v>204.29425000000001</v>
      </c>
      <c r="C82">
        <f>SPX!F82</f>
        <v>3363</v>
      </c>
      <c r="D82">
        <f t="shared" si="2"/>
        <v>-6.5142442622108887E-2</v>
      </c>
      <c r="E82">
        <f t="shared" si="3"/>
        <v>-3.9227970289931413E-2</v>
      </c>
    </row>
    <row r="83" spans="1:5">
      <c r="A83" s="4">
        <f>MSFT!A83</f>
        <v>44105</v>
      </c>
      <c r="B83">
        <f>MSFT!F83</f>
        <v>196.65980500000001</v>
      </c>
      <c r="C83">
        <f>SPX!F83</f>
        <v>3269.959961</v>
      </c>
      <c r="D83">
        <f t="shared" si="2"/>
        <v>-3.7369847658463184E-2</v>
      </c>
      <c r="E83">
        <f t="shared" si="3"/>
        <v>-2.766578620279514E-2</v>
      </c>
    </row>
    <row r="84" spans="1:5">
      <c r="A84" s="4">
        <f>MSFT!A84</f>
        <v>44136</v>
      </c>
      <c r="B84">
        <f>MSFT!F84</f>
        <v>207.92690999999999</v>
      </c>
      <c r="C84">
        <f>SPX!F84</f>
        <v>3621.6298830000001</v>
      </c>
      <c r="D84">
        <f t="shared" si="2"/>
        <v>5.729236332762544E-2</v>
      </c>
      <c r="E84">
        <f t="shared" si="3"/>
        <v>0.10754563548003038</v>
      </c>
    </row>
    <row r="85" spans="1:5">
      <c r="A85" s="4">
        <f>MSFT!A85</f>
        <v>44166</v>
      </c>
      <c r="B85">
        <f>MSFT!F85</f>
        <v>216.60290499999999</v>
      </c>
      <c r="C85">
        <f>SPX!F85</f>
        <v>3756.070068</v>
      </c>
      <c r="D85">
        <f t="shared" si="2"/>
        <v>4.1726176760862765E-2</v>
      </c>
      <c r="E85">
        <f t="shared" si="3"/>
        <v>3.7121458940645669E-2</v>
      </c>
    </row>
    <row r="86" spans="1:5">
      <c r="A86" s="4">
        <f>MSFT!A86</f>
        <v>44197</v>
      </c>
      <c r="B86">
        <f>MSFT!F86</f>
        <v>225.89338699999999</v>
      </c>
      <c r="C86">
        <f>SPX!F86</f>
        <v>3714.23999</v>
      </c>
      <c r="D86">
        <f t="shared" si="2"/>
        <v>4.289177008036904E-2</v>
      </c>
      <c r="E86">
        <f t="shared" si="3"/>
        <v>-1.1136660723231162E-2</v>
      </c>
    </row>
    <row r="87" spans="1:5">
      <c r="A87" s="4">
        <f>MSFT!A87</f>
        <v>44228</v>
      </c>
      <c r="B87">
        <f>MSFT!F87</f>
        <v>226.30242899999999</v>
      </c>
      <c r="C87">
        <f>SPX!F87</f>
        <v>3811.1499020000001</v>
      </c>
      <c r="D87">
        <f t="shared" si="2"/>
        <v>1.8107745668534125E-3</v>
      </c>
      <c r="E87">
        <f t="shared" si="3"/>
        <v>2.6091451349647521E-2</v>
      </c>
    </row>
    <row r="88" spans="1:5">
      <c r="A88" s="4">
        <f>MSFT!A88</f>
        <v>44256</v>
      </c>
      <c r="B88">
        <f>MSFT!F88</f>
        <v>230.13256799999999</v>
      </c>
      <c r="C88">
        <f>SPX!F88</f>
        <v>3972.889893</v>
      </c>
      <c r="D88">
        <f t="shared" si="2"/>
        <v>1.6924869153746469E-2</v>
      </c>
      <c r="E88">
        <f t="shared" si="3"/>
        <v>4.2438632737883841E-2</v>
      </c>
    </row>
    <row r="89" spans="1:5">
      <c r="A89" s="4">
        <f>MSFT!A89</f>
        <v>44287</v>
      </c>
      <c r="B89">
        <f>MSFT!F89</f>
        <v>246.15020799999999</v>
      </c>
      <c r="C89">
        <f>SPX!F89</f>
        <v>4181.169922</v>
      </c>
      <c r="D89">
        <f t="shared" si="2"/>
        <v>6.9601795778857278E-2</v>
      </c>
      <c r="E89">
        <f t="shared" si="3"/>
        <v>5.2425321267266289E-2</v>
      </c>
    </row>
    <row r="90" spans="1:5">
      <c r="A90" s="4">
        <f>MSFT!A90</f>
        <v>44317</v>
      </c>
      <c r="B90">
        <f>MSFT!F90</f>
        <v>243.709946</v>
      </c>
      <c r="C90">
        <f>SPX!F90</f>
        <v>4204.1098629999997</v>
      </c>
      <c r="D90">
        <f t="shared" si="2"/>
        <v>-9.9137108996470991E-3</v>
      </c>
      <c r="E90">
        <f t="shared" si="3"/>
        <v>5.4864885732810453E-3</v>
      </c>
    </row>
    <row r="91" spans="1:5">
      <c r="A91" s="4">
        <f>MSFT!A91</f>
        <v>44348</v>
      </c>
      <c r="B91">
        <f>MSFT!F91</f>
        <v>265.03323399999999</v>
      </c>
      <c r="C91">
        <f>SPX!F91</f>
        <v>4297.5</v>
      </c>
      <c r="D91">
        <f t="shared" si="2"/>
        <v>8.7494533358109194E-2</v>
      </c>
      <c r="E91">
        <f t="shared" si="3"/>
        <v>2.2214009634219822E-2</v>
      </c>
    </row>
    <row r="92" spans="1:5">
      <c r="A92" s="4">
        <f>MSFT!A92</f>
        <v>44378</v>
      </c>
      <c r="B92">
        <f>MSFT!F92</f>
        <v>278.73974600000003</v>
      </c>
      <c r="C92">
        <f>SPX!F92</f>
        <v>4395.2597660000001</v>
      </c>
      <c r="D92">
        <f t="shared" si="2"/>
        <v>5.1716200995381767E-2</v>
      </c>
      <c r="E92">
        <f t="shared" si="3"/>
        <v>2.2748054915648686E-2</v>
      </c>
    </row>
    <row r="93" spans="1:5">
      <c r="A93" s="4">
        <f>MSFT!A93</f>
        <v>44409</v>
      </c>
      <c r="B93">
        <f>MSFT!F93</f>
        <v>295.34225500000002</v>
      </c>
      <c r="C93">
        <f>SPX!F93</f>
        <v>4522.6801759999998</v>
      </c>
      <c r="D93">
        <f t="shared" si="2"/>
        <v>5.9562761458496816E-2</v>
      </c>
      <c r="E93">
        <f t="shared" si="3"/>
        <v>2.8990416217415271E-2</v>
      </c>
    </row>
    <row r="94" spans="1:5">
      <c r="A94" s="4">
        <f>MSFT!A94</f>
        <v>44440</v>
      </c>
      <c r="B94">
        <f>MSFT!F94</f>
        <v>276.34252900000001</v>
      </c>
      <c r="C94">
        <f>SPX!F94</f>
        <v>4307.5400390000004</v>
      </c>
      <c r="D94">
        <f t="shared" si="2"/>
        <v>-6.4331214644514745E-2</v>
      </c>
      <c r="E94">
        <f t="shared" si="3"/>
        <v>-4.7569168861786748E-2</v>
      </c>
    </row>
    <row r="95" spans="1:5">
      <c r="A95" s="4">
        <f>MSFT!A95</f>
        <v>44470</v>
      </c>
      <c r="B95">
        <f>MSFT!F95</f>
        <v>325.05926499999998</v>
      </c>
      <c r="C95">
        <f>SPX!F95</f>
        <v>4605.3798829999996</v>
      </c>
      <c r="D95">
        <f t="shared" si="2"/>
        <v>0.17629112745074416</v>
      </c>
      <c r="E95">
        <f t="shared" si="3"/>
        <v>6.9143836459647501E-2</v>
      </c>
    </row>
    <row r="96" spans="1:5">
      <c r="A96" s="4">
        <f>MSFT!A96</f>
        <v>44501</v>
      </c>
      <c r="B96">
        <f>MSFT!F96</f>
        <v>324.04965199999998</v>
      </c>
      <c r="C96">
        <f>SPX!F96</f>
        <v>4567</v>
      </c>
      <c r="D96">
        <f t="shared" si="2"/>
        <v>-3.1059351592394036E-3</v>
      </c>
      <c r="E96">
        <f t="shared" si="3"/>
        <v>-8.3337062251199745E-3</v>
      </c>
    </row>
    <row r="97" spans="1:5">
      <c r="A97" s="4">
        <f>MSFT!A97</f>
        <v>44531</v>
      </c>
      <c r="B97">
        <f>MSFT!F97</f>
        <v>330.269409</v>
      </c>
      <c r="C97">
        <f>SPX!F97</f>
        <v>4766.1801759999998</v>
      </c>
      <c r="D97">
        <f t="shared" si="2"/>
        <v>1.9193839467539497E-2</v>
      </c>
      <c r="E97">
        <f t="shared" si="3"/>
        <v>4.361291350996277E-2</v>
      </c>
    </row>
    <row r="98" spans="1:5">
      <c r="A98" s="4">
        <f>MSFT!A98</f>
        <v>44562</v>
      </c>
      <c r="B98">
        <f>MSFT!F98</f>
        <v>305.38528400000001</v>
      </c>
      <c r="C98">
        <f>SPX!F98</f>
        <v>4515.5498049999997</v>
      </c>
      <c r="D98">
        <f t="shared" si="2"/>
        <v>-7.5344928479282758E-2</v>
      </c>
      <c r="E98">
        <f t="shared" si="3"/>
        <v>-5.258516500531063E-2</v>
      </c>
    </row>
    <row r="99" spans="1:5">
      <c r="A99" s="4">
        <f>MSFT!A99</f>
        <v>44593</v>
      </c>
      <c r="B99">
        <f>MSFT!F99</f>
        <v>293.414581</v>
      </c>
      <c r="C99">
        <f>SPX!F99</f>
        <v>4373.9399409999996</v>
      </c>
      <c r="D99">
        <f t="shared" si="2"/>
        <v>-3.9198689744329718E-2</v>
      </c>
      <c r="E99">
        <f t="shared" si="3"/>
        <v>-3.1360492102910142E-2</v>
      </c>
    </row>
    <row r="100" spans="1:5">
      <c r="A100" s="4">
        <f>MSFT!A100</f>
        <v>44621</v>
      </c>
      <c r="B100">
        <f>MSFT!F100</f>
        <v>303.38937399999998</v>
      </c>
      <c r="C100">
        <f>SPX!F100</f>
        <v>4530.4101559999999</v>
      </c>
      <c r="D100">
        <f t="shared" si="2"/>
        <v>3.3995560022969551E-2</v>
      </c>
      <c r="E100">
        <f t="shared" si="3"/>
        <v>3.5773288410591908E-2</v>
      </c>
    </row>
    <row r="101" spans="1:5">
      <c r="A101" s="4">
        <f>MSFT!A101</f>
        <v>44652</v>
      </c>
      <c r="B101">
        <f>MSFT!F101</f>
        <v>273.09075899999999</v>
      </c>
      <c r="C101">
        <f>SPX!F101</f>
        <v>4131.9301759999998</v>
      </c>
      <c r="D101">
        <f t="shared" si="2"/>
        <v>-9.9867093565379705E-2</v>
      </c>
      <c r="E101">
        <f t="shared" si="3"/>
        <v>-8.7956711705729274E-2</v>
      </c>
    </row>
    <row r="102" spans="1:5">
      <c r="A102" s="4">
        <f>MSFT!A102</f>
        <v>44682</v>
      </c>
      <c r="B102">
        <f>MSFT!F102</f>
        <v>267.530914</v>
      </c>
      <c r="C102">
        <f>SPX!F102</f>
        <v>4132.1499020000001</v>
      </c>
      <c r="D102">
        <f t="shared" si="2"/>
        <v>-2.0358964251880773E-2</v>
      </c>
      <c r="E102">
        <f t="shared" si="3"/>
        <v>5.3177568506868056E-5</v>
      </c>
    </row>
    <row r="103" spans="1:5">
      <c r="A103" s="4">
        <f>MSFT!A103</f>
        <v>44713</v>
      </c>
      <c r="B103">
        <f>MSFT!F103</f>
        <v>253.31959499999999</v>
      </c>
      <c r="C103">
        <f>SPX!F103</f>
        <v>3785.3798830000001</v>
      </c>
      <c r="D103">
        <f t="shared" si="2"/>
        <v>-5.3120287250242759E-2</v>
      </c>
      <c r="E103">
        <f t="shared" si="3"/>
        <v>-8.3919999812243073E-2</v>
      </c>
    </row>
    <row r="104" spans="1:5">
      <c r="A104" s="4">
        <f>MSFT!A104</f>
        <v>44743</v>
      </c>
      <c r="B104">
        <f>MSFT!F104</f>
        <v>276.90277099999997</v>
      </c>
      <c r="C104">
        <f>SPX!F104</f>
        <v>4130.2900390000004</v>
      </c>
      <c r="D104">
        <f t="shared" si="2"/>
        <v>9.3096532860002412E-2</v>
      </c>
      <c r="E104">
        <f t="shared" si="3"/>
        <v>9.1116391659653351E-2</v>
      </c>
    </row>
    <row r="105" spans="1:5">
      <c r="A105" s="4">
        <f>MSFT!A105</f>
        <v>44774</v>
      </c>
      <c r="B105">
        <f>MSFT!F105</f>
        <v>257.89617900000002</v>
      </c>
      <c r="C105">
        <f>SPX!F105</f>
        <v>3955</v>
      </c>
      <c r="D105">
        <f t="shared" si="2"/>
        <v>-6.8639948713261401E-2</v>
      </c>
      <c r="E105">
        <f t="shared" si="3"/>
        <v>-4.2440128258508625E-2</v>
      </c>
    </row>
    <row r="106" spans="1:5">
      <c r="A106" s="4">
        <f>MSFT!A106</f>
        <v>44805</v>
      </c>
      <c r="B106">
        <f>MSFT!F106</f>
        <v>230.20426900000001</v>
      </c>
      <c r="C106">
        <f>SPX!F106</f>
        <v>3585.6201169999999</v>
      </c>
      <c r="D106">
        <f t="shared" si="2"/>
        <v>-0.10737619342549465</v>
      </c>
      <c r="E106">
        <f t="shared" si="3"/>
        <v>-9.3395672060682666E-2</v>
      </c>
    </row>
    <row r="107" spans="1:5">
      <c r="A107" s="4">
        <f>MSFT!A107</f>
        <v>44835</v>
      </c>
      <c r="B107">
        <f>MSFT!F107</f>
        <v>229.443207</v>
      </c>
      <c r="C107">
        <f>SPX!F107</f>
        <v>3871.9799800000001</v>
      </c>
      <c r="D107">
        <f t="shared" si="2"/>
        <v>-3.3060290467507025E-3</v>
      </c>
      <c r="E107">
        <f t="shared" si="3"/>
        <v>7.9863413762746971E-2</v>
      </c>
    </row>
    <row r="108" spans="1:5">
      <c r="A108" s="4">
        <f>MSFT!A108</f>
        <v>44866</v>
      </c>
      <c r="B108">
        <f>MSFT!F108</f>
        <v>252.18689000000001</v>
      </c>
      <c r="C108">
        <f>SPX!F108</f>
        <v>4080.110107</v>
      </c>
      <c r="D108">
        <f t="shared" si="2"/>
        <v>9.9125545259659775E-2</v>
      </c>
      <c r="E108">
        <f t="shared" si="3"/>
        <v>5.3752893371106669E-2</v>
      </c>
    </row>
    <row r="109" spans="1:5">
      <c r="A109" s="4">
        <f>MSFT!A109</f>
        <v>44896</v>
      </c>
      <c r="B109">
        <f>MSFT!F109</f>
        <v>237.71225000000001</v>
      </c>
      <c r="C109">
        <f>SPX!F109</f>
        <v>3839.5</v>
      </c>
      <c r="D109">
        <f t="shared" si="2"/>
        <v>-5.7396480840062658E-2</v>
      </c>
      <c r="E109">
        <f t="shared" si="3"/>
        <v>-5.8971473977430078E-2</v>
      </c>
    </row>
    <row r="110" spans="1:5">
      <c r="A110" s="4">
        <f>MSFT!A110</f>
        <v>44927</v>
      </c>
      <c r="B110">
        <f>MSFT!F110</f>
        <v>245.631989</v>
      </c>
      <c r="C110">
        <f>SPX!F110</f>
        <v>4076.6000979999999</v>
      </c>
      <c r="D110">
        <f t="shared" si="2"/>
        <v>3.3316495048109518E-2</v>
      </c>
      <c r="E110">
        <f t="shared" si="3"/>
        <v>6.1752857924208815E-2</v>
      </c>
    </row>
    <row r="111" spans="1:5">
      <c r="A111" s="4">
        <f>MSFT!A111</f>
        <v>44958</v>
      </c>
      <c r="B111">
        <f>MSFT!F111</f>
        <v>247.227844</v>
      </c>
      <c r="C111">
        <f>SPX!F111</f>
        <v>3970.1499020000001</v>
      </c>
      <c r="D111">
        <f t="shared" si="2"/>
        <v>6.4969347294581148E-3</v>
      </c>
      <c r="E111">
        <f t="shared" si="3"/>
        <v>-2.6112494098262107E-2</v>
      </c>
    </row>
    <row r="112" spans="1:5">
      <c r="A112" s="4">
        <f>MSFT!A112</f>
        <v>44986</v>
      </c>
      <c r="B112">
        <f>MSFT!F112</f>
        <v>286.48187300000001</v>
      </c>
      <c r="C112">
        <f>SPX!F112</f>
        <v>4109.3100590000004</v>
      </c>
      <c r="D112">
        <f t="shared" si="2"/>
        <v>0.15877673147527838</v>
      </c>
      <c r="E112">
        <f t="shared" si="3"/>
        <v>3.5051612769053664E-2</v>
      </c>
    </row>
    <row r="113" spans="1:5">
      <c r="A113" s="4">
        <f>MSFT!A113</f>
        <v>45017</v>
      </c>
      <c r="B113">
        <f>MSFT!F113</f>
        <v>305.32232699999997</v>
      </c>
      <c r="C113">
        <f>SPX!F113</f>
        <v>4169.4799800000001</v>
      </c>
      <c r="D113">
        <f t="shared" si="2"/>
        <v>6.576490792490719E-2</v>
      </c>
      <c r="E113">
        <f t="shared" si="3"/>
        <v>1.4642341448102281E-2</v>
      </c>
    </row>
    <row r="114" spans="1:5">
      <c r="A114" s="4">
        <f>MSFT!A114</f>
        <v>45047</v>
      </c>
      <c r="B114">
        <f>MSFT!F114</f>
        <v>326.31909200000001</v>
      </c>
      <c r="C114">
        <f>SPX!F114</f>
        <v>4179.830078</v>
      </c>
      <c r="D114">
        <f t="shared" si="2"/>
        <v>6.8769176516855435E-2</v>
      </c>
      <c r="E114">
        <f t="shared" si="3"/>
        <v>2.4823474509163557E-3</v>
      </c>
    </row>
    <row r="115" spans="1:5">
      <c r="A115" s="4">
        <f>MSFT!A115</f>
        <v>45078</v>
      </c>
      <c r="B115">
        <f>MSFT!F115</f>
        <v>339.13220200000001</v>
      </c>
      <c r="C115">
        <f>SPX!F115</f>
        <v>4450.3798829999996</v>
      </c>
      <c r="D115">
        <f t="shared" si="2"/>
        <v>3.926558486501297E-2</v>
      </c>
      <c r="E115">
        <f t="shared" si="3"/>
        <v>6.4727464980933958E-2</v>
      </c>
    </row>
    <row r="116" spans="1:5">
      <c r="A116" s="4">
        <f>MSFT!A116</f>
        <v>45108</v>
      </c>
      <c r="B116">
        <f>MSFT!F116</f>
        <v>334.53131100000002</v>
      </c>
      <c r="C116">
        <f>SPX!F116</f>
        <v>4588.9599609999996</v>
      </c>
      <c r="D116">
        <f t="shared" si="2"/>
        <v>-1.3566659175585971E-2</v>
      </c>
      <c r="E116">
        <f t="shared" si="3"/>
        <v>3.113893232561149E-2</v>
      </c>
    </row>
    <row r="117" spans="1:5">
      <c r="A117" s="4">
        <f>MSFT!A117</f>
        <v>45139</v>
      </c>
      <c r="B117">
        <f>MSFT!F117</f>
        <v>326.40505999999999</v>
      </c>
      <c r="C117">
        <f>SPX!F117</f>
        <v>4507.6601559999999</v>
      </c>
      <c r="D117">
        <f t="shared" si="2"/>
        <v>-2.4291451152086752E-2</v>
      </c>
      <c r="E117">
        <f t="shared" si="3"/>
        <v>-1.7716390138710958E-2</v>
      </c>
    </row>
    <row r="118" spans="1:5">
      <c r="A118" s="4">
        <f>MSFT!A118</f>
        <v>45170</v>
      </c>
      <c r="B118">
        <f>MSFT!F118</f>
        <v>315.11044299999998</v>
      </c>
      <c r="C118">
        <f>SPX!F118</f>
        <v>4288.0498049999997</v>
      </c>
      <c r="D118">
        <f t="shared" si="2"/>
        <v>-3.4603069572512246E-2</v>
      </c>
      <c r="E118">
        <f t="shared" si="3"/>
        <v>-4.8719367343539433E-2</v>
      </c>
    </row>
    <row r="119" spans="1:5">
      <c r="A119" s="4">
        <f>MSFT!A119</f>
        <v>45200</v>
      </c>
      <c r="B119">
        <f>MSFT!F119</f>
        <v>337.42514</v>
      </c>
      <c r="C119">
        <f>SPX!F119</f>
        <v>4193.7998049999997</v>
      </c>
      <c r="D119">
        <f t="shared" si="2"/>
        <v>7.0815479130280856E-2</v>
      </c>
      <c r="E119">
        <f t="shared" si="3"/>
        <v>-2.1979688736381231E-2</v>
      </c>
    </row>
    <row r="120" spans="1:5">
      <c r="A120" s="4">
        <f>MSFT!A120</f>
        <v>45231</v>
      </c>
      <c r="B120">
        <f>MSFT!F120</f>
        <v>378.142517</v>
      </c>
      <c r="C120">
        <f>SPX!F120</f>
        <v>4567.7998049999997</v>
      </c>
      <c r="D120">
        <f t="shared" si="2"/>
        <v>0.12067084568743169</v>
      </c>
      <c r="E120">
        <f t="shared" si="3"/>
        <v>8.9179268775324783E-2</v>
      </c>
    </row>
    <row r="121" spans="1:5">
      <c r="A121" s="4">
        <f>MSFT!A121</f>
        <v>45261</v>
      </c>
      <c r="B121">
        <f>MSFT!F121</f>
        <v>368.79998799999998</v>
      </c>
      <c r="C121">
        <f>SPX!F121</f>
        <v>4549.3398440000001</v>
      </c>
      <c r="D121">
        <f t="shared" si="2"/>
        <v>-2.4706370164664704E-2</v>
      </c>
      <c r="E121">
        <f t="shared" si="3"/>
        <v>-4.0413244424137851E-3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CE1D9-D2FE-884B-9EB6-36DFFD925DB6}">
  <dimension ref="A1:G121"/>
  <sheetViews>
    <sheetView workbookViewId="0">
      <selection activeCell="G121" sqref="F1:G121"/>
    </sheetView>
  </sheetViews>
  <sheetFormatPr baseColWidth="10" defaultRowHeight="13"/>
  <sheetData>
    <row r="1" spans="1:7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</row>
    <row r="2" spans="1:7">
      <c r="A2" s="4">
        <f>MSFT!A2</f>
        <v>41640</v>
      </c>
      <c r="B2">
        <f>MSFT!F2</f>
        <v>31.863426</v>
      </c>
      <c r="C2">
        <f>SPX!F2</f>
        <v>1782.589966</v>
      </c>
      <c r="F2">
        <v>100</v>
      </c>
      <c r="G2">
        <v>100</v>
      </c>
    </row>
    <row r="3" spans="1:7">
      <c r="A3" s="4">
        <f>MSFT!A3</f>
        <v>41671</v>
      </c>
      <c r="B3">
        <f>MSFT!F3</f>
        <v>32.259186</v>
      </c>
      <c r="C3">
        <f>SPX!F3</f>
        <v>1859.4499510000001</v>
      </c>
      <c r="D3">
        <f>B3/B2-1</f>
        <v>1.2420509960228365E-2</v>
      </c>
      <c r="E3">
        <f>C3/C2-1</f>
        <v>4.3117029976595278E-2</v>
      </c>
      <c r="F3">
        <f>F2*(1+D3)</f>
        <v>101.24205099602284</v>
      </c>
      <c r="G3">
        <f>G2*(1+E3)</f>
        <v>104.31170299765952</v>
      </c>
    </row>
    <row r="4" spans="1:7">
      <c r="A4" s="4">
        <f>MSFT!A4</f>
        <v>41699</v>
      </c>
      <c r="B4">
        <f>MSFT!F4</f>
        <v>34.774731000000003</v>
      </c>
      <c r="C4">
        <f>SPX!F4</f>
        <v>1872.339966</v>
      </c>
      <c r="D4">
        <f t="shared" ref="D4:E67" si="0">B4/B3-1</f>
        <v>7.7979183975690036E-2</v>
      </c>
      <c r="E4">
        <f t="shared" si="0"/>
        <v>6.9321656079357474E-3</v>
      </c>
      <c r="F4">
        <f t="shared" ref="F4:F67" si="1">F3*(1+D4)</f>
        <v>109.1368235167179</v>
      </c>
      <c r="G4">
        <f t="shared" ref="G4:G67" si="2">G3*(1+E4)</f>
        <v>105.0348089976851</v>
      </c>
    </row>
    <row r="5" spans="1:7">
      <c r="A5" s="4">
        <f>MSFT!A5</f>
        <v>41730</v>
      </c>
      <c r="B5">
        <f>MSFT!F5</f>
        <v>34.274185000000003</v>
      </c>
      <c r="C5">
        <f>SPX!F5</f>
        <v>1883.9499510000001</v>
      </c>
      <c r="D5">
        <f t="shared" si="0"/>
        <v>-1.439395749747141E-2</v>
      </c>
      <c r="E5">
        <f t="shared" si="0"/>
        <v>6.2007889650528281E-3</v>
      </c>
      <c r="F5">
        <f t="shared" si="1"/>
        <v>107.56591271760922</v>
      </c>
      <c r="G5">
        <f t="shared" si="2"/>
        <v>105.68610768226438</v>
      </c>
    </row>
    <row r="6" spans="1:7">
      <c r="A6" s="4">
        <f>MSFT!A6</f>
        <v>41760</v>
      </c>
      <c r="B6">
        <f>MSFT!F6</f>
        <v>34.732300000000002</v>
      </c>
      <c r="C6">
        <f>SPX!F6</f>
        <v>1923.5699460000001</v>
      </c>
      <c r="D6">
        <f t="shared" si="0"/>
        <v>1.3366182157212414E-2</v>
      </c>
      <c r="E6">
        <f t="shared" si="0"/>
        <v>2.1030280012996005E-2</v>
      </c>
      <c r="F6">
        <f t="shared" si="1"/>
        <v>109.0036583008996</v>
      </c>
      <c r="G6">
        <f t="shared" si="2"/>
        <v>107.90871612030605</v>
      </c>
    </row>
    <row r="7" spans="1:7">
      <c r="A7" s="4">
        <f>MSFT!A7</f>
        <v>41791</v>
      </c>
      <c r="B7">
        <f>MSFT!F7</f>
        <v>35.626632999999998</v>
      </c>
      <c r="C7">
        <f>SPX!F7</f>
        <v>1960.2299800000001</v>
      </c>
      <c r="D7">
        <f t="shared" si="0"/>
        <v>2.5749316918257437E-2</v>
      </c>
      <c r="E7">
        <f t="shared" si="0"/>
        <v>1.9058331658920569E-2</v>
      </c>
      <c r="F7">
        <f t="shared" si="1"/>
        <v>111.81042804373891</v>
      </c>
      <c r="G7">
        <f t="shared" si="2"/>
        <v>109.96527622101516</v>
      </c>
    </row>
    <row r="8" spans="1:7">
      <c r="A8" s="4">
        <f>MSFT!A8</f>
        <v>41821</v>
      </c>
      <c r="B8">
        <f>MSFT!F8</f>
        <v>36.873992999999999</v>
      </c>
      <c r="C8">
        <f>SPX!F8</f>
        <v>1930.670044</v>
      </c>
      <c r="D8">
        <f t="shared" si="0"/>
        <v>3.5012009133728705E-2</v>
      </c>
      <c r="E8">
        <f t="shared" si="0"/>
        <v>-1.5079830581919862E-2</v>
      </c>
      <c r="F8">
        <f t="shared" si="1"/>
        <v>115.72513577165242</v>
      </c>
      <c r="G8">
        <f t="shared" si="2"/>
        <v>108.30701848570823</v>
      </c>
    </row>
    <row r="9" spans="1:7">
      <c r="A9" s="4">
        <f>MSFT!A9</f>
        <v>41852</v>
      </c>
      <c r="B9">
        <f>MSFT!F9</f>
        <v>38.813389000000001</v>
      </c>
      <c r="C9">
        <f>SPX!F9</f>
        <v>2003.369995</v>
      </c>
      <c r="D9">
        <f t="shared" si="0"/>
        <v>5.2595226125903949E-2</v>
      </c>
      <c r="E9">
        <f t="shared" si="0"/>
        <v>3.7655295489735119E-2</v>
      </c>
      <c r="F9">
        <f t="shared" si="1"/>
        <v>121.81172545601342</v>
      </c>
      <c r="G9">
        <f t="shared" si="2"/>
        <v>112.38535127039978</v>
      </c>
    </row>
    <row r="10" spans="1:7">
      <c r="A10" s="4">
        <f>MSFT!A10</f>
        <v>41883</v>
      </c>
      <c r="B10">
        <f>MSFT!F10</f>
        <v>39.855308999999998</v>
      </c>
      <c r="C10">
        <f>SPX!F10</f>
        <v>1972.290039</v>
      </c>
      <c r="D10">
        <f t="shared" si="0"/>
        <v>2.6844344872847703E-2</v>
      </c>
      <c r="E10">
        <f t="shared" si="0"/>
        <v>-1.5513837223063764E-2</v>
      </c>
      <c r="F10">
        <f t="shared" si="1"/>
        <v>125.08168142371129</v>
      </c>
      <c r="G10">
        <f t="shared" si="2"/>
        <v>110.64182322453395</v>
      </c>
    </row>
    <row r="11" spans="1:7">
      <c r="A11" s="4">
        <f>MSFT!A11</f>
        <v>41913</v>
      </c>
      <c r="B11">
        <f>MSFT!F11</f>
        <v>40.362533999999997</v>
      </c>
      <c r="C11">
        <f>SPX!F11</f>
        <v>2018.0500489999999</v>
      </c>
      <c r="D11">
        <f t="shared" si="0"/>
        <v>1.2726660832061309E-2</v>
      </c>
      <c r="E11">
        <f t="shared" si="0"/>
        <v>2.3201460786772321E-2</v>
      </c>
      <c r="F11">
        <f t="shared" si="1"/>
        <v>126.67355355949481</v>
      </c>
      <c r="G11">
        <f t="shared" si="2"/>
        <v>113.20887514745498</v>
      </c>
    </row>
    <row r="12" spans="1:7">
      <c r="A12" s="4">
        <f>MSFT!A12</f>
        <v>41944</v>
      </c>
      <c r="B12">
        <f>MSFT!F12</f>
        <v>41.101875</v>
      </c>
      <c r="C12">
        <f>SPX!F12</f>
        <v>2067.5600589999999</v>
      </c>
      <c r="D12">
        <f t="shared" si="0"/>
        <v>1.8317507022725721E-2</v>
      </c>
      <c r="E12">
        <f t="shared" si="0"/>
        <v>2.4533588760364822E-2</v>
      </c>
      <c r="F12">
        <f t="shared" si="1"/>
        <v>128.99389726641448</v>
      </c>
      <c r="G12">
        <f t="shared" si="2"/>
        <v>115.98629513434612</v>
      </c>
    </row>
    <row r="13" spans="1:7">
      <c r="A13" s="4">
        <f>MSFT!A13</f>
        <v>41974</v>
      </c>
      <c r="B13">
        <f>MSFT!F13</f>
        <v>40.184562999999997</v>
      </c>
      <c r="C13">
        <f>SPX!F13</f>
        <v>2058.8999020000001</v>
      </c>
      <c r="D13">
        <f t="shared" si="0"/>
        <v>-2.2318008606663331E-2</v>
      </c>
      <c r="E13">
        <f t="shared" si="0"/>
        <v>-4.1885878779204244E-3</v>
      </c>
      <c r="F13">
        <f t="shared" si="1"/>
        <v>126.11501035701559</v>
      </c>
      <c r="G13">
        <f t="shared" si="2"/>
        <v>115.5004763445415</v>
      </c>
    </row>
    <row r="14" spans="1:7">
      <c r="A14" s="4">
        <f>MSFT!A14</f>
        <v>42005</v>
      </c>
      <c r="B14">
        <f>MSFT!F14</f>
        <v>34.950626</v>
      </c>
      <c r="C14">
        <f>SPX!F14</f>
        <v>1994.98999</v>
      </c>
      <c r="D14">
        <f t="shared" si="0"/>
        <v>-0.13024745348107925</v>
      </c>
      <c r="E14">
        <f t="shared" si="0"/>
        <v>-3.1040805790470194E-2</v>
      </c>
      <c r="F14">
        <f t="shared" si="1"/>
        <v>109.68885141227437</v>
      </c>
      <c r="G14">
        <f t="shared" si="2"/>
        <v>111.91524848962379</v>
      </c>
    </row>
    <row r="15" spans="1:7">
      <c r="A15" s="4">
        <f>MSFT!A15</f>
        <v>42036</v>
      </c>
      <c r="B15">
        <f>MSFT!F15</f>
        <v>37.935253000000003</v>
      </c>
      <c r="C15">
        <f>SPX!F15</f>
        <v>2104.5</v>
      </c>
      <c r="D15">
        <f t="shared" si="0"/>
        <v>8.5395523387764349E-2</v>
      </c>
      <c r="E15">
        <f t="shared" si="0"/>
        <v>5.4892511014553946E-2</v>
      </c>
      <c r="F15">
        <f t="shared" si="1"/>
        <v>119.05578828842826</v>
      </c>
      <c r="G15">
        <f t="shared" si="2"/>
        <v>118.05855750003701</v>
      </c>
    </row>
    <row r="16" spans="1:7">
      <c r="A16" s="4">
        <f>MSFT!A16</f>
        <v>42064</v>
      </c>
      <c r="B16">
        <f>MSFT!F16</f>
        <v>35.425873000000003</v>
      </c>
      <c r="C16">
        <f>SPX!F16</f>
        <v>2067.889893</v>
      </c>
      <c r="D16">
        <f t="shared" si="0"/>
        <v>-6.6149025024295982E-2</v>
      </c>
      <c r="E16">
        <f t="shared" si="0"/>
        <v>-1.739610691375626E-2</v>
      </c>
      <c r="F16">
        <f t="shared" si="1"/>
        <v>111.18036396964973</v>
      </c>
      <c r="G16">
        <f t="shared" si="2"/>
        <v>116.00479821168253</v>
      </c>
    </row>
    <row r="17" spans="1:7">
      <c r="A17" s="4">
        <f>MSFT!A17</f>
        <v>42095</v>
      </c>
      <c r="B17">
        <f>MSFT!F17</f>
        <v>42.378601000000003</v>
      </c>
      <c r="C17">
        <f>SPX!F17</f>
        <v>2085.51001</v>
      </c>
      <c r="D17">
        <f t="shared" si="0"/>
        <v>0.19626130314417378</v>
      </c>
      <c r="E17">
        <f t="shared" si="0"/>
        <v>8.5208197301247512E-3</v>
      </c>
      <c r="F17">
        <f t="shared" si="1"/>
        <v>133.00076708637673</v>
      </c>
      <c r="G17">
        <f t="shared" si="2"/>
        <v>116.99325418507377</v>
      </c>
    </row>
    <row r="18" spans="1:7">
      <c r="A18" s="4">
        <f>MSFT!A18</f>
        <v>42125</v>
      </c>
      <c r="B18">
        <f>MSFT!F18</f>
        <v>40.827744000000003</v>
      </c>
      <c r="C18">
        <f>SPX!F18</f>
        <v>2107.389893</v>
      </c>
      <c r="D18">
        <f t="shared" si="0"/>
        <v>-3.6595285436628711E-2</v>
      </c>
      <c r="E18">
        <f t="shared" si="0"/>
        <v>1.0491382393316817E-2</v>
      </c>
      <c r="F18">
        <f t="shared" si="1"/>
        <v>128.13356605156019</v>
      </c>
      <c r="G18">
        <f t="shared" si="2"/>
        <v>118.22067515216789</v>
      </c>
    </row>
    <row r="19" spans="1:7">
      <c r="A19" s="4">
        <f>MSFT!A19</f>
        <v>42156</v>
      </c>
      <c r="B19">
        <f>MSFT!F19</f>
        <v>38.716591000000001</v>
      </c>
      <c r="C19">
        <f>SPX!F19</f>
        <v>2063.110107</v>
      </c>
      <c r="D19">
        <f t="shared" si="0"/>
        <v>-5.1708784105239824E-2</v>
      </c>
      <c r="E19">
        <f t="shared" si="0"/>
        <v>-2.1011672375900514E-2</v>
      </c>
      <c r="F19">
        <f t="shared" si="1"/>
        <v>121.50793514796558</v>
      </c>
      <c r="G19">
        <f t="shared" si="2"/>
        <v>115.73666105781277</v>
      </c>
    </row>
    <row r="20" spans="1:7">
      <c r="A20" s="4">
        <f>MSFT!A20</f>
        <v>42186</v>
      </c>
      <c r="B20">
        <f>MSFT!F20</f>
        <v>40.952778000000002</v>
      </c>
      <c r="C20">
        <f>SPX!F20</f>
        <v>2103.8400879999999</v>
      </c>
      <c r="D20">
        <f t="shared" si="0"/>
        <v>5.7757848566781123E-2</v>
      </c>
      <c r="E20">
        <f t="shared" si="0"/>
        <v>1.9742029696721453E-2</v>
      </c>
      <c r="F20">
        <f t="shared" si="1"/>
        <v>128.52597206590403</v>
      </c>
      <c r="G20">
        <f t="shared" si="2"/>
        <v>118.02153765741549</v>
      </c>
    </row>
    <row r="21" spans="1:7">
      <c r="A21" s="4">
        <f>MSFT!A21</f>
        <v>42217</v>
      </c>
      <c r="B21">
        <f>MSFT!F21</f>
        <v>38.164138999999999</v>
      </c>
      <c r="C21">
        <f>SPX!F21</f>
        <v>1972.1800539999999</v>
      </c>
      <c r="D21">
        <f t="shared" si="0"/>
        <v>-6.8094013060603698E-2</v>
      </c>
      <c r="E21">
        <f t="shared" si="0"/>
        <v>-6.2580818167202845E-2</v>
      </c>
      <c r="F21">
        <f t="shared" si="1"/>
        <v>119.77412284542157</v>
      </c>
      <c r="G21">
        <f t="shared" si="2"/>
        <v>110.63565326946309</v>
      </c>
    </row>
    <row r="22" spans="1:7">
      <c r="A22" s="4">
        <f>MSFT!A22</f>
        <v>42248</v>
      </c>
      <c r="B22">
        <f>MSFT!F22</f>
        <v>39.069012000000001</v>
      </c>
      <c r="C22">
        <f>SPX!F22</f>
        <v>1920.030029</v>
      </c>
      <c r="D22">
        <f t="shared" si="0"/>
        <v>2.3710033128220287E-2</v>
      </c>
      <c r="E22">
        <f t="shared" si="0"/>
        <v>-2.6442831573227132E-2</v>
      </c>
      <c r="F22">
        <f t="shared" si="1"/>
        <v>122.61397126599005</v>
      </c>
      <c r="G22">
        <f t="shared" si="2"/>
        <v>107.71013332406473</v>
      </c>
    </row>
    <row r="23" spans="1:7">
      <c r="A23" s="4">
        <f>MSFT!A23</f>
        <v>42278</v>
      </c>
      <c r="B23">
        <f>MSFT!F23</f>
        <v>46.466183000000001</v>
      </c>
      <c r="C23">
        <f>SPX!F23</f>
        <v>2079.360107</v>
      </c>
      <c r="D23">
        <f t="shared" si="0"/>
        <v>0.18933601392325961</v>
      </c>
      <c r="E23">
        <f t="shared" si="0"/>
        <v>8.2983117760394132E-2</v>
      </c>
      <c r="F23">
        <f t="shared" si="1"/>
        <v>145.82921183679369</v>
      </c>
      <c r="G23">
        <f t="shared" si="2"/>
        <v>116.64825600168335</v>
      </c>
    </row>
    <row r="24" spans="1:7">
      <c r="A24" s="4">
        <f>MSFT!A24</f>
        <v>42309</v>
      </c>
      <c r="B24">
        <f>MSFT!F24</f>
        <v>47.975616000000002</v>
      </c>
      <c r="C24">
        <f>SPX!F24</f>
        <v>2080.4099120000001</v>
      </c>
      <c r="D24">
        <f t="shared" si="0"/>
        <v>3.2484549032142374E-2</v>
      </c>
      <c r="E24">
        <f t="shared" si="0"/>
        <v>5.0486926072412786E-4</v>
      </c>
      <c r="F24">
        <f t="shared" si="1"/>
        <v>150.56640801902469</v>
      </c>
      <c r="G24">
        <f t="shared" si="2"/>
        <v>116.70714812045568</v>
      </c>
    </row>
    <row r="25" spans="1:7">
      <c r="A25" s="4">
        <f>MSFT!A25</f>
        <v>42339</v>
      </c>
      <c r="B25">
        <f>MSFT!F25</f>
        <v>49.303165</v>
      </c>
      <c r="C25">
        <f>SPX!F25</f>
        <v>2043.9399410000001</v>
      </c>
      <c r="D25">
        <f t="shared" si="0"/>
        <v>2.7671327867890172E-2</v>
      </c>
      <c r="E25">
        <f t="shared" si="0"/>
        <v>-1.7530185176314439E-2</v>
      </c>
      <c r="F25">
        <f t="shared" si="1"/>
        <v>154.73278046120964</v>
      </c>
      <c r="G25">
        <f t="shared" si="2"/>
        <v>114.66125020250453</v>
      </c>
    </row>
    <row r="26" spans="1:7">
      <c r="A26" s="4">
        <f>MSFT!A26</f>
        <v>42370</v>
      </c>
      <c r="B26">
        <f>MSFT!F26</f>
        <v>48.956595999999998</v>
      </c>
      <c r="C26">
        <f>SPX!F26</f>
        <v>1940.23999</v>
      </c>
      <c r="D26">
        <f t="shared" si="0"/>
        <v>-7.0293458847926482E-3</v>
      </c>
      <c r="E26">
        <f t="shared" si="0"/>
        <v>-5.073532197294639E-2</v>
      </c>
      <c r="F26">
        <f t="shared" si="1"/>
        <v>153.6451102276321</v>
      </c>
      <c r="G26">
        <f t="shared" si="2"/>
        <v>108.8438747556599</v>
      </c>
    </row>
    <row r="27" spans="1:7">
      <c r="A27" s="4">
        <f>MSFT!A27</f>
        <v>42401</v>
      </c>
      <c r="B27">
        <f>MSFT!F27</f>
        <v>45.215321000000003</v>
      </c>
      <c r="C27">
        <f>SPX!F27</f>
        <v>1932.2299800000001</v>
      </c>
      <c r="D27">
        <f t="shared" si="0"/>
        <v>-7.6420243760411677E-2</v>
      </c>
      <c r="E27">
        <f t="shared" si="0"/>
        <v>-4.1283604302990717E-3</v>
      </c>
      <c r="F27">
        <f t="shared" si="1"/>
        <v>141.90351345144114</v>
      </c>
      <c r="G27">
        <f t="shared" si="2"/>
        <v>108.3945280100382</v>
      </c>
    </row>
    <row r="28" spans="1:7">
      <c r="A28" s="4">
        <f>MSFT!A28</f>
        <v>42430</v>
      </c>
      <c r="B28">
        <f>MSFT!F28</f>
        <v>49.433411</v>
      </c>
      <c r="C28">
        <f>SPX!F28</f>
        <v>2059.73999</v>
      </c>
      <c r="D28">
        <f t="shared" si="0"/>
        <v>9.3288953980886102E-2</v>
      </c>
      <c r="E28">
        <f t="shared" si="0"/>
        <v>6.5991114577365062E-2</v>
      </c>
      <c r="F28">
        <f t="shared" si="1"/>
        <v>155.14154378753869</v>
      </c>
      <c r="G28">
        <f t="shared" si="2"/>
        <v>115.54760372750803</v>
      </c>
    </row>
    <row r="29" spans="1:7">
      <c r="A29" s="4">
        <f>MSFT!A29</f>
        <v>42461</v>
      </c>
      <c r="B29">
        <f>MSFT!F29</f>
        <v>44.635967000000001</v>
      </c>
      <c r="C29">
        <f>SPX!F29</f>
        <v>2065.3000489999999</v>
      </c>
      <c r="D29">
        <f t="shared" si="0"/>
        <v>-9.7048613537916717E-2</v>
      </c>
      <c r="E29">
        <f t="shared" si="0"/>
        <v>2.6993984808731941E-3</v>
      </c>
      <c r="F29">
        <f t="shared" si="1"/>
        <v>140.08527206082607</v>
      </c>
      <c r="G29">
        <f t="shared" si="2"/>
        <v>115.85951275347861</v>
      </c>
    </row>
    <row r="30" spans="1:7">
      <c r="A30" s="4">
        <f>MSFT!A30</f>
        <v>42491</v>
      </c>
      <c r="B30">
        <f>MSFT!F30</f>
        <v>47.437449999999998</v>
      </c>
      <c r="C30">
        <f>SPX!F30</f>
        <v>2096.9499510000001</v>
      </c>
      <c r="D30">
        <f t="shared" si="0"/>
        <v>6.2762905976698091E-2</v>
      </c>
      <c r="E30">
        <f t="shared" si="0"/>
        <v>1.5324602357572603E-2</v>
      </c>
      <c r="F30">
        <f t="shared" si="1"/>
        <v>148.87743081989987</v>
      </c>
      <c r="G30">
        <f t="shared" si="2"/>
        <v>117.63501371576778</v>
      </c>
    </row>
    <row r="31" spans="1:7">
      <c r="A31" s="4">
        <f>MSFT!A31</f>
        <v>42522</v>
      </c>
      <c r="B31">
        <f>MSFT!F31</f>
        <v>46.119858000000001</v>
      </c>
      <c r="C31">
        <f>SPX!F31</f>
        <v>2098.860107</v>
      </c>
      <c r="D31">
        <f t="shared" si="0"/>
        <v>-2.777535470393111E-2</v>
      </c>
      <c r="E31">
        <f t="shared" si="0"/>
        <v>9.1092112097812539E-4</v>
      </c>
      <c r="F31">
        <f t="shared" si="1"/>
        <v>144.74230737146718</v>
      </c>
      <c r="G31">
        <f t="shared" si="2"/>
        <v>117.74216993432803</v>
      </c>
    </row>
    <row r="32" spans="1:7">
      <c r="A32" s="4">
        <f>MSFT!A32</f>
        <v>42552</v>
      </c>
      <c r="B32">
        <f>MSFT!F32</f>
        <v>51.086060000000003</v>
      </c>
      <c r="C32">
        <f>SPX!F32</f>
        <v>2173.6000979999999</v>
      </c>
      <c r="D32">
        <f t="shared" si="0"/>
        <v>0.10768034021266937</v>
      </c>
      <c r="E32">
        <f t="shared" si="0"/>
        <v>3.5609801125254359E-2</v>
      </c>
      <c r="F32">
        <f t="shared" si="1"/>
        <v>160.32820827239351</v>
      </c>
      <c r="G32">
        <f t="shared" si="2"/>
        <v>121.93494518974536</v>
      </c>
    </row>
    <row r="33" spans="1:7">
      <c r="A33" s="4">
        <f>MSFT!A33</f>
        <v>42583</v>
      </c>
      <c r="B33">
        <f>MSFT!F33</f>
        <v>51.789082000000001</v>
      </c>
      <c r="C33">
        <f>SPX!F33</f>
        <v>2170.9499510000001</v>
      </c>
      <c r="D33">
        <f t="shared" si="0"/>
        <v>1.3761523202219905E-2</v>
      </c>
      <c r="E33">
        <f t="shared" si="0"/>
        <v>-1.2192431360480427E-3</v>
      </c>
      <c r="F33">
        <f t="shared" si="1"/>
        <v>162.5345686305044</v>
      </c>
      <c r="G33">
        <f t="shared" si="2"/>
        <v>121.78627684477837</v>
      </c>
    </row>
    <row r="34" spans="1:7">
      <c r="A34" s="4">
        <f>MSFT!A34</f>
        <v>42614</v>
      </c>
      <c r="B34">
        <f>MSFT!F34</f>
        <v>52.238833999999997</v>
      </c>
      <c r="C34">
        <f>SPX!F34</f>
        <v>2168.2700199999999</v>
      </c>
      <c r="D34">
        <f t="shared" si="0"/>
        <v>8.6843014518001027E-3</v>
      </c>
      <c r="E34">
        <f t="shared" si="0"/>
        <v>-1.2344508443253854E-3</v>
      </c>
      <c r="F34">
        <f t="shared" si="1"/>
        <v>163.94606782083</v>
      </c>
      <c r="G34">
        <f t="shared" si="2"/>
        <v>121.63593767250009</v>
      </c>
    </row>
    <row r="35" spans="1:7">
      <c r="A35" s="4">
        <f>MSFT!A35</f>
        <v>42644</v>
      </c>
      <c r="B35">
        <f>MSFT!F35</f>
        <v>54.342888000000002</v>
      </c>
      <c r="C35">
        <f>SPX!F35</f>
        <v>2126.1499020000001</v>
      </c>
      <c r="D35">
        <f t="shared" si="0"/>
        <v>4.0277583531056704E-2</v>
      </c>
      <c r="E35">
        <f t="shared" si="0"/>
        <v>-1.9425679279557517E-2</v>
      </c>
      <c r="F35">
        <f t="shared" si="1"/>
        <v>170.54941926207175</v>
      </c>
      <c r="G35">
        <f t="shared" si="2"/>
        <v>119.27307695840585</v>
      </c>
    </row>
    <row r="36" spans="1:7">
      <c r="A36" s="4">
        <f>MSFT!A36</f>
        <v>42675</v>
      </c>
      <c r="B36">
        <f>MSFT!F36</f>
        <v>54.651249</v>
      </c>
      <c r="C36">
        <f>SPX!F36</f>
        <v>2198.8100589999999</v>
      </c>
      <c r="D36">
        <f t="shared" si="0"/>
        <v>5.6743579767051244E-3</v>
      </c>
      <c r="E36">
        <f t="shared" si="0"/>
        <v>3.4174522187570444E-2</v>
      </c>
      <c r="F36">
        <f t="shared" si="1"/>
        <v>171.51717771968393</v>
      </c>
      <c r="G36">
        <f t="shared" si="2"/>
        <v>123.34917737330069</v>
      </c>
    </row>
    <row r="37" spans="1:7">
      <c r="A37" s="4">
        <f>MSFT!A37</f>
        <v>42705</v>
      </c>
      <c r="B37">
        <f>MSFT!F37</f>
        <v>56.736984</v>
      </c>
      <c r="C37">
        <f>SPX!F37</f>
        <v>2238.830078</v>
      </c>
      <c r="D37">
        <f t="shared" si="0"/>
        <v>3.81644525635636E-2</v>
      </c>
      <c r="E37">
        <f t="shared" si="0"/>
        <v>1.8200762196895148E-2</v>
      </c>
      <c r="F37">
        <f t="shared" si="1"/>
        <v>178.06303691260311</v>
      </c>
      <c r="G37">
        <f t="shared" si="2"/>
        <v>125.59422641785477</v>
      </c>
    </row>
    <row r="38" spans="1:7">
      <c r="A38" s="4">
        <f>MSFT!A38</f>
        <v>42736</v>
      </c>
      <c r="B38">
        <f>MSFT!F38</f>
        <v>59.028748</v>
      </c>
      <c r="C38">
        <f>SPX!F38</f>
        <v>2278.8701169999999</v>
      </c>
      <c r="D38">
        <f t="shared" si="0"/>
        <v>4.0392770965760105E-2</v>
      </c>
      <c r="E38">
        <f t="shared" si="0"/>
        <v>1.7884358171464498E-2</v>
      </c>
      <c r="F38">
        <f t="shared" si="1"/>
        <v>185.25549638008158</v>
      </c>
      <c r="G38">
        <f t="shared" si="2"/>
        <v>127.84039854737969</v>
      </c>
    </row>
    <row r="39" spans="1:7">
      <c r="A39" s="4">
        <f>MSFT!A39</f>
        <v>42767</v>
      </c>
      <c r="B39">
        <f>MSFT!F39</f>
        <v>58.416995999999997</v>
      </c>
      <c r="C39">
        <f>SPX!F39</f>
        <v>2363.639893</v>
      </c>
      <c r="D39">
        <f t="shared" si="0"/>
        <v>-1.0363628244326017E-2</v>
      </c>
      <c r="E39">
        <f t="shared" si="0"/>
        <v>3.7198160337279074E-2</v>
      </c>
      <c r="F39">
        <f t="shared" si="1"/>
        <v>183.33557728538034</v>
      </c>
      <c r="G39">
        <f t="shared" si="2"/>
        <v>132.59582619012679</v>
      </c>
    </row>
    <row r="40" spans="1:7">
      <c r="A40" s="4">
        <f>MSFT!A40</f>
        <v>42795</v>
      </c>
      <c r="B40">
        <f>MSFT!F40</f>
        <v>60.498100000000001</v>
      </c>
      <c r="C40">
        <f>SPX!F40</f>
        <v>2362.719971</v>
      </c>
      <c r="D40">
        <f t="shared" si="0"/>
        <v>3.5624974622111782E-2</v>
      </c>
      <c r="E40">
        <f t="shared" si="0"/>
        <v>-3.8919718808450021E-4</v>
      </c>
      <c r="F40">
        <f t="shared" si="1"/>
        <v>189.86690257350222</v>
      </c>
      <c r="G40">
        <f t="shared" si="2"/>
        <v>132.54422026742185</v>
      </c>
    </row>
    <row r="41" spans="1:7">
      <c r="A41" s="4">
        <f>MSFT!A41</f>
        <v>42826</v>
      </c>
      <c r="B41">
        <f>MSFT!F41</f>
        <v>62.886398</v>
      </c>
      <c r="C41">
        <f>SPX!F41</f>
        <v>2384.1999510000001</v>
      </c>
      <c r="D41">
        <f t="shared" si="0"/>
        <v>3.9477239781084084E-2</v>
      </c>
      <c r="E41">
        <f t="shared" si="0"/>
        <v>9.0912085493182193E-3</v>
      </c>
      <c r="F41">
        <f t="shared" si="1"/>
        <v>197.36232381288809</v>
      </c>
      <c r="G41">
        <f t="shared" si="2"/>
        <v>133.74920741587974</v>
      </c>
    </row>
    <row r="42" spans="1:7">
      <c r="A42" s="4">
        <f>MSFT!A42</f>
        <v>42856</v>
      </c>
      <c r="B42">
        <f>MSFT!F42</f>
        <v>64.154053000000005</v>
      </c>
      <c r="C42">
        <f>SPX!F42</f>
        <v>2411.8000489999999</v>
      </c>
      <c r="D42">
        <f t="shared" si="0"/>
        <v>2.0157856711716882E-2</v>
      </c>
      <c r="E42">
        <f t="shared" si="0"/>
        <v>1.157625139134133E-2</v>
      </c>
      <c r="F42">
        <f t="shared" si="1"/>
        <v>201.34072525659977</v>
      </c>
      <c r="G42">
        <f t="shared" si="2"/>
        <v>135.29752186431861</v>
      </c>
    </row>
    <row r="43" spans="1:7">
      <c r="A43" s="4">
        <f>MSFT!A43</f>
        <v>42887</v>
      </c>
      <c r="B43">
        <f>MSFT!F43</f>
        <v>63.681091000000002</v>
      </c>
      <c r="C43">
        <f>SPX!F43</f>
        <v>2423.4099120000001</v>
      </c>
      <c r="D43">
        <f t="shared" si="0"/>
        <v>-7.3722855826428013E-3</v>
      </c>
      <c r="E43">
        <f t="shared" si="0"/>
        <v>4.8137750908554544E-3</v>
      </c>
      <c r="F43">
        <f t="shared" si="1"/>
        <v>199.8563839305917</v>
      </c>
      <c r="G43">
        <f t="shared" si="2"/>
        <v>135.94881370492354</v>
      </c>
    </row>
    <row r="44" spans="1:7">
      <c r="A44" s="4">
        <f>MSFT!A44</f>
        <v>42917</v>
      </c>
      <c r="B44">
        <f>MSFT!F44</f>
        <v>67.16404</v>
      </c>
      <c r="C44">
        <f>SPX!F44</f>
        <v>2470.3000489999999</v>
      </c>
      <c r="D44">
        <f t="shared" si="0"/>
        <v>5.4693613838996624E-2</v>
      </c>
      <c r="E44">
        <f t="shared" si="0"/>
        <v>1.9348826118030571E-2</v>
      </c>
      <c r="F44">
        <f t="shared" si="1"/>
        <v>210.78725181654974</v>
      </c>
      <c r="G44">
        <f t="shared" si="2"/>
        <v>138.57926366225263</v>
      </c>
    </row>
    <row r="45" spans="1:7">
      <c r="A45" s="4">
        <f>MSFT!A45</f>
        <v>42948</v>
      </c>
      <c r="B45">
        <f>MSFT!F45</f>
        <v>69.076369999999997</v>
      </c>
      <c r="C45">
        <f>SPX!F45</f>
        <v>2471.6499020000001</v>
      </c>
      <c r="D45">
        <f t="shared" si="0"/>
        <v>2.8472527858657726E-2</v>
      </c>
      <c r="E45">
        <f t="shared" si="0"/>
        <v>5.4643281108557318E-4</v>
      </c>
      <c r="F45">
        <f t="shared" si="1"/>
        <v>216.78889771614635</v>
      </c>
      <c r="G45">
        <f t="shared" si="2"/>
        <v>138.65498791885375</v>
      </c>
    </row>
    <row r="46" spans="1:7">
      <c r="A46" s="4">
        <f>MSFT!A46</f>
        <v>42979</v>
      </c>
      <c r="B46">
        <f>MSFT!F46</f>
        <v>69.184380000000004</v>
      </c>
      <c r="C46">
        <f>SPX!F46</f>
        <v>2519.360107</v>
      </c>
      <c r="D46">
        <f t="shared" si="0"/>
        <v>1.5636316731757471E-3</v>
      </c>
      <c r="E46">
        <f t="shared" si="0"/>
        <v>1.9302978533243698E-2</v>
      </c>
      <c r="F46">
        <f t="shared" si="1"/>
        <v>217.12787570300819</v>
      </c>
      <c r="G46">
        <f t="shared" si="2"/>
        <v>141.33144217417853</v>
      </c>
    </row>
    <row r="47" spans="1:7">
      <c r="A47" s="4">
        <f>MSFT!A47</f>
        <v>43009</v>
      </c>
      <c r="B47">
        <f>MSFT!F47</f>
        <v>77.255393999999995</v>
      </c>
      <c r="C47">
        <f>SPX!F47</f>
        <v>2575.26001</v>
      </c>
      <c r="D47">
        <f t="shared" si="0"/>
        <v>0.11665948296421802</v>
      </c>
      <c r="E47">
        <f t="shared" si="0"/>
        <v>2.218813533034969E-2</v>
      </c>
      <c r="F47">
        <f t="shared" si="1"/>
        <v>242.45790141964011</v>
      </c>
      <c r="G47">
        <f t="shared" si="2"/>
        <v>144.46732333957269</v>
      </c>
    </row>
    <row r="48" spans="1:7">
      <c r="A48" s="4">
        <f>MSFT!A48</f>
        <v>43040</v>
      </c>
      <c r="B48">
        <f>MSFT!F48</f>
        <v>78.174888999999993</v>
      </c>
      <c r="C48">
        <f>SPX!F48</f>
        <v>2647.580078</v>
      </c>
      <c r="D48">
        <f t="shared" si="0"/>
        <v>1.1902016835225737E-2</v>
      </c>
      <c r="E48">
        <f t="shared" si="0"/>
        <v>2.808262766445857E-2</v>
      </c>
      <c r="F48">
        <f t="shared" si="1"/>
        <v>245.34363944417018</v>
      </c>
      <c r="G48">
        <f t="shared" si="2"/>
        <v>148.52434539059885</v>
      </c>
    </row>
    <row r="49" spans="1:7">
      <c r="A49" s="4">
        <f>MSFT!A49</f>
        <v>43070</v>
      </c>
      <c r="B49">
        <f>MSFT!F49</f>
        <v>79.846298000000004</v>
      </c>
      <c r="C49">
        <f>SPX!F49</f>
        <v>2673.610107</v>
      </c>
      <c r="D49">
        <f t="shared" si="0"/>
        <v>2.1380382132682119E-2</v>
      </c>
      <c r="E49">
        <f t="shared" si="0"/>
        <v>9.8316304826040479E-3</v>
      </c>
      <c r="F49">
        <f t="shared" si="1"/>
        <v>250.58918020930952</v>
      </c>
      <c r="G49">
        <f t="shared" si="2"/>
        <v>149.98458187214987</v>
      </c>
    </row>
    <row r="50" spans="1:7">
      <c r="A50" s="4">
        <f>MSFT!A50</f>
        <v>43101</v>
      </c>
      <c r="B50">
        <f>MSFT!F50</f>
        <v>88.685958999999997</v>
      </c>
      <c r="C50">
        <f>SPX!F50</f>
        <v>2823.8100589999999</v>
      </c>
      <c r="D50">
        <f t="shared" si="0"/>
        <v>0.11070846390398703</v>
      </c>
      <c r="E50">
        <f t="shared" si="0"/>
        <v>5.6178704444133087E-2</v>
      </c>
      <c r="F50">
        <f t="shared" si="1"/>
        <v>278.33152342124157</v>
      </c>
      <c r="G50">
        <f t="shared" si="2"/>
        <v>158.41052136832226</v>
      </c>
    </row>
    <row r="51" spans="1:7">
      <c r="A51" s="4">
        <f>MSFT!A51</f>
        <v>43132</v>
      </c>
      <c r="B51">
        <f>MSFT!F51</f>
        <v>87.528487999999996</v>
      </c>
      <c r="C51">
        <f>SPX!F51</f>
        <v>2713.830078</v>
      </c>
      <c r="D51">
        <f t="shared" si="0"/>
        <v>-1.3051344463670955E-2</v>
      </c>
      <c r="E51">
        <f t="shared" si="0"/>
        <v>-3.8947372061896912E-2</v>
      </c>
      <c r="F51">
        <f t="shared" si="1"/>
        <v>274.69892283397263</v>
      </c>
      <c r="G51">
        <f t="shared" si="2"/>
        <v>152.24084785407115</v>
      </c>
    </row>
    <row r="52" spans="1:7">
      <c r="A52" s="4">
        <f>MSFT!A52</f>
        <v>43160</v>
      </c>
      <c r="B52">
        <f>MSFT!F52</f>
        <v>85.595107999999996</v>
      </c>
      <c r="C52">
        <f>SPX!F52</f>
        <v>2640.8701169999999</v>
      </c>
      <c r="D52">
        <f t="shared" si="0"/>
        <v>-2.2088579891840432E-2</v>
      </c>
      <c r="E52">
        <f t="shared" si="0"/>
        <v>-2.6884498624825115E-2</v>
      </c>
      <c r="F52">
        <f t="shared" si="1"/>
        <v>268.63121373075194</v>
      </c>
      <c r="G52">
        <f t="shared" si="2"/>
        <v>148.14792898929616</v>
      </c>
    </row>
    <row r="53" spans="1:7">
      <c r="A53" s="4">
        <f>MSFT!A53</f>
        <v>43191</v>
      </c>
      <c r="B53">
        <f>MSFT!F53</f>
        <v>87.705192999999994</v>
      </c>
      <c r="C53">
        <f>SPX!F53</f>
        <v>2648.0500489999999</v>
      </c>
      <c r="D53">
        <f t="shared" si="0"/>
        <v>2.4651934547474275E-2</v>
      </c>
      <c r="E53">
        <f t="shared" si="0"/>
        <v>2.718775131643536E-3</v>
      </c>
      <c r="F53">
        <f t="shared" si="1"/>
        <v>275.25349282905103</v>
      </c>
      <c r="G53">
        <f t="shared" si="2"/>
        <v>148.55070989443675</v>
      </c>
    </row>
    <row r="54" spans="1:7">
      <c r="A54" s="4">
        <f>MSFT!A54</f>
        <v>43221</v>
      </c>
      <c r="B54">
        <f>MSFT!F54</f>
        <v>92.694412</v>
      </c>
      <c r="C54">
        <f>SPX!F54</f>
        <v>2705.2700199999999</v>
      </c>
      <c r="D54">
        <f t="shared" si="0"/>
        <v>5.688624389664132E-2</v>
      </c>
      <c r="E54">
        <f t="shared" si="0"/>
        <v>2.1608341965291933E-2</v>
      </c>
      <c r="F54">
        <f t="shared" si="1"/>
        <v>290.91163015552684</v>
      </c>
      <c r="G54">
        <f t="shared" si="2"/>
        <v>151.76064443302261</v>
      </c>
    </row>
    <row r="55" spans="1:7">
      <c r="A55" s="4">
        <f>MSFT!A55</f>
        <v>43252</v>
      </c>
      <c r="B55">
        <f>MSFT!F55</f>
        <v>92.879554999999996</v>
      </c>
      <c r="C55">
        <f>SPX!F55</f>
        <v>2718.3701169999999</v>
      </c>
      <c r="D55">
        <f t="shared" si="0"/>
        <v>1.9973480170518698E-3</v>
      </c>
      <c r="E55">
        <f t="shared" si="0"/>
        <v>4.8424360241865472E-3</v>
      </c>
      <c r="F55">
        <f t="shared" si="1"/>
        <v>291.49268192315532</v>
      </c>
      <c r="G55">
        <f t="shared" si="2"/>
        <v>152.49553564467885</v>
      </c>
    </row>
    <row r="56" spans="1:7">
      <c r="A56" s="4">
        <f>MSFT!A56</f>
        <v>43282</v>
      </c>
      <c r="B56">
        <f>MSFT!F56</f>
        <v>99.915481999999997</v>
      </c>
      <c r="C56">
        <f>SPX!F56</f>
        <v>2816.290039</v>
      </c>
      <c r="D56">
        <f t="shared" si="0"/>
        <v>7.5753237620486136E-2</v>
      </c>
      <c r="E56">
        <f t="shared" si="0"/>
        <v>3.6021556221367268E-2</v>
      </c>
      <c r="F56">
        <f t="shared" si="1"/>
        <v>313.57419632151289</v>
      </c>
      <c r="G56">
        <f t="shared" si="2"/>
        <v>157.98866215541116</v>
      </c>
    </row>
    <row r="57" spans="1:7">
      <c r="A57" s="4">
        <f>MSFT!A57</f>
        <v>43313</v>
      </c>
      <c r="B57">
        <f>MSFT!F57</f>
        <v>105.802246</v>
      </c>
      <c r="C57">
        <f>SPX!F57</f>
        <v>2901.5200199999999</v>
      </c>
      <c r="D57">
        <f t="shared" si="0"/>
        <v>5.8917435838421905E-2</v>
      </c>
      <c r="E57">
        <f t="shared" si="0"/>
        <v>3.0263211466054596E-2</v>
      </c>
      <c r="F57">
        <f t="shared" si="1"/>
        <v>332.04918391387031</v>
      </c>
      <c r="G57">
        <f t="shared" si="2"/>
        <v>162.76990644745942</v>
      </c>
    </row>
    <row r="58" spans="1:7">
      <c r="A58" s="4">
        <f>MSFT!A58</f>
        <v>43344</v>
      </c>
      <c r="B58">
        <f>MSFT!F58</f>
        <v>108.13827499999999</v>
      </c>
      <c r="C58">
        <f>SPX!F58</f>
        <v>2913.9799800000001</v>
      </c>
      <c r="D58">
        <f t="shared" si="0"/>
        <v>2.2079200473683613E-2</v>
      </c>
      <c r="E58">
        <f t="shared" si="0"/>
        <v>4.2942871026614426E-3</v>
      </c>
      <c r="F58">
        <f t="shared" si="1"/>
        <v>339.38056441262768</v>
      </c>
      <c r="G58">
        <f t="shared" si="2"/>
        <v>163.46888715741815</v>
      </c>
    </row>
    <row r="59" spans="1:7">
      <c r="A59" s="4">
        <f>MSFT!A59</f>
        <v>43374</v>
      </c>
      <c r="B59">
        <f>MSFT!F59</f>
        <v>100.990189</v>
      </c>
      <c r="C59">
        <f>SPX!F59</f>
        <v>2711.73999</v>
      </c>
      <c r="D59">
        <f t="shared" si="0"/>
        <v>-6.6101350331323361E-2</v>
      </c>
      <c r="E59">
        <f t="shared" si="0"/>
        <v>-6.9403356024429486E-2</v>
      </c>
      <c r="F59">
        <f t="shared" si="1"/>
        <v>316.94705082874634</v>
      </c>
      <c r="G59">
        <f t="shared" si="2"/>
        <v>152.12359778311458</v>
      </c>
    </row>
    <row r="60" spans="1:7">
      <c r="A60" s="4">
        <f>MSFT!A60</f>
        <v>43405</v>
      </c>
      <c r="B60">
        <f>MSFT!F60</f>
        <v>104.84788500000001</v>
      </c>
      <c r="C60">
        <f>SPX!F60</f>
        <v>2760.169922</v>
      </c>
      <c r="D60">
        <f t="shared" si="0"/>
        <v>3.8198720471747993E-2</v>
      </c>
      <c r="E60">
        <f t="shared" si="0"/>
        <v>1.7859356788848979E-2</v>
      </c>
      <c r="F60">
        <f t="shared" si="1"/>
        <v>329.05402262769854</v>
      </c>
      <c r="G60">
        <f t="shared" si="2"/>
        <v>154.84042739192657</v>
      </c>
    </row>
    <row r="61" spans="1:7">
      <c r="A61" s="4">
        <f>MSFT!A61</f>
        <v>43435</v>
      </c>
      <c r="B61">
        <f>MSFT!F61</f>
        <v>96.450599999999994</v>
      </c>
      <c r="C61">
        <f>SPX!F61</f>
        <v>2506.8500979999999</v>
      </c>
      <c r="D61">
        <f t="shared" si="0"/>
        <v>-8.0090170631482049E-2</v>
      </c>
      <c r="E61">
        <f t="shared" si="0"/>
        <v>-9.1776894596563907E-2</v>
      </c>
      <c r="F61">
        <f t="shared" si="1"/>
        <v>302.70002980847062</v>
      </c>
      <c r="G61">
        <f t="shared" si="2"/>
        <v>140.6296538078908</v>
      </c>
    </row>
    <row r="62" spans="1:7">
      <c r="A62" s="4">
        <f>MSFT!A62</f>
        <v>43466</v>
      </c>
      <c r="B62">
        <f>MSFT!F62</f>
        <v>99.166427999999996</v>
      </c>
      <c r="C62">
        <f>SPX!F62</f>
        <v>2704.1000979999999</v>
      </c>
      <c r="D62">
        <f t="shared" si="0"/>
        <v>2.8157709749861537E-2</v>
      </c>
      <c r="E62">
        <f t="shared" si="0"/>
        <v>7.8684401655036762E-2</v>
      </c>
      <c r="F62">
        <f t="shared" si="1"/>
        <v>311.22336938909194</v>
      </c>
      <c r="G62">
        <f t="shared" si="2"/>
        <v>151.69501397271966</v>
      </c>
    </row>
    <row r="63" spans="1:7">
      <c r="A63" s="4">
        <f>MSFT!A63</f>
        <v>43497</v>
      </c>
      <c r="B63">
        <f>MSFT!F63</f>
        <v>106.383369</v>
      </c>
      <c r="C63">
        <f>SPX!F63</f>
        <v>2784.48999</v>
      </c>
      <c r="D63">
        <f t="shared" si="0"/>
        <v>7.2776050782024759E-2</v>
      </c>
      <c r="E63">
        <f t="shared" si="0"/>
        <v>2.9728889126352298E-2</v>
      </c>
      <c r="F63">
        <f t="shared" si="1"/>
        <v>333.87297712430535</v>
      </c>
      <c r="G63">
        <f t="shared" si="2"/>
        <v>156.2047382241351</v>
      </c>
    </row>
    <row r="64" spans="1:7">
      <c r="A64" s="4">
        <f>MSFT!A64</f>
        <v>43525</v>
      </c>
      <c r="B64">
        <f>MSFT!F64</f>
        <v>112.47378500000001</v>
      </c>
      <c r="C64">
        <f>SPX!F64</f>
        <v>2834.3999020000001</v>
      </c>
      <c r="D64">
        <f t="shared" si="0"/>
        <v>5.7249700373749324E-2</v>
      </c>
      <c r="E64">
        <f t="shared" si="0"/>
        <v>1.7924256211817147E-2</v>
      </c>
      <c r="F64">
        <f t="shared" si="1"/>
        <v>352.98710502756347</v>
      </c>
      <c r="G64">
        <f t="shared" si="2"/>
        <v>159.00459197356432</v>
      </c>
    </row>
    <row r="65" spans="1:7">
      <c r="A65" s="4">
        <f>MSFT!A65</f>
        <v>43556</v>
      </c>
      <c r="B65">
        <f>MSFT!F65</f>
        <v>124.547028</v>
      </c>
      <c r="C65">
        <f>SPX!F65</f>
        <v>2945.830078</v>
      </c>
      <c r="D65">
        <f t="shared" si="0"/>
        <v>0.10734272879675899</v>
      </c>
      <c r="E65">
        <f t="shared" si="0"/>
        <v>3.9313498395682656E-2</v>
      </c>
      <c r="F65">
        <f t="shared" si="1"/>
        <v>390.87770411129031</v>
      </c>
      <c r="G65">
        <f t="shared" si="2"/>
        <v>165.25561874502321</v>
      </c>
    </row>
    <row r="66" spans="1:7">
      <c r="A66" s="4">
        <f>MSFT!A66</f>
        <v>43586</v>
      </c>
      <c r="B66">
        <f>MSFT!F66</f>
        <v>117.947762</v>
      </c>
      <c r="C66">
        <f>SPX!F66</f>
        <v>2752.0600589999999</v>
      </c>
      <c r="D66">
        <f t="shared" si="0"/>
        <v>-5.2986137894835972E-2</v>
      </c>
      <c r="E66">
        <f t="shared" si="0"/>
        <v>-6.577773118928687E-2</v>
      </c>
      <c r="F66">
        <f t="shared" si="1"/>
        <v>370.16660418123257</v>
      </c>
      <c r="G66">
        <f t="shared" si="2"/>
        <v>154.38547907769379</v>
      </c>
    </row>
    <row r="67" spans="1:7">
      <c r="A67" s="4">
        <f>MSFT!A67</f>
        <v>43617</v>
      </c>
      <c r="B67">
        <f>MSFT!F67</f>
        <v>128.22421299999999</v>
      </c>
      <c r="C67">
        <f>SPX!F67</f>
        <v>2941.76001</v>
      </c>
      <c r="D67">
        <f t="shared" si="0"/>
        <v>8.7127138537821391E-2</v>
      </c>
      <c r="E67">
        <f t="shared" si="0"/>
        <v>6.8930163925612131E-2</v>
      </c>
      <c r="F67">
        <f t="shared" si="1"/>
        <v>402.41816118580573</v>
      </c>
      <c r="G67">
        <f t="shared" si="2"/>
        <v>165.02729545825338</v>
      </c>
    </row>
    <row r="68" spans="1:7">
      <c r="A68" s="4">
        <f>MSFT!A68</f>
        <v>43647</v>
      </c>
      <c r="B68">
        <f>MSFT!F68</f>
        <v>130.43528699999999</v>
      </c>
      <c r="C68">
        <f>SPX!F68</f>
        <v>2980.3798830000001</v>
      </c>
      <c r="D68">
        <f t="shared" ref="D68:E121" si="3">B68/B67-1</f>
        <v>1.724381026226296E-2</v>
      </c>
      <c r="E68">
        <f t="shared" si="3"/>
        <v>1.3128152149977756E-2</v>
      </c>
      <c r="F68">
        <f t="shared" ref="F68:F121" si="4">F67*(1+D68)</f>
        <v>409.35738360338252</v>
      </c>
      <c r="G68">
        <f t="shared" ref="G68:G121" si="5">G67*(1+E68)</f>
        <v>167.19379890192866</v>
      </c>
    </row>
    <row r="69" spans="1:7">
      <c r="A69" s="4">
        <f>MSFT!A69</f>
        <v>43678</v>
      </c>
      <c r="B69">
        <f>MSFT!F69</f>
        <v>131.95721399999999</v>
      </c>
      <c r="C69">
        <f>SPX!F69</f>
        <v>2926.459961</v>
      </c>
      <c r="D69">
        <f t="shared" si="3"/>
        <v>1.1668061879604785E-2</v>
      </c>
      <c r="E69">
        <f t="shared" si="3"/>
        <v>-1.8091627281326739E-2</v>
      </c>
      <c r="F69">
        <f t="shared" si="4"/>
        <v>414.13379088613988</v>
      </c>
      <c r="G69">
        <f t="shared" si="5"/>
        <v>164.16899100844586</v>
      </c>
    </row>
    <row r="70" spans="1:7">
      <c r="A70" s="4">
        <f>MSFT!A70</f>
        <v>43709</v>
      </c>
      <c r="B70">
        <f>MSFT!F70</f>
        <v>133.520264</v>
      </c>
      <c r="C70">
        <f>SPX!F70</f>
        <v>2976.73999</v>
      </c>
      <c r="D70">
        <f t="shared" si="3"/>
        <v>1.1845127315282644E-2</v>
      </c>
      <c r="E70">
        <f t="shared" si="3"/>
        <v>1.7181177829208583E-2</v>
      </c>
      <c r="F70">
        <f t="shared" si="4"/>
        <v>419.03925836474684</v>
      </c>
      <c r="G70">
        <f t="shared" si="5"/>
        <v>166.9896076370037</v>
      </c>
    </row>
    <row r="71" spans="1:7">
      <c r="A71" s="4">
        <f>MSFT!A71</f>
        <v>43739</v>
      </c>
      <c r="B71">
        <f>MSFT!F71</f>
        <v>137.68826300000001</v>
      </c>
      <c r="C71">
        <f>SPX!F71</f>
        <v>3037.5600589999999</v>
      </c>
      <c r="D71">
        <f t="shared" si="3"/>
        <v>3.1216227972706845E-2</v>
      </c>
      <c r="E71">
        <f t="shared" si="3"/>
        <v>2.0431770730503063E-2</v>
      </c>
      <c r="F71">
        <f t="shared" si="4"/>
        <v>432.12008338337478</v>
      </c>
      <c r="G71">
        <f t="shared" si="5"/>
        <v>170.40150101461961</v>
      </c>
    </row>
    <row r="72" spans="1:7">
      <c r="A72" s="4">
        <f>MSFT!A72</f>
        <v>43770</v>
      </c>
      <c r="B72">
        <f>MSFT!F72</f>
        <v>145.380844</v>
      </c>
      <c r="C72">
        <f>SPX!F72</f>
        <v>3140.9799800000001</v>
      </c>
      <c r="D72">
        <f t="shared" si="3"/>
        <v>5.5869547864076052E-2</v>
      </c>
      <c r="E72">
        <f t="shared" si="3"/>
        <v>3.4047037421886195E-2</v>
      </c>
      <c r="F72">
        <f t="shared" si="4"/>
        <v>456.26243706499076</v>
      </c>
      <c r="G72">
        <f t="shared" si="5"/>
        <v>176.20316729640993</v>
      </c>
    </row>
    <row r="73" spans="1:7">
      <c r="A73" s="4">
        <f>MSFT!A73</f>
        <v>43800</v>
      </c>
      <c r="B73">
        <f>MSFT!F73</f>
        <v>151.965698</v>
      </c>
      <c r="C73">
        <f>SPX!F73</f>
        <v>3230.780029</v>
      </c>
      <c r="D73">
        <f t="shared" si="3"/>
        <v>4.5293821516127819E-2</v>
      </c>
      <c r="E73">
        <f t="shared" si="3"/>
        <v>2.8589818964716907E-2</v>
      </c>
      <c r="F73">
        <f t="shared" si="4"/>
        <v>476.92830645392598</v>
      </c>
      <c r="G73">
        <f t="shared" si="5"/>
        <v>181.240783950424</v>
      </c>
    </row>
    <row r="74" spans="1:7">
      <c r="A74" s="4">
        <f>MSFT!A74</f>
        <v>43831</v>
      </c>
      <c r="B74">
        <f>MSFT!F74</f>
        <v>164.0401</v>
      </c>
      <c r="C74">
        <f>SPX!F74</f>
        <v>3225.5200199999999</v>
      </c>
      <c r="D74">
        <f t="shared" si="3"/>
        <v>7.9454785908330328E-2</v>
      </c>
      <c r="E74">
        <f t="shared" si="3"/>
        <v>-1.6280925822201864E-3</v>
      </c>
      <c r="F74">
        <f t="shared" si="4"/>
        <v>514.82254293684525</v>
      </c>
      <c r="G74">
        <f t="shared" si="5"/>
        <v>180.94570717447854</v>
      </c>
    </row>
    <row r="75" spans="1:7">
      <c r="A75" s="4">
        <f>MSFT!A75</f>
        <v>43862</v>
      </c>
      <c r="B75">
        <f>MSFT!F75</f>
        <v>156.11897300000001</v>
      </c>
      <c r="C75">
        <f>SPX!F75</f>
        <v>2954.219971</v>
      </c>
      <c r="D75">
        <f t="shared" si="3"/>
        <v>-4.8287747934803615E-2</v>
      </c>
      <c r="E75">
        <f t="shared" si="3"/>
        <v>-8.411048367946572E-2</v>
      </c>
      <c r="F75">
        <f t="shared" si="4"/>
        <v>489.96292175235624</v>
      </c>
      <c r="G75">
        <f t="shared" si="5"/>
        <v>165.72627622431017</v>
      </c>
    </row>
    <row r="76" spans="1:7">
      <c r="A76" s="4">
        <f>MSFT!A76</f>
        <v>43891</v>
      </c>
      <c r="B76">
        <f>MSFT!F76</f>
        <v>152.390457</v>
      </c>
      <c r="C76">
        <f>SPX!F76</f>
        <v>2584.5900879999999</v>
      </c>
      <c r="D76">
        <f t="shared" si="3"/>
        <v>-2.3882529639751127E-2</v>
      </c>
      <c r="E76">
        <f t="shared" si="3"/>
        <v>-0.12511928245982329</v>
      </c>
      <c r="F76">
        <f t="shared" si="4"/>
        <v>478.26136775122654</v>
      </c>
      <c r="G76">
        <f t="shared" si="5"/>
        <v>144.99072345838601</v>
      </c>
    </row>
    <row r="77" spans="1:7">
      <c r="A77" s="4">
        <f>MSFT!A77</f>
        <v>43922</v>
      </c>
      <c r="B77">
        <f>MSFT!F77</f>
        <v>173.16525300000001</v>
      </c>
      <c r="C77">
        <f>SPX!F77</f>
        <v>2912.429932</v>
      </c>
      <c r="D77">
        <f t="shared" si="3"/>
        <v>0.13632609553759667</v>
      </c>
      <c r="E77">
        <f t="shared" si="3"/>
        <v>0.12684403825663826</v>
      </c>
      <c r="F77">
        <f t="shared" si="4"/>
        <v>543.46087266322195</v>
      </c>
      <c r="G77">
        <f t="shared" si="5"/>
        <v>163.38193233159919</v>
      </c>
    </row>
    <row r="78" spans="1:7">
      <c r="A78" s="4">
        <f>MSFT!A78</f>
        <v>43952</v>
      </c>
      <c r="B78">
        <f>MSFT!F78</f>
        <v>177.06895399999999</v>
      </c>
      <c r="C78">
        <f>SPX!F78</f>
        <v>3044.3100589999999</v>
      </c>
      <c r="D78">
        <f t="shared" si="3"/>
        <v>2.254321194564346E-2</v>
      </c>
      <c r="E78">
        <f t="shared" si="3"/>
        <v>4.5281819676065593E-2</v>
      </c>
      <c r="F78">
        <f t="shared" si="4"/>
        <v>555.71222629983333</v>
      </c>
      <c r="G78">
        <f t="shared" si="5"/>
        <v>170.78016352976582</v>
      </c>
    </row>
    <row r="79" spans="1:7">
      <c r="A79" s="4">
        <f>MSFT!A79</f>
        <v>43983</v>
      </c>
      <c r="B79">
        <f>MSFT!F79</f>
        <v>197.19328300000001</v>
      </c>
      <c r="C79">
        <f>SPX!F79</f>
        <v>3100.290039</v>
      </c>
      <c r="D79">
        <f t="shared" si="3"/>
        <v>0.11365249833689095</v>
      </c>
      <c r="E79">
        <f t="shared" si="3"/>
        <v>1.8388396357494674E-2</v>
      </c>
      <c r="F79">
        <f t="shared" si="4"/>
        <v>618.87030917516506</v>
      </c>
      <c r="G79">
        <f t="shared" si="5"/>
        <v>173.9205368667489</v>
      </c>
    </row>
    <row r="80" spans="1:7">
      <c r="A80" s="4">
        <f>MSFT!A80</f>
        <v>44013</v>
      </c>
      <c r="B80">
        <f>MSFT!F80</f>
        <v>198.64672899999999</v>
      </c>
      <c r="C80">
        <f>SPX!F80</f>
        <v>3271.1201169999999</v>
      </c>
      <c r="D80">
        <f t="shared" si="3"/>
        <v>7.3706668801694075E-3</v>
      </c>
      <c r="E80">
        <f t="shared" si="3"/>
        <v>5.5101321441235696E-2</v>
      </c>
      <c r="F80">
        <f t="shared" si="4"/>
        <v>623.43179606612262</v>
      </c>
      <c r="G80">
        <f t="shared" si="5"/>
        <v>183.50378827387593</v>
      </c>
    </row>
    <row r="81" spans="1:7">
      <c r="A81" s="4">
        <f>MSFT!A81</f>
        <v>44044</v>
      </c>
      <c r="B81">
        <f>MSFT!F81</f>
        <v>218.52981600000001</v>
      </c>
      <c r="C81">
        <f>SPX!F81</f>
        <v>3500.3100589999999</v>
      </c>
      <c r="D81">
        <f t="shared" si="3"/>
        <v>0.10009269772571994</v>
      </c>
      <c r="E81">
        <f t="shared" si="3"/>
        <v>7.0064667087246457E-2</v>
      </c>
      <c r="F81">
        <f t="shared" si="4"/>
        <v>685.83276638237169</v>
      </c>
      <c r="G81">
        <f t="shared" si="5"/>
        <v>196.36092010853361</v>
      </c>
    </row>
    <row r="82" spans="1:7">
      <c r="A82" s="4">
        <f>MSFT!A82</f>
        <v>44075</v>
      </c>
      <c r="B82">
        <f>MSFT!F82</f>
        <v>204.29425000000001</v>
      </c>
      <c r="C82">
        <f>SPX!F82</f>
        <v>3363</v>
      </c>
      <c r="D82">
        <f t="shared" si="3"/>
        <v>-6.5142442622108887E-2</v>
      </c>
      <c r="E82">
        <f t="shared" si="3"/>
        <v>-3.9227970289931413E-2</v>
      </c>
      <c r="F82">
        <f t="shared" si="4"/>
        <v>641.15594474994577</v>
      </c>
      <c r="G82">
        <f t="shared" si="5"/>
        <v>188.65807976841245</v>
      </c>
    </row>
    <row r="83" spans="1:7">
      <c r="A83" s="4">
        <f>MSFT!A83</f>
        <v>44105</v>
      </c>
      <c r="B83">
        <f>MSFT!F83</f>
        <v>196.65980500000001</v>
      </c>
      <c r="C83">
        <f>SPX!F83</f>
        <v>3269.959961</v>
      </c>
      <c r="D83">
        <f t="shared" si="3"/>
        <v>-3.7369847658463184E-2</v>
      </c>
      <c r="E83">
        <f t="shared" si="3"/>
        <v>-2.766578620279514E-2</v>
      </c>
      <c r="F83">
        <f t="shared" si="4"/>
        <v>617.19604476932227</v>
      </c>
      <c r="G83">
        <f t="shared" si="5"/>
        <v>183.43870566810969</v>
      </c>
    </row>
    <row r="84" spans="1:7">
      <c r="A84" s="4">
        <f>MSFT!A84</f>
        <v>44136</v>
      </c>
      <c r="B84">
        <f>MSFT!F84</f>
        <v>207.92690999999999</v>
      </c>
      <c r="C84">
        <f>SPX!F84</f>
        <v>3621.6298830000001</v>
      </c>
      <c r="D84">
        <f t="shared" si="3"/>
        <v>5.729236332762544E-2</v>
      </c>
      <c r="E84">
        <f t="shared" si="3"/>
        <v>0.10754563548003038</v>
      </c>
      <c r="F84">
        <f t="shared" si="4"/>
        <v>652.55666481061962</v>
      </c>
      <c r="G84">
        <f t="shared" si="5"/>
        <v>203.16673784082079</v>
      </c>
    </row>
    <row r="85" spans="1:7">
      <c r="A85" s="4">
        <f>MSFT!A85</f>
        <v>44166</v>
      </c>
      <c r="B85">
        <f>MSFT!F85</f>
        <v>216.60290499999999</v>
      </c>
      <c r="C85">
        <f>SPX!F85</f>
        <v>3756.070068</v>
      </c>
      <c r="D85">
        <f t="shared" si="3"/>
        <v>4.1726176760862765E-2</v>
      </c>
      <c r="E85">
        <f t="shared" si="3"/>
        <v>3.7121458940645669E-2</v>
      </c>
      <c r="F85">
        <f t="shared" si="4"/>
        <v>679.78535955298662</v>
      </c>
      <c r="G85">
        <f t="shared" si="5"/>
        <v>210.70858355768374</v>
      </c>
    </row>
    <row r="86" spans="1:7">
      <c r="A86" s="4">
        <f>MSFT!A86</f>
        <v>44197</v>
      </c>
      <c r="B86">
        <f>MSFT!F86</f>
        <v>225.89338699999999</v>
      </c>
      <c r="C86">
        <f>SPX!F86</f>
        <v>3714.23999</v>
      </c>
      <c r="D86">
        <f t="shared" si="3"/>
        <v>4.289177008036904E-2</v>
      </c>
      <c r="E86">
        <f t="shared" si="3"/>
        <v>-1.1136660723231162E-2</v>
      </c>
      <c r="F86">
        <f t="shared" si="4"/>
        <v>708.9425568989343</v>
      </c>
      <c r="G86">
        <f t="shared" si="5"/>
        <v>208.36199355112922</v>
      </c>
    </row>
    <row r="87" spans="1:7">
      <c r="A87" s="4">
        <f>MSFT!A87</f>
        <v>44228</v>
      </c>
      <c r="B87">
        <f>MSFT!F87</f>
        <v>226.30242899999999</v>
      </c>
      <c r="C87">
        <f>SPX!F87</f>
        <v>3811.1499020000001</v>
      </c>
      <c r="D87">
        <f t="shared" si="3"/>
        <v>1.8107745668534125E-3</v>
      </c>
      <c r="E87">
        <f t="shared" si="3"/>
        <v>2.6091451349647521E-2</v>
      </c>
      <c r="F87">
        <f t="shared" si="4"/>
        <v>710.22629205032695</v>
      </c>
      <c r="G87">
        <f t="shared" si="5"/>
        <v>213.79846036898408</v>
      </c>
    </row>
    <row r="88" spans="1:7">
      <c r="A88" s="4">
        <f>MSFT!A88</f>
        <v>44256</v>
      </c>
      <c r="B88">
        <f>MSFT!F88</f>
        <v>230.13256799999999</v>
      </c>
      <c r="C88">
        <f>SPX!F88</f>
        <v>3972.889893</v>
      </c>
      <c r="D88">
        <f t="shared" si="3"/>
        <v>1.6924869153746469E-2</v>
      </c>
      <c r="E88">
        <f t="shared" si="3"/>
        <v>4.2438632737883841E-2</v>
      </c>
      <c r="F88">
        <f t="shared" si="4"/>
        <v>722.24677911282924</v>
      </c>
      <c r="G88">
        <f t="shared" si="5"/>
        <v>222.87177470850841</v>
      </c>
    </row>
    <row r="89" spans="1:7">
      <c r="A89" s="4">
        <f>MSFT!A89</f>
        <v>44287</v>
      </c>
      <c r="B89">
        <f>MSFT!F89</f>
        <v>246.15020799999999</v>
      </c>
      <c r="C89">
        <f>SPX!F89</f>
        <v>4181.169922</v>
      </c>
      <c r="D89">
        <f t="shared" si="3"/>
        <v>6.9601795778857278E-2</v>
      </c>
      <c r="E89">
        <f t="shared" si="3"/>
        <v>5.2425321267266289E-2</v>
      </c>
      <c r="F89">
        <f t="shared" si="4"/>
        <v>772.51645193457784</v>
      </c>
      <c r="G89">
        <f t="shared" si="5"/>
        <v>234.55589909900775</v>
      </c>
    </row>
    <row r="90" spans="1:7">
      <c r="A90" s="4">
        <f>MSFT!A90</f>
        <v>44317</v>
      </c>
      <c r="B90">
        <f>MSFT!F90</f>
        <v>243.709946</v>
      </c>
      <c r="C90">
        <f>SPX!F90</f>
        <v>4204.1098629999997</v>
      </c>
      <c r="D90">
        <f t="shared" si="3"/>
        <v>-9.9137108996470991E-3</v>
      </c>
      <c r="E90">
        <f t="shared" si="3"/>
        <v>5.4864885732810453E-3</v>
      </c>
      <c r="F90">
        <f t="shared" si="4"/>
        <v>764.85794716487726</v>
      </c>
      <c r="G90">
        <f t="shared" si="5"/>
        <v>235.84278735921012</v>
      </c>
    </row>
    <row r="91" spans="1:7">
      <c r="A91" s="4">
        <f>MSFT!A91</f>
        <v>44348</v>
      </c>
      <c r="B91">
        <f>MSFT!F91</f>
        <v>265.03323399999999</v>
      </c>
      <c r="C91">
        <f>SPX!F91</f>
        <v>4297.5</v>
      </c>
      <c r="D91">
        <f t="shared" si="3"/>
        <v>8.7494533358109194E-2</v>
      </c>
      <c r="E91">
        <f t="shared" si="3"/>
        <v>2.2214009634219822E-2</v>
      </c>
      <c r="F91">
        <f t="shared" si="4"/>
        <v>831.77883633730949</v>
      </c>
      <c r="G91">
        <f t="shared" si="5"/>
        <v>241.08180130976888</v>
      </c>
    </row>
    <row r="92" spans="1:7">
      <c r="A92" s="4">
        <f>MSFT!A92</f>
        <v>44378</v>
      </c>
      <c r="B92">
        <f>MSFT!F92</f>
        <v>278.73974600000003</v>
      </c>
      <c r="C92">
        <f>SPX!F92</f>
        <v>4395.2597660000001</v>
      </c>
      <c r="D92">
        <f t="shared" si="3"/>
        <v>5.1716200995381767E-2</v>
      </c>
      <c r="E92">
        <f t="shared" si="3"/>
        <v>2.2748054915648686E-2</v>
      </c>
      <c r="F92">
        <f t="shared" si="4"/>
        <v>874.79527782103457</v>
      </c>
      <c r="G92">
        <f t="shared" si="5"/>
        <v>246.565943365127</v>
      </c>
    </row>
    <row r="93" spans="1:7">
      <c r="A93" s="4">
        <f>MSFT!A93</f>
        <v>44409</v>
      </c>
      <c r="B93">
        <f>MSFT!F93</f>
        <v>295.34225500000002</v>
      </c>
      <c r="C93">
        <f>SPX!F93</f>
        <v>4522.6801759999998</v>
      </c>
      <c r="D93">
        <f t="shared" si="3"/>
        <v>5.9562761458496816E-2</v>
      </c>
      <c r="E93">
        <f t="shared" si="3"/>
        <v>2.8990416217415271E-2</v>
      </c>
      <c r="F93">
        <f t="shared" si="4"/>
        <v>926.90050027890834</v>
      </c>
      <c r="G93">
        <f t="shared" si="5"/>
        <v>253.71399268832167</v>
      </c>
    </row>
    <row r="94" spans="1:7">
      <c r="A94" s="4">
        <f>MSFT!A94</f>
        <v>44440</v>
      </c>
      <c r="B94">
        <f>MSFT!F94</f>
        <v>276.34252900000001</v>
      </c>
      <c r="C94">
        <f>SPX!F94</f>
        <v>4307.5400390000004</v>
      </c>
      <c r="D94">
        <f t="shared" si="3"/>
        <v>-6.4331214644514745E-2</v>
      </c>
      <c r="E94">
        <f t="shared" si="3"/>
        <v>-4.7569168861786748E-2</v>
      </c>
      <c r="F94">
        <f t="shared" si="4"/>
        <v>867.27186524135777</v>
      </c>
      <c r="G94">
        <f t="shared" si="5"/>
        <v>241.64502892753276</v>
      </c>
    </row>
    <row r="95" spans="1:7">
      <c r="A95" s="4">
        <f>MSFT!A95</f>
        <v>44470</v>
      </c>
      <c r="B95">
        <f>MSFT!F95</f>
        <v>325.05926499999998</v>
      </c>
      <c r="C95">
        <f>SPX!F95</f>
        <v>4605.3798829999996</v>
      </c>
      <c r="D95">
        <f t="shared" si="3"/>
        <v>0.17629112745074416</v>
      </c>
      <c r="E95">
        <f t="shared" si="3"/>
        <v>6.9143836459647501E-2</v>
      </c>
      <c r="F95">
        <f t="shared" si="4"/>
        <v>1020.1642001710666</v>
      </c>
      <c r="G95">
        <f t="shared" si="5"/>
        <v>258.3532932889849</v>
      </c>
    </row>
    <row r="96" spans="1:7">
      <c r="A96" s="4">
        <f>MSFT!A96</f>
        <v>44501</v>
      </c>
      <c r="B96">
        <f>MSFT!F96</f>
        <v>324.04965199999998</v>
      </c>
      <c r="C96">
        <f>SPX!F96</f>
        <v>4567</v>
      </c>
      <c r="D96">
        <f t="shared" si="3"/>
        <v>-3.1059351592394036E-3</v>
      </c>
      <c r="E96">
        <f t="shared" si="3"/>
        <v>-8.3337062251199745E-3</v>
      </c>
      <c r="F96">
        <f t="shared" si="4"/>
        <v>1016.995636313558</v>
      </c>
      <c r="G96">
        <f t="shared" si="5"/>
        <v>256.20025284042225</v>
      </c>
    </row>
    <row r="97" spans="1:7">
      <c r="A97" s="4">
        <f>MSFT!A97</f>
        <v>44531</v>
      </c>
      <c r="B97">
        <f>MSFT!F97</f>
        <v>330.269409</v>
      </c>
      <c r="C97">
        <f>SPX!F97</f>
        <v>4766.1801759999998</v>
      </c>
      <c r="D97">
        <f t="shared" si="3"/>
        <v>1.9193839467539497E-2</v>
      </c>
      <c r="E97">
        <f t="shared" si="3"/>
        <v>4.361291350996277E-2</v>
      </c>
      <c r="F97">
        <f t="shared" si="4"/>
        <v>1036.5156872961486</v>
      </c>
      <c r="G97">
        <f t="shared" si="5"/>
        <v>267.37389230878216</v>
      </c>
    </row>
    <row r="98" spans="1:7">
      <c r="A98" s="4">
        <f>MSFT!A98</f>
        <v>44562</v>
      </c>
      <c r="B98">
        <f>MSFT!F98</f>
        <v>305.38528400000001</v>
      </c>
      <c r="C98">
        <f>SPX!F98</f>
        <v>4515.5498049999997</v>
      </c>
      <c r="D98">
        <f t="shared" si="3"/>
        <v>-7.5344928479282758E-2</v>
      </c>
      <c r="E98">
        <f t="shared" si="3"/>
        <v>-5.258516500531063E-2</v>
      </c>
      <c r="F98">
        <f t="shared" si="4"/>
        <v>958.41948696916563</v>
      </c>
      <c r="G98">
        <f t="shared" si="5"/>
        <v>253.31399206361269</v>
      </c>
    </row>
    <row r="99" spans="1:7">
      <c r="A99" s="4">
        <f>MSFT!A99</f>
        <v>44593</v>
      </c>
      <c r="B99">
        <f>MSFT!F99</f>
        <v>293.414581</v>
      </c>
      <c r="C99">
        <f>SPX!F99</f>
        <v>4373.9399409999996</v>
      </c>
      <c r="D99">
        <f t="shared" si="3"/>
        <v>-3.9198689744329718E-2</v>
      </c>
      <c r="E99">
        <f t="shared" si="3"/>
        <v>-3.1360492102910142E-2</v>
      </c>
      <c r="F99">
        <f t="shared" si="4"/>
        <v>920.85069885454163</v>
      </c>
      <c r="G99">
        <f t="shared" si="5"/>
        <v>245.36994061594513</v>
      </c>
    </row>
    <row r="100" spans="1:7">
      <c r="A100" s="4">
        <f>MSFT!A100</f>
        <v>44621</v>
      </c>
      <c r="B100">
        <f>MSFT!F100</f>
        <v>303.38937399999998</v>
      </c>
      <c r="C100">
        <f>SPX!F100</f>
        <v>4530.4101559999999</v>
      </c>
      <c r="D100">
        <f t="shared" si="3"/>
        <v>3.3995560022969551E-2</v>
      </c>
      <c r="E100">
        <f t="shared" si="3"/>
        <v>3.5773288410591908E-2</v>
      </c>
      <c r="F100">
        <f t="shared" si="4"/>
        <v>952.15553405964465</v>
      </c>
      <c r="G100">
        <f t="shared" si="5"/>
        <v>254.14763026888915</v>
      </c>
    </row>
    <row r="101" spans="1:7">
      <c r="A101" s="4">
        <f>MSFT!A101</f>
        <v>44652</v>
      </c>
      <c r="B101">
        <f>MSFT!F101</f>
        <v>273.09075899999999</v>
      </c>
      <c r="C101">
        <f>SPX!F101</f>
        <v>4131.9301759999998</v>
      </c>
      <c r="D101">
        <f t="shared" si="3"/>
        <v>-9.9867093565379705E-2</v>
      </c>
      <c r="E101">
        <f t="shared" si="3"/>
        <v>-8.7956711705729274E-2</v>
      </c>
      <c r="F101">
        <f t="shared" si="4"/>
        <v>857.06652825091601</v>
      </c>
      <c r="G101">
        <f t="shared" si="5"/>
        <v>231.79364042263418</v>
      </c>
    </row>
    <row r="102" spans="1:7">
      <c r="A102" s="4">
        <f>MSFT!A102</f>
        <v>44682</v>
      </c>
      <c r="B102">
        <f>MSFT!F102</f>
        <v>267.530914</v>
      </c>
      <c r="C102">
        <f>SPX!F102</f>
        <v>4132.1499020000001</v>
      </c>
      <c r="D102">
        <f t="shared" si="3"/>
        <v>-2.0358964251880773E-2</v>
      </c>
      <c r="E102">
        <f t="shared" si="3"/>
        <v>5.3177568506868056E-5</v>
      </c>
      <c r="F102">
        <f t="shared" si="4"/>
        <v>839.61754144077202</v>
      </c>
      <c r="G102">
        <f t="shared" si="5"/>
        <v>231.80596664482721</v>
      </c>
    </row>
    <row r="103" spans="1:7">
      <c r="A103" s="4">
        <f>MSFT!A103</f>
        <v>44713</v>
      </c>
      <c r="B103">
        <f>MSFT!F103</f>
        <v>253.31959499999999</v>
      </c>
      <c r="C103">
        <f>SPX!F103</f>
        <v>3785.3798830000001</v>
      </c>
      <c r="D103">
        <f t="shared" si="3"/>
        <v>-5.3120287250242759E-2</v>
      </c>
      <c r="E103">
        <f t="shared" si="3"/>
        <v>-8.3919999812243073E-2</v>
      </c>
      <c r="F103">
        <f t="shared" si="4"/>
        <v>795.01681645909559</v>
      </c>
      <c r="G103">
        <f t="shared" si="5"/>
        <v>212.35280996751649</v>
      </c>
    </row>
    <row r="104" spans="1:7">
      <c r="A104" s="4">
        <f>MSFT!A104</f>
        <v>44743</v>
      </c>
      <c r="B104">
        <f>MSFT!F104</f>
        <v>276.90277099999997</v>
      </c>
      <c r="C104">
        <f>SPX!F104</f>
        <v>4130.2900390000004</v>
      </c>
      <c r="D104">
        <f t="shared" si="3"/>
        <v>9.3096532860002412E-2</v>
      </c>
      <c r="E104">
        <f t="shared" si="3"/>
        <v>9.1116391659653351E-2</v>
      </c>
      <c r="F104">
        <f t="shared" si="4"/>
        <v>869.03012563683433</v>
      </c>
      <c r="G104">
        <f t="shared" si="5"/>
        <v>231.70163177054465</v>
      </c>
    </row>
    <row r="105" spans="1:7">
      <c r="A105" s="4">
        <f>MSFT!A105</f>
        <v>44774</v>
      </c>
      <c r="B105">
        <f>MSFT!F105</f>
        <v>257.89617900000002</v>
      </c>
      <c r="C105">
        <f>SPX!F105</f>
        <v>3955</v>
      </c>
      <c r="D105">
        <f t="shared" si="3"/>
        <v>-6.8639948713261401E-2</v>
      </c>
      <c r="E105">
        <f t="shared" si="3"/>
        <v>-4.2440128258508625E-2</v>
      </c>
      <c r="F105">
        <f t="shared" si="4"/>
        <v>809.37994238284296</v>
      </c>
      <c r="G105">
        <f t="shared" si="5"/>
        <v>221.868184800497</v>
      </c>
    </row>
    <row r="106" spans="1:7">
      <c r="A106" s="4">
        <f>MSFT!A106</f>
        <v>44805</v>
      </c>
      <c r="B106">
        <f>MSFT!F106</f>
        <v>230.20426900000001</v>
      </c>
      <c r="C106">
        <f>SPX!F106</f>
        <v>3585.6201169999999</v>
      </c>
      <c r="D106">
        <f t="shared" si="3"/>
        <v>-0.10737619342549465</v>
      </c>
      <c r="E106">
        <f t="shared" si="3"/>
        <v>-9.3395672060682666E-2</v>
      </c>
      <c r="F106">
        <f t="shared" si="4"/>
        <v>722.47180513482715</v>
      </c>
      <c r="G106">
        <f t="shared" si="5"/>
        <v>201.14665657217085</v>
      </c>
    </row>
    <row r="107" spans="1:7">
      <c r="A107" s="4">
        <f>MSFT!A107</f>
        <v>44835</v>
      </c>
      <c r="B107">
        <f>MSFT!F107</f>
        <v>229.443207</v>
      </c>
      <c r="C107">
        <f>SPX!F107</f>
        <v>3871.9799800000001</v>
      </c>
      <c r="D107">
        <f t="shared" si="3"/>
        <v>-3.3060290467507025E-3</v>
      </c>
      <c r="E107">
        <f t="shared" si="3"/>
        <v>7.9863413762746971E-2</v>
      </c>
      <c r="F107">
        <f t="shared" si="4"/>
        <v>720.08329236159295</v>
      </c>
      <c r="G107">
        <f t="shared" si="5"/>
        <v>217.2109152329873</v>
      </c>
    </row>
    <row r="108" spans="1:7">
      <c r="A108" s="4">
        <f>MSFT!A108</f>
        <v>44866</v>
      </c>
      <c r="B108">
        <f>MSFT!F108</f>
        <v>252.18689000000001</v>
      </c>
      <c r="C108">
        <f>SPX!F108</f>
        <v>4080.110107</v>
      </c>
      <c r="D108">
        <f t="shared" si="3"/>
        <v>9.9125545259659775E-2</v>
      </c>
      <c r="E108">
        <f t="shared" si="3"/>
        <v>5.3752893371106669E-2</v>
      </c>
      <c r="F108">
        <f t="shared" si="4"/>
        <v>791.46194134930681</v>
      </c>
      <c r="G108">
        <f t="shared" si="5"/>
        <v>228.88663039854657</v>
      </c>
    </row>
    <row r="109" spans="1:7">
      <c r="A109" s="4">
        <f>MSFT!A109</f>
        <v>44896</v>
      </c>
      <c r="B109">
        <f>MSFT!F109</f>
        <v>237.71225000000001</v>
      </c>
      <c r="C109">
        <f>SPX!F109</f>
        <v>3839.5</v>
      </c>
      <c r="D109">
        <f t="shared" si="3"/>
        <v>-5.7396480840062658E-2</v>
      </c>
      <c r="E109">
        <f t="shared" si="3"/>
        <v>-5.8971473977430078E-2</v>
      </c>
      <c r="F109">
        <f t="shared" si="4"/>
        <v>746.03481119701257</v>
      </c>
      <c r="G109">
        <f t="shared" si="5"/>
        <v>215.38884843021702</v>
      </c>
    </row>
    <row r="110" spans="1:7">
      <c r="A110" s="4">
        <f>MSFT!A110</f>
        <v>44927</v>
      </c>
      <c r="B110">
        <f>MSFT!F110</f>
        <v>245.631989</v>
      </c>
      <c r="C110">
        <f>SPX!F110</f>
        <v>4076.6000979999999</v>
      </c>
      <c r="D110">
        <f t="shared" si="3"/>
        <v>3.3316495048109518E-2</v>
      </c>
      <c r="E110">
        <f t="shared" si="3"/>
        <v>6.1752857924208815E-2</v>
      </c>
      <c r="F110">
        <f t="shared" si="4"/>
        <v>770.89007628997513</v>
      </c>
      <c r="G110">
        <f t="shared" si="5"/>
        <v>228.68972538578717</v>
      </c>
    </row>
    <row r="111" spans="1:7">
      <c r="A111" s="4">
        <f>MSFT!A111</f>
        <v>44958</v>
      </c>
      <c r="B111">
        <f>MSFT!F111</f>
        <v>247.227844</v>
      </c>
      <c r="C111">
        <f>SPX!F111</f>
        <v>3970.1499020000001</v>
      </c>
      <c r="D111">
        <f t="shared" si="3"/>
        <v>6.4969347294581148E-3</v>
      </c>
      <c r="E111">
        <f t="shared" si="3"/>
        <v>-2.6112494098262107E-2</v>
      </c>
      <c r="F111">
        <f t="shared" si="4"/>
        <v>775.89849879921803</v>
      </c>
      <c r="G111">
        <f t="shared" si="5"/>
        <v>222.71806628131762</v>
      </c>
    </row>
    <row r="112" spans="1:7">
      <c r="A112" s="4">
        <f>MSFT!A112</f>
        <v>44986</v>
      </c>
      <c r="B112">
        <f>MSFT!F112</f>
        <v>286.48187300000001</v>
      </c>
      <c r="C112">
        <f>SPX!F112</f>
        <v>4109.3100590000004</v>
      </c>
      <c r="D112">
        <f t="shared" si="3"/>
        <v>0.15877673147527838</v>
      </c>
      <c r="E112">
        <f t="shared" si="3"/>
        <v>3.5051612769053664E-2</v>
      </c>
      <c r="F112">
        <f t="shared" si="4"/>
        <v>899.09312639513303</v>
      </c>
      <c r="G112">
        <f t="shared" si="5"/>
        <v>230.5246936972828</v>
      </c>
    </row>
    <row r="113" spans="1:7">
      <c r="A113" s="4">
        <f>MSFT!A113</f>
        <v>45017</v>
      </c>
      <c r="B113">
        <f>MSFT!F113</f>
        <v>305.32232699999997</v>
      </c>
      <c r="C113">
        <f>SPX!F113</f>
        <v>4169.4799800000001</v>
      </c>
      <c r="D113">
        <f t="shared" si="3"/>
        <v>6.576490792490719E-2</v>
      </c>
      <c r="E113">
        <f t="shared" si="3"/>
        <v>1.4642341448102281E-2</v>
      </c>
      <c r="F113">
        <f t="shared" si="4"/>
        <v>958.22190306842595</v>
      </c>
      <c r="G113">
        <f t="shared" si="5"/>
        <v>233.90011497461759</v>
      </c>
    </row>
    <row r="114" spans="1:7">
      <c r="A114" s="4">
        <f>MSFT!A114</f>
        <v>45047</v>
      </c>
      <c r="B114">
        <f>MSFT!F114</f>
        <v>326.31909200000001</v>
      </c>
      <c r="C114">
        <f>SPX!F114</f>
        <v>4179.830078</v>
      </c>
      <c r="D114">
        <f t="shared" si="3"/>
        <v>6.8769176516855435E-2</v>
      </c>
      <c r="E114">
        <f t="shared" si="3"/>
        <v>2.4823474509163557E-3</v>
      </c>
      <c r="F114">
        <f t="shared" si="4"/>
        <v>1024.1180342628556</v>
      </c>
      <c r="G114">
        <f t="shared" si="5"/>
        <v>234.48073632879388</v>
      </c>
    </row>
    <row r="115" spans="1:7">
      <c r="A115" s="4">
        <f>MSFT!A115</f>
        <v>45078</v>
      </c>
      <c r="B115">
        <f>MSFT!F115</f>
        <v>339.13220200000001</v>
      </c>
      <c r="C115">
        <f>SPX!F115</f>
        <v>4450.3798829999996</v>
      </c>
      <c r="D115">
        <f t="shared" si="3"/>
        <v>3.926558486501297E-2</v>
      </c>
      <c r="E115">
        <f t="shared" si="3"/>
        <v>6.4727464980933958E-2</v>
      </c>
      <c r="F115">
        <f t="shared" si="4"/>
        <v>1064.330627848994</v>
      </c>
      <c r="G115">
        <f t="shared" si="5"/>
        <v>249.65807997821949</v>
      </c>
    </row>
    <row r="116" spans="1:7">
      <c r="A116" s="4">
        <f>MSFT!A116</f>
        <v>45108</v>
      </c>
      <c r="B116">
        <f>MSFT!F116</f>
        <v>334.53131100000002</v>
      </c>
      <c r="C116">
        <f>SPX!F116</f>
        <v>4588.9599609999996</v>
      </c>
      <c r="D116">
        <f t="shared" si="3"/>
        <v>-1.3566659175585971E-2</v>
      </c>
      <c r="E116">
        <f t="shared" si="3"/>
        <v>3.113893232561149E-2</v>
      </c>
      <c r="F116">
        <f t="shared" si="4"/>
        <v>1049.8912169708292</v>
      </c>
      <c r="G116">
        <f t="shared" si="5"/>
        <v>257.43216603520335</v>
      </c>
    </row>
    <row r="117" spans="1:7">
      <c r="A117" s="4">
        <f>MSFT!A117</f>
        <v>45139</v>
      </c>
      <c r="B117">
        <f>MSFT!F117</f>
        <v>326.40505999999999</v>
      </c>
      <c r="C117">
        <f>SPX!F117</f>
        <v>4507.6601559999999</v>
      </c>
      <c r="D117">
        <f t="shared" si="3"/>
        <v>-2.4291451152086752E-2</v>
      </c>
      <c r="E117">
        <f t="shared" si="3"/>
        <v>-1.7716390138710958E-2</v>
      </c>
      <c r="F117">
        <f t="shared" si="4"/>
        <v>1024.3878357587773</v>
      </c>
      <c r="G117">
        <f t="shared" si="5"/>
        <v>252.87139734747026</v>
      </c>
    </row>
    <row r="118" spans="1:7">
      <c r="A118" s="4">
        <f>MSFT!A118</f>
        <v>45170</v>
      </c>
      <c r="B118">
        <f>MSFT!F118</f>
        <v>315.11044299999998</v>
      </c>
      <c r="C118">
        <f>SPX!F118</f>
        <v>4288.0498049999997</v>
      </c>
      <c r="D118">
        <f t="shared" si="3"/>
        <v>-3.4603069572512246E-2</v>
      </c>
      <c r="E118">
        <f t="shared" si="3"/>
        <v>-4.8719367343539433E-2</v>
      </c>
      <c r="F118">
        <f t="shared" si="4"/>
        <v>988.94087220878112</v>
      </c>
      <c r="G118">
        <f t="shared" si="5"/>
        <v>240.55166284942473</v>
      </c>
    </row>
    <row r="119" spans="1:7">
      <c r="A119" s="4">
        <f>MSFT!A119</f>
        <v>45200</v>
      </c>
      <c r="B119">
        <f>MSFT!F119</f>
        <v>337.42514</v>
      </c>
      <c r="C119">
        <f>SPX!F119</f>
        <v>4193.7998049999997</v>
      </c>
      <c r="D119">
        <f t="shared" si="3"/>
        <v>7.0815479130280856E-2</v>
      </c>
      <c r="E119">
        <f t="shared" si="3"/>
        <v>-2.1979688736381231E-2</v>
      </c>
      <c r="F119">
        <f t="shared" si="4"/>
        <v>1058.9731939057638</v>
      </c>
      <c r="G119">
        <f t="shared" si="5"/>
        <v>235.26441217497546</v>
      </c>
    </row>
    <row r="120" spans="1:7">
      <c r="A120" s="4">
        <f>MSFT!A120</f>
        <v>45231</v>
      </c>
      <c r="B120">
        <f>MSFT!F120</f>
        <v>378.142517</v>
      </c>
      <c r="C120">
        <f>SPX!F120</f>
        <v>4567.7998049999997</v>
      </c>
      <c r="D120">
        <f t="shared" si="3"/>
        <v>0.12067084568743169</v>
      </c>
      <c r="E120">
        <f t="shared" si="3"/>
        <v>8.9179268775324783E-2</v>
      </c>
      <c r="F120">
        <f t="shared" si="4"/>
        <v>1186.760384774693</v>
      </c>
      <c r="G120">
        <f t="shared" si="5"/>
        <v>256.24512042159637</v>
      </c>
    </row>
    <row r="121" spans="1:7">
      <c r="A121" s="4">
        <f>MSFT!A121</f>
        <v>45261</v>
      </c>
      <c r="B121">
        <f>MSFT!F121</f>
        <v>368.79998799999998</v>
      </c>
      <c r="C121">
        <f>SPX!F121</f>
        <v>4549.3398440000001</v>
      </c>
      <c r="D121">
        <f t="shared" si="3"/>
        <v>-2.4706370164664704E-2</v>
      </c>
      <c r="E121">
        <f t="shared" si="3"/>
        <v>-4.0413244424137851E-3</v>
      </c>
      <c r="F121">
        <f t="shared" si="4"/>
        <v>1157.4398434116895</v>
      </c>
      <c r="G121">
        <f t="shared" si="5"/>
        <v>255.2095507531873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F5E17-EAB8-664B-AAD0-7639C6493793}">
  <dimension ref="A1:E19"/>
  <sheetViews>
    <sheetView workbookViewId="0">
      <selection activeCell="B2" sqref="B2"/>
    </sheetView>
  </sheetViews>
  <sheetFormatPr baseColWidth="10" defaultRowHeight="13"/>
  <cols>
    <col min="2" max="2" width="16.33203125" bestFit="1" customWidth="1"/>
  </cols>
  <sheetData>
    <row r="1" spans="1:5">
      <c r="A1" s="1" t="s">
        <v>14</v>
      </c>
      <c r="B1">
        <v>1</v>
      </c>
      <c r="D1" s="1" t="s">
        <v>17</v>
      </c>
      <c r="E1" s="1" t="str">
        <f>"Graph of "&amp;TEXT(B3,"")&amp;" when a = "&amp;TEXT(B1,"0.00")</f>
        <v>Graph of y=ax^3-2x^2+x-16 when a = 1.00</v>
      </c>
    </row>
    <row r="3" spans="1:5">
      <c r="A3" s="1" t="s">
        <v>15</v>
      </c>
      <c r="B3" s="1" t="s">
        <v>16</v>
      </c>
    </row>
    <row r="4" spans="1:5">
      <c r="A4">
        <v>-6</v>
      </c>
      <c r="B4">
        <f>$B$1*A4^3-2*A4^2+A4-16</f>
        <v>-310</v>
      </c>
    </row>
    <row r="5" spans="1:5">
      <c r="A5">
        <v>-5</v>
      </c>
      <c r="B5">
        <f t="shared" ref="B5:B19" si="0">$B$1*A5^3-2*A5^2+A5-16</f>
        <v>-196</v>
      </c>
    </row>
    <row r="6" spans="1:5">
      <c r="A6">
        <v>-4</v>
      </c>
      <c r="B6">
        <f t="shared" si="0"/>
        <v>-116</v>
      </c>
    </row>
    <row r="7" spans="1:5">
      <c r="A7">
        <v>-3</v>
      </c>
      <c r="B7">
        <f t="shared" si="0"/>
        <v>-64</v>
      </c>
    </row>
    <row r="8" spans="1:5">
      <c r="A8">
        <v>-2</v>
      </c>
      <c r="B8">
        <f t="shared" si="0"/>
        <v>-34</v>
      </c>
    </row>
    <row r="9" spans="1:5">
      <c r="A9">
        <v>-1</v>
      </c>
      <c r="B9">
        <f t="shared" si="0"/>
        <v>-20</v>
      </c>
    </row>
    <row r="10" spans="1:5">
      <c r="A10">
        <v>0</v>
      </c>
      <c r="B10">
        <f t="shared" si="0"/>
        <v>-16</v>
      </c>
    </row>
    <row r="11" spans="1:5">
      <c r="A11">
        <v>1</v>
      </c>
      <c r="B11">
        <f t="shared" si="0"/>
        <v>-16</v>
      </c>
    </row>
    <row r="12" spans="1:5">
      <c r="A12">
        <v>2</v>
      </c>
      <c r="B12">
        <f t="shared" si="0"/>
        <v>-14</v>
      </c>
    </row>
    <row r="13" spans="1:5">
      <c r="A13">
        <v>3</v>
      </c>
      <c r="B13">
        <f t="shared" si="0"/>
        <v>-4</v>
      </c>
    </row>
    <row r="14" spans="1:5">
      <c r="A14">
        <v>4</v>
      </c>
      <c r="B14">
        <f t="shared" si="0"/>
        <v>20</v>
      </c>
    </row>
    <row r="15" spans="1:5">
      <c r="A15">
        <v>5</v>
      </c>
      <c r="B15">
        <f t="shared" si="0"/>
        <v>64</v>
      </c>
    </row>
    <row r="16" spans="1:5">
      <c r="A16">
        <v>6</v>
      </c>
      <c r="B16">
        <f t="shared" si="0"/>
        <v>134</v>
      </c>
    </row>
    <row r="17" spans="1:2">
      <c r="A17">
        <v>7</v>
      </c>
      <c r="B17">
        <f t="shared" si="0"/>
        <v>236</v>
      </c>
    </row>
    <row r="18" spans="1:2">
      <c r="A18">
        <v>8</v>
      </c>
      <c r="B18">
        <f t="shared" si="0"/>
        <v>376</v>
      </c>
    </row>
    <row r="19" spans="1:2">
      <c r="A19">
        <v>9</v>
      </c>
      <c r="B19">
        <f t="shared" si="0"/>
        <v>560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EA1A6-3CB9-A14B-9538-B0D9E60561A6}">
  <dimension ref="A1:A121"/>
  <sheetViews>
    <sheetView tabSelected="1" workbookViewId="0">
      <selection sqref="A1:A121"/>
    </sheetView>
  </sheetViews>
  <sheetFormatPr baseColWidth="10" defaultRowHeight="13"/>
  <sheetData>
    <row r="1" spans="1:1">
      <c r="A1" s="1" t="s">
        <v>18</v>
      </c>
    </row>
    <row r="2" spans="1:1">
      <c r="A2">
        <f>MSFT!G2</f>
        <v>930226200</v>
      </c>
    </row>
    <row r="3" spans="1:1">
      <c r="A3">
        <f>MSFT!G3</f>
        <v>705304500</v>
      </c>
    </row>
    <row r="4" spans="1:1">
      <c r="A4">
        <f>MSFT!G4</f>
        <v>778425700</v>
      </c>
    </row>
    <row r="5" spans="1:1">
      <c r="A5">
        <f>MSFT!G5</f>
        <v>746112500</v>
      </c>
    </row>
    <row r="6" spans="1:1">
      <c r="A6">
        <f>MSFT!G6</f>
        <v>574362900</v>
      </c>
    </row>
    <row r="7" spans="1:1">
      <c r="A7">
        <f>MSFT!G7</f>
        <v>555767300</v>
      </c>
    </row>
    <row r="8" spans="1:1">
      <c r="A8">
        <f>MSFT!G8</f>
        <v>731616500</v>
      </c>
    </row>
    <row r="9" spans="1:1">
      <c r="A9">
        <f>MSFT!G9</f>
        <v>513919700</v>
      </c>
    </row>
    <row r="10" spans="1:1">
      <c r="A10">
        <f>MSFT!G10</f>
        <v>860827300</v>
      </c>
    </row>
    <row r="11" spans="1:1">
      <c r="A11">
        <f>MSFT!G11</f>
        <v>853260900</v>
      </c>
    </row>
    <row r="12" spans="1:1">
      <c r="A12">
        <f>MSFT!G12</f>
        <v>523005900</v>
      </c>
    </row>
    <row r="13" spans="1:1">
      <c r="A13">
        <f>MSFT!G13</f>
        <v>626771200</v>
      </c>
    </row>
    <row r="14" spans="1:1">
      <c r="A14">
        <f>MSFT!G14</f>
        <v>918966800</v>
      </c>
    </row>
    <row r="15" spans="1:1">
      <c r="A15">
        <f>MSFT!G15</f>
        <v>656509700</v>
      </c>
    </row>
    <row r="16" spans="1:1">
      <c r="A16">
        <f>MSFT!G16</f>
        <v>824335300</v>
      </c>
    </row>
    <row r="17" spans="1:1">
      <c r="A17">
        <f>MSFT!G17</f>
        <v>874535300</v>
      </c>
    </row>
    <row r="18" spans="1:1">
      <c r="A18">
        <f>MSFT!G18</f>
        <v>633072800</v>
      </c>
    </row>
    <row r="19" spans="1:1">
      <c r="A19">
        <f>MSFT!G19</f>
        <v>664853400</v>
      </c>
    </row>
    <row r="20" spans="1:1">
      <c r="A20">
        <f>MSFT!G20</f>
        <v>725458100</v>
      </c>
    </row>
    <row r="21" spans="1:1">
      <c r="A21">
        <f>MSFT!G21</f>
        <v>776480300</v>
      </c>
    </row>
    <row r="22" spans="1:1">
      <c r="A22">
        <f>MSFT!G22</f>
        <v>673079900</v>
      </c>
    </row>
    <row r="23" spans="1:1">
      <c r="A23">
        <f>MSFT!G23</f>
        <v>856716800</v>
      </c>
    </row>
    <row r="24" spans="1:1">
      <c r="A24">
        <f>MSFT!G24</f>
        <v>662626600</v>
      </c>
    </row>
    <row r="25" spans="1:1">
      <c r="A25">
        <f>MSFT!G25</f>
        <v>792820900</v>
      </c>
    </row>
    <row r="26" spans="1:1">
      <c r="A26">
        <f>MSFT!G26</f>
        <v>927914700</v>
      </c>
    </row>
    <row r="27" spans="1:1">
      <c r="A27">
        <f>MSFT!G27</f>
        <v>814770900</v>
      </c>
    </row>
    <row r="28" spans="1:1">
      <c r="A28">
        <f>MSFT!G28</f>
        <v>641110900</v>
      </c>
    </row>
    <row r="29" spans="1:1">
      <c r="A29">
        <f>MSFT!G29</f>
        <v>699025700</v>
      </c>
    </row>
    <row r="30" spans="1:1">
      <c r="A30">
        <f>MSFT!G30</f>
        <v>530704800</v>
      </c>
    </row>
    <row r="31" spans="1:1">
      <c r="A31">
        <f>MSFT!G31</f>
        <v>823627000</v>
      </c>
    </row>
    <row r="32" spans="1:1">
      <c r="A32">
        <f>MSFT!G32</f>
        <v>647587800</v>
      </c>
    </row>
    <row r="33" spans="1:1">
      <c r="A33">
        <f>MSFT!G33</f>
        <v>467078900</v>
      </c>
    </row>
    <row r="34" spans="1:1">
      <c r="A34">
        <f>MSFT!G34</f>
        <v>526427800</v>
      </c>
    </row>
    <row r="35" spans="1:1">
      <c r="A35">
        <f>MSFT!G35</f>
        <v>614841800</v>
      </c>
    </row>
    <row r="36" spans="1:1">
      <c r="A36">
        <f>MSFT!G36</f>
        <v>613056800</v>
      </c>
    </row>
    <row r="37" spans="1:1">
      <c r="A37">
        <f>MSFT!G37</f>
        <v>513579700</v>
      </c>
    </row>
    <row r="38" spans="1:1">
      <c r="A38">
        <f>MSFT!G38</f>
        <v>493453500</v>
      </c>
    </row>
    <row r="39" spans="1:1">
      <c r="A39">
        <f>MSFT!G39</f>
        <v>440744000</v>
      </c>
    </row>
    <row r="40" spans="1:1">
      <c r="A40">
        <f>MSFT!G40</f>
        <v>489169700</v>
      </c>
    </row>
    <row r="41" spans="1:1">
      <c r="A41">
        <f>MSFT!G41</f>
        <v>433191200</v>
      </c>
    </row>
    <row r="42" spans="1:1">
      <c r="A42">
        <f>MSFT!G42</f>
        <v>517218500</v>
      </c>
    </row>
    <row r="43" spans="1:1">
      <c r="A43">
        <f>MSFT!G43</f>
        <v>629716800</v>
      </c>
    </row>
    <row r="44" spans="1:1">
      <c r="A44">
        <f>MSFT!G44</f>
        <v>469851200</v>
      </c>
    </row>
    <row r="45" spans="1:1">
      <c r="A45">
        <f>MSFT!G45</f>
        <v>444070500</v>
      </c>
    </row>
    <row r="46" spans="1:1">
      <c r="A46">
        <f>MSFT!G46</f>
        <v>375983900</v>
      </c>
    </row>
    <row r="47" spans="1:1">
      <c r="A47">
        <f>MSFT!G47</f>
        <v>449950000</v>
      </c>
    </row>
    <row r="48" spans="1:1">
      <c r="A48">
        <f>MSFT!G48</f>
        <v>421926000</v>
      </c>
    </row>
    <row r="49" spans="1:1">
      <c r="A49">
        <f>MSFT!G49</f>
        <v>466203300</v>
      </c>
    </row>
    <row r="50" spans="1:1">
      <c r="A50">
        <f>MSFT!G50</f>
        <v>574258400</v>
      </c>
    </row>
    <row r="51" spans="1:1">
      <c r="A51">
        <f>MSFT!G51</f>
        <v>725663300</v>
      </c>
    </row>
    <row r="52" spans="1:1">
      <c r="A52">
        <f>MSFT!G52</f>
        <v>750754800</v>
      </c>
    </row>
    <row r="53" spans="1:1">
      <c r="A53">
        <f>MSFT!G53</f>
        <v>668130700</v>
      </c>
    </row>
    <row r="54" spans="1:1">
      <c r="A54">
        <f>MSFT!G54</f>
        <v>509417900</v>
      </c>
    </row>
    <row r="55" spans="1:1">
      <c r="A55">
        <f>MSFT!G55</f>
        <v>602585200</v>
      </c>
    </row>
    <row r="56" spans="1:1">
      <c r="A56">
        <f>MSFT!G56</f>
        <v>569352300</v>
      </c>
    </row>
    <row r="57" spans="1:1">
      <c r="A57">
        <f>MSFT!G57</f>
        <v>456628100</v>
      </c>
    </row>
    <row r="58" spans="1:1">
      <c r="A58">
        <f>MSFT!G58</f>
        <v>480255500</v>
      </c>
    </row>
    <row r="59" spans="1:1">
      <c r="A59">
        <f>MSFT!G59</f>
        <v>927548000</v>
      </c>
    </row>
    <row r="60" spans="1:1">
      <c r="A60">
        <f>MSFT!G60</f>
        <v>720228600</v>
      </c>
    </row>
    <row r="61" spans="1:1">
      <c r="A61">
        <f>MSFT!G61</f>
        <v>944314600</v>
      </c>
    </row>
    <row r="62" spans="1:1">
      <c r="A62">
        <f>MSFT!G62</f>
        <v>714212800</v>
      </c>
    </row>
    <row r="63" spans="1:1">
      <c r="A63">
        <f>MSFT!G63</f>
        <v>469095900</v>
      </c>
    </row>
    <row r="64" spans="1:1">
      <c r="A64">
        <f>MSFT!G64</f>
        <v>589095800</v>
      </c>
    </row>
    <row r="65" spans="1:1">
      <c r="A65">
        <f>MSFT!G65</f>
        <v>433157700</v>
      </c>
    </row>
    <row r="66" spans="1:1">
      <c r="A66">
        <f>MSFT!G66</f>
        <v>547218800</v>
      </c>
    </row>
    <row r="67" spans="1:1">
      <c r="A67">
        <f>MSFT!G67</f>
        <v>508324300</v>
      </c>
    </row>
    <row r="68" spans="1:1">
      <c r="A68">
        <f>MSFT!G68</f>
        <v>484079900</v>
      </c>
    </row>
    <row r="69" spans="1:1">
      <c r="A69">
        <f>MSFT!G69</f>
        <v>584482000</v>
      </c>
    </row>
    <row r="70" spans="1:1">
      <c r="A70">
        <f>MSFT!G70</f>
        <v>472544800</v>
      </c>
    </row>
    <row r="71" spans="1:1">
      <c r="A71">
        <f>MSFT!G71</f>
        <v>549523400</v>
      </c>
    </row>
    <row r="72" spans="1:1">
      <c r="A72">
        <f>MSFT!G72</f>
        <v>392371800</v>
      </c>
    </row>
    <row r="73" spans="1:1">
      <c r="A73">
        <f>MSFT!G73</f>
        <v>450303300</v>
      </c>
    </row>
    <row r="74" spans="1:1">
      <c r="A74">
        <f>MSFT!G74</f>
        <v>558530000</v>
      </c>
    </row>
    <row r="75" spans="1:1">
      <c r="A75">
        <f>MSFT!G75</f>
        <v>887522300</v>
      </c>
    </row>
    <row r="76" spans="1:1">
      <c r="A76">
        <f>MSFT!G76</f>
        <v>1612695500</v>
      </c>
    </row>
    <row r="77" spans="1:1">
      <c r="A77">
        <f>MSFT!G77</f>
        <v>984705000</v>
      </c>
    </row>
    <row r="78" spans="1:1">
      <c r="A78">
        <f>MSFT!G78</f>
        <v>688845000</v>
      </c>
    </row>
    <row r="79" spans="1:1">
      <c r="A79">
        <f>MSFT!G79</f>
        <v>764965400</v>
      </c>
    </row>
    <row r="80" spans="1:1">
      <c r="A80">
        <f>MSFT!G80</f>
        <v>770190800</v>
      </c>
    </row>
    <row r="81" spans="1:1">
      <c r="A81">
        <f>MSFT!G81</f>
        <v>692423900</v>
      </c>
    </row>
    <row r="82" spans="1:1">
      <c r="A82">
        <f>MSFT!G82</f>
        <v>768176300</v>
      </c>
    </row>
    <row r="83" spans="1:1">
      <c r="A83">
        <f>MSFT!G83</f>
        <v>631618000</v>
      </c>
    </row>
    <row r="84" spans="1:1">
      <c r="A84">
        <f>MSFT!G84</f>
        <v>573443000</v>
      </c>
    </row>
    <row r="85" spans="1:1">
      <c r="A85">
        <f>MSFT!G85</f>
        <v>594761700</v>
      </c>
    </row>
    <row r="86" spans="1:1">
      <c r="A86">
        <f>MSFT!G86</f>
        <v>648076400</v>
      </c>
    </row>
    <row r="87" spans="1:1">
      <c r="A87">
        <f>MSFT!G87</f>
        <v>490962200</v>
      </c>
    </row>
    <row r="88" spans="1:1">
      <c r="A88">
        <f>MSFT!G88</f>
        <v>724945800</v>
      </c>
    </row>
    <row r="89" spans="1:1">
      <c r="A89">
        <f>MSFT!G89</f>
        <v>568661600</v>
      </c>
    </row>
    <row r="90" spans="1:1">
      <c r="A90">
        <f>MSFT!G90</f>
        <v>495084900</v>
      </c>
    </row>
    <row r="91" spans="1:1">
      <c r="A91">
        <f>MSFT!G91</f>
        <v>508572200</v>
      </c>
    </row>
    <row r="92" spans="1:1">
      <c r="A92">
        <f>MSFT!G92</f>
        <v>522672700</v>
      </c>
    </row>
    <row r="93" spans="1:1">
      <c r="A93">
        <f>MSFT!G93</f>
        <v>441308900</v>
      </c>
    </row>
    <row r="94" spans="1:1">
      <c r="A94">
        <f>MSFT!G94</f>
        <v>502918700</v>
      </c>
    </row>
    <row r="95" spans="1:1">
      <c r="A95">
        <f>MSFT!G95</f>
        <v>516515800</v>
      </c>
    </row>
    <row r="96" spans="1:1">
      <c r="A96">
        <f>MSFT!G96</f>
        <v>509885200</v>
      </c>
    </row>
    <row r="97" spans="1:1">
      <c r="A97">
        <f>MSFT!G97</f>
        <v>625674800</v>
      </c>
    </row>
    <row r="98" spans="1:1">
      <c r="A98">
        <f>MSFT!G98</f>
        <v>947531400</v>
      </c>
    </row>
    <row r="99" spans="1:1">
      <c r="A99">
        <f>MSFT!G99</f>
        <v>697050600</v>
      </c>
    </row>
    <row r="100" spans="1:1">
      <c r="A100">
        <f>MSFT!G100</f>
        <v>734334200</v>
      </c>
    </row>
    <row r="101" spans="1:1">
      <c r="A101">
        <f>MSFT!G101</f>
        <v>627343400</v>
      </c>
    </row>
    <row r="102" spans="1:1">
      <c r="A102">
        <f>MSFT!G102</f>
        <v>742902000</v>
      </c>
    </row>
    <row r="103" spans="1:1">
      <c r="A103">
        <f>MSFT!G103</f>
        <v>621372300</v>
      </c>
    </row>
    <row r="104" spans="1:1">
      <c r="A104">
        <f>MSFT!G104</f>
        <v>534891800</v>
      </c>
    </row>
    <row r="105" spans="1:1">
      <c r="A105">
        <f>MSFT!G105</f>
        <v>477157600</v>
      </c>
    </row>
    <row r="106" spans="1:1">
      <c r="A106">
        <f>MSFT!G106</f>
        <v>575586600</v>
      </c>
    </row>
    <row r="107" spans="1:1">
      <c r="A107">
        <f>MSFT!G107</f>
        <v>671225100</v>
      </c>
    </row>
    <row r="108" spans="1:1">
      <c r="A108">
        <f>MSFT!G108</f>
        <v>615296000</v>
      </c>
    </row>
    <row r="109" spans="1:1">
      <c r="A109">
        <f>MSFT!G109</f>
        <v>591358700</v>
      </c>
    </row>
    <row r="110" spans="1:1">
      <c r="A110">
        <f>MSFT!G110</f>
        <v>666168100</v>
      </c>
    </row>
    <row r="111" spans="1:1">
      <c r="A111">
        <f>MSFT!G111</f>
        <v>615501000</v>
      </c>
    </row>
    <row r="112" spans="1:1">
      <c r="A112">
        <f>MSFT!G112</f>
        <v>747635000</v>
      </c>
    </row>
    <row r="113" spans="1:1">
      <c r="A113">
        <f>MSFT!G113</f>
        <v>551497100</v>
      </c>
    </row>
    <row r="114" spans="1:1">
      <c r="A114">
        <f>MSFT!G114</f>
        <v>600807200</v>
      </c>
    </row>
    <row r="115" spans="1:1">
      <c r="A115">
        <f>MSFT!G115</f>
        <v>547588700</v>
      </c>
    </row>
    <row r="116" spans="1:1">
      <c r="A116">
        <f>MSFT!G116</f>
        <v>666764400</v>
      </c>
    </row>
    <row r="117" spans="1:1">
      <c r="A117">
        <f>MSFT!G117</f>
        <v>479456700</v>
      </c>
    </row>
    <row r="118" spans="1:1">
      <c r="A118">
        <f>MSFT!G118</f>
        <v>416680700</v>
      </c>
    </row>
    <row r="119" spans="1:1">
      <c r="A119">
        <f>MSFT!G119</f>
        <v>540907000</v>
      </c>
    </row>
    <row r="120" spans="1:1">
      <c r="A120">
        <f>MSFT!G120</f>
        <v>563880300</v>
      </c>
    </row>
    <row r="121" spans="1:1">
      <c r="A121">
        <f>MSFT!G121</f>
        <v>109309000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Exercise 1 template</vt:lpstr>
      <vt:lpstr>MSFT</vt:lpstr>
      <vt:lpstr>SPX</vt:lpstr>
      <vt:lpstr>Exercise 2 template</vt:lpstr>
      <vt:lpstr>Exercise 3 template</vt:lpstr>
      <vt:lpstr>Exercise 4 template</vt:lpstr>
      <vt:lpstr>Exercise 5 template</vt:lpstr>
    </vt:vector>
  </TitlesOfParts>
  <Company>The Wharton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2005-01-02T15:42:10Z</dcterms:created>
  <dcterms:modified xsi:type="dcterms:W3CDTF">2023-12-07T15:53:21Z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Ch21_IM_exercises.xlsm</vt:lpwstr>
  </property>
</Properties>
</file>