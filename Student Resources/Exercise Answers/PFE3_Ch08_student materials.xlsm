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28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60D65ECC-61CB-9544-A884-ED0975182BF8}" xr6:coauthVersionLast="47" xr6:coauthVersionMax="47" xr10:uidLastSave="{00000000-0000-0000-0000-000000000000}"/>
  <bookViews>
    <workbookView xWindow="-120" yWindow="520" windowWidth="33600" windowHeight="19080" firstSheet="13" activeTab="21" xr2:uid="{00000000-000D-0000-FFFF-FFFF00000000}"/>
  </bookViews>
  <sheets>
    <sheet name="EoC Exercise 1 DATA" sheetId="80" r:id="rId1"/>
    <sheet name="EoC Exercise 2 DATA" sheetId="81" r:id="rId2"/>
    <sheet name="EoC Exercise 3 DATA" sheetId="82" r:id="rId3"/>
    <sheet name="EoC Exercise 5 Template" sheetId="83" r:id="rId4"/>
    <sheet name="EoC Exercise 6 DATA" sheetId="84" r:id="rId5"/>
    <sheet name="EoC Exercise 7 Template" sheetId="85" r:id="rId6"/>
    <sheet name="EoC Exercise 8 Template" sheetId="86" r:id="rId7"/>
    <sheet name="EoC Exercise 9" sheetId="91" r:id="rId8"/>
    <sheet name="EoC Exercise 10 Template" sheetId="87" r:id="rId9"/>
    <sheet name="EoC Exercise 11 Template" sheetId="88" r:id="rId10"/>
    <sheet name="EoC Exercise 12 Template" sheetId="89" r:id="rId11"/>
    <sheet name="EoC Exercise 13 Template" sheetId="90" r:id="rId12"/>
    <sheet name="EoC Exercise 14" sheetId="92" r:id="rId13"/>
    <sheet name="EoC Exercise 15" sheetId="98" r:id="rId14"/>
    <sheet name="EoC Exercise 16" sheetId="100" r:id="rId15"/>
    <sheet name="EoC Exercise 17" sheetId="101" r:id="rId16"/>
    <sheet name="EoC Exercise 18" sheetId="102" r:id="rId17"/>
    <sheet name="EoC Exercise 19" sheetId="103" r:id="rId18"/>
    <sheet name="EoC Exercise 20" sheetId="104" r:id="rId19"/>
    <sheet name="EoC Exercise 21" sheetId="105" r:id="rId20"/>
    <sheet name="EoC Exercise 22" sheetId="106" r:id="rId21"/>
    <sheet name="EoC Exercise 23" sheetId="107" r:id="rId22"/>
    <sheet name="ORCL" sheetId="93" r:id="rId23"/>
    <sheet name="IBM" sheetId="94" r:id="rId24"/>
    <sheet name="MSFT" sheetId="96" r:id="rId25"/>
    <sheet name="FVINX" sheetId="97" r:id="rId26"/>
  </sheets>
  <functionGroups builtInGroupCount="19"/>
  <definedNames>
    <definedName name="ExternalData_1" localSheetId="4">'EoC Exercise 6 DATA'!$L$2:$L$62</definedName>
    <definedName name="ExternalData_2" localSheetId="4">'EoC Exercise 6 DATA'!$L$2:$L$15</definedName>
    <definedName name="ExternalData_3" localSheetId="4">'EoC Exercise 6 DATA'!$A$2:$A$15</definedName>
    <definedName name="HTML_CodePage" hidden="1">1252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07" l="1"/>
  <c r="C4" i="107"/>
  <c r="C5" i="107"/>
  <c r="C6" i="107"/>
  <c r="C7" i="107"/>
  <c r="C8" i="107"/>
  <c r="C9" i="107"/>
  <c r="C10" i="107"/>
  <c r="C11" i="107"/>
  <c r="C2" i="107"/>
  <c r="B21" i="105" l="1"/>
  <c r="B20" i="105"/>
  <c r="B8" i="101" l="1"/>
  <c r="B24" i="103"/>
  <c r="B15" i="103"/>
  <c r="B12" i="104"/>
  <c r="D10" i="104"/>
  <c r="D9" i="104"/>
  <c r="C10" i="104"/>
  <c r="C9" i="104"/>
  <c r="B10" i="104"/>
  <c r="B9" i="104"/>
  <c r="B23" i="103"/>
  <c r="B16" i="103"/>
  <c r="D8" i="103"/>
  <c r="D9" i="103"/>
  <c r="D7" i="103"/>
  <c r="B32" i="102"/>
  <c r="B31" i="102"/>
  <c r="B30" i="102"/>
  <c r="A28" i="102"/>
  <c r="A27" i="102"/>
  <c r="A26" i="102"/>
  <c r="A25" i="102"/>
  <c r="B22" i="102"/>
  <c r="A22" i="102"/>
  <c r="B23" i="102"/>
  <c r="B20" i="102"/>
  <c r="B19" i="102"/>
  <c r="B18" i="102"/>
  <c r="C9" i="102"/>
  <c r="B9" i="102"/>
  <c r="C8" i="102"/>
  <c r="B8" i="102"/>
  <c r="C7" i="102"/>
  <c r="B7" i="102"/>
  <c r="C6" i="102"/>
  <c r="B6" i="102"/>
  <c r="C10" i="101"/>
  <c r="B7" i="101"/>
  <c r="B10" i="101" s="1"/>
  <c r="C3" i="98"/>
  <c r="C4" i="98"/>
  <c r="C5" i="98"/>
  <c r="C6" i="98"/>
  <c r="C7" i="98"/>
  <c r="C8" i="98"/>
  <c r="C9" i="98"/>
  <c r="C10" i="98"/>
  <c r="C11" i="98"/>
  <c r="C12" i="98"/>
  <c r="C13" i="98"/>
  <c r="C14" i="98"/>
  <c r="C15" i="98"/>
  <c r="C16" i="98"/>
  <c r="C17" i="98"/>
  <c r="C18" i="98"/>
  <c r="C19" i="98"/>
  <c r="C20" i="98"/>
  <c r="C21" i="98"/>
  <c r="C22" i="98"/>
  <c r="C23" i="98"/>
  <c r="C24" i="98"/>
  <c r="C2" i="98"/>
  <c r="B24" i="98"/>
  <c r="B3" i="98"/>
  <c r="B4" i="98"/>
  <c r="B5" i="98"/>
  <c r="B6" i="98"/>
  <c r="B7" i="98"/>
  <c r="B8" i="98"/>
  <c r="B9" i="98"/>
  <c r="B10" i="98"/>
  <c r="B11" i="98"/>
  <c r="B12" i="98"/>
  <c r="B13" i="98"/>
  <c r="B14" i="98"/>
  <c r="B15" i="98"/>
  <c r="B16" i="98"/>
  <c r="B17" i="98"/>
  <c r="B18" i="98"/>
  <c r="B19" i="98"/>
  <c r="B20" i="98"/>
  <c r="B21" i="98"/>
  <c r="B22" i="98"/>
  <c r="B23" i="98"/>
  <c r="B2" i="98"/>
  <c r="A3" i="98"/>
  <c r="A4" i="98"/>
  <c r="A5" i="98"/>
  <c r="A6" i="98"/>
  <c r="A7" i="98"/>
  <c r="A8" i="98"/>
  <c r="A9" i="98"/>
  <c r="A10" i="98"/>
  <c r="A11" i="98"/>
  <c r="A12" i="98"/>
  <c r="A13" i="98"/>
  <c r="A14" i="98"/>
  <c r="A15" i="98"/>
  <c r="A16" i="98"/>
  <c r="A17" i="98"/>
  <c r="A18" i="98"/>
  <c r="A19" i="98"/>
  <c r="A20" i="98"/>
  <c r="A21" i="98"/>
  <c r="A22" i="98"/>
  <c r="A23" i="98"/>
  <c r="A24" i="98"/>
  <c r="A2" i="98"/>
  <c r="E4" i="92"/>
  <c r="E5" i="92"/>
  <c r="E6" i="92"/>
  <c r="E7" i="92"/>
  <c r="E8" i="92"/>
  <c r="E9" i="92"/>
  <c r="E10" i="92"/>
  <c r="E29" i="92" s="1"/>
  <c r="E11" i="92"/>
  <c r="E12" i="92"/>
  <c r="E13" i="92"/>
  <c r="E14" i="92"/>
  <c r="E15" i="92"/>
  <c r="E16" i="92"/>
  <c r="E17" i="92"/>
  <c r="E18" i="92"/>
  <c r="E19" i="92"/>
  <c r="E20" i="92"/>
  <c r="E21" i="92"/>
  <c r="E22" i="92"/>
  <c r="E23" i="92"/>
  <c r="E24" i="92"/>
  <c r="E25" i="92"/>
  <c r="E3" i="92"/>
  <c r="D4" i="92"/>
  <c r="D5" i="92"/>
  <c r="D6" i="92"/>
  <c r="D7" i="92"/>
  <c r="B33" i="92" s="1"/>
  <c r="D8" i="92"/>
  <c r="D9" i="92"/>
  <c r="D10" i="92"/>
  <c r="D11" i="92"/>
  <c r="D12" i="92"/>
  <c r="D13" i="92"/>
  <c r="D14" i="92"/>
  <c r="D15" i="92"/>
  <c r="D16" i="92"/>
  <c r="D17" i="92"/>
  <c r="B32" i="92" s="1"/>
  <c r="D18" i="92"/>
  <c r="D19" i="92"/>
  <c r="D20" i="92"/>
  <c r="D21" i="92"/>
  <c r="D22" i="92"/>
  <c r="D23" i="92"/>
  <c r="D24" i="92"/>
  <c r="D25" i="92"/>
  <c r="D3" i="92"/>
  <c r="C4" i="92"/>
  <c r="C5" i="92"/>
  <c r="C6" i="92"/>
  <c r="C7" i="92"/>
  <c r="C8" i="92"/>
  <c r="C9" i="92"/>
  <c r="C10" i="92"/>
  <c r="C11" i="92"/>
  <c r="C12" i="92"/>
  <c r="C13" i="92"/>
  <c r="C14" i="92"/>
  <c r="C15" i="92"/>
  <c r="C16" i="92"/>
  <c r="C17" i="92"/>
  <c r="C18" i="92"/>
  <c r="C19" i="92"/>
  <c r="C20" i="92"/>
  <c r="C21" i="92"/>
  <c r="C22" i="92"/>
  <c r="C23" i="92"/>
  <c r="C24" i="92"/>
  <c r="C25" i="92"/>
  <c r="C3" i="92"/>
  <c r="B4" i="92"/>
  <c r="B5" i="92"/>
  <c r="B6" i="92"/>
  <c r="B7" i="92"/>
  <c r="B8" i="92"/>
  <c r="B9" i="92"/>
  <c r="B10" i="92"/>
  <c r="B11" i="92"/>
  <c r="B12" i="92"/>
  <c r="B13" i="92"/>
  <c r="B14" i="92"/>
  <c r="B15" i="92"/>
  <c r="B16" i="92"/>
  <c r="B17" i="92"/>
  <c r="B18" i="92"/>
  <c r="B19" i="92"/>
  <c r="B20" i="92"/>
  <c r="B21" i="92"/>
  <c r="B22" i="92"/>
  <c r="B23" i="92"/>
  <c r="B24" i="92"/>
  <c r="B25" i="92"/>
  <c r="B3" i="92"/>
  <c r="A4" i="92"/>
  <c r="A5" i="92"/>
  <c r="A6" i="92"/>
  <c r="A7" i="92"/>
  <c r="A8" i="92"/>
  <c r="A9" i="92"/>
  <c r="A10" i="92"/>
  <c r="A11" i="92"/>
  <c r="A12" i="92"/>
  <c r="A13" i="92"/>
  <c r="A14" i="92"/>
  <c r="A15" i="92"/>
  <c r="A16" i="92"/>
  <c r="A17" i="92"/>
  <c r="A18" i="92"/>
  <c r="A19" i="92"/>
  <c r="A20" i="92"/>
  <c r="A21" i="92"/>
  <c r="A22" i="92"/>
  <c r="A23" i="92"/>
  <c r="A24" i="92"/>
  <c r="A25" i="92"/>
  <c r="A3" i="92"/>
  <c r="B42" i="90"/>
  <c r="B41" i="90"/>
  <c r="C23" i="90"/>
  <c r="D23" i="90"/>
  <c r="B23" i="90"/>
  <c r="B33" i="90"/>
  <c r="B32" i="90"/>
  <c r="B31" i="90"/>
  <c r="B28" i="90"/>
  <c r="B27" i="90"/>
  <c r="B26" i="90"/>
  <c r="D24" i="90"/>
  <c r="C24" i="90"/>
  <c r="B24" i="90"/>
  <c r="C22" i="90"/>
  <c r="D22" i="90"/>
  <c r="B22" i="90"/>
  <c r="B40" i="90" s="1"/>
  <c r="B15" i="89"/>
  <c r="C14" i="89"/>
  <c r="B14" i="89"/>
  <c r="C13" i="89"/>
  <c r="B13" i="89"/>
  <c r="C14" i="88"/>
  <c r="C4" i="88"/>
  <c r="C5" i="88"/>
  <c r="C6" i="88"/>
  <c r="C7" i="88"/>
  <c r="C8" i="88"/>
  <c r="C9" i="88"/>
  <c r="C10" i="88"/>
  <c r="C11" i="88"/>
  <c r="C12" i="88"/>
  <c r="C3" i="88"/>
  <c r="C15" i="87"/>
  <c r="C16" i="87"/>
  <c r="B16" i="87"/>
  <c r="B15" i="87"/>
  <c r="G5" i="87"/>
  <c r="G6" i="87"/>
  <c r="G7" i="87"/>
  <c r="G8" i="87"/>
  <c r="G9" i="87"/>
  <c r="G10" i="87"/>
  <c r="G11" i="87"/>
  <c r="G12" i="87"/>
  <c r="G4" i="87"/>
  <c r="F3" i="87"/>
  <c r="F4" i="87"/>
  <c r="F5" i="87"/>
  <c r="F6" i="87"/>
  <c r="F7" i="87"/>
  <c r="F8" i="87"/>
  <c r="F9" i="87"/>
  <c r="F10" i="87"/>
  <c r="F11" i="87"/>
  <c r="F12" i="87"/>
  <c r="E5" i="87"/>
  <c r="E6" i="87"/>
  <c r="E7" i="87"/>
  <c r="E8" i="87"/>
  <c r="E9" i="87"/>
  <c r="E10" i="87"/>
  <c r="E11" i="87"/>
  <c r="E12" i="87"/>
  <c r="E4" i="87"/>
  <c r="B1" i="91"/>
  <c r="B20" i="86"/>
  <c r="F16" i="86"/>
  <c r="F15" i="86"/>
  <c r="F5" i="86"/>
  <c r="F6" i="86"/>
  <c r="F7" i="86"/>
  <c r="F8" i="86"/>
  <c r="F9" i="86"/>
  <c r="F10" i="86"/>
  <c r="F11" i="86"/>
  <c r="F12" i="86"/>
  <c r="F13" i="86"/>
  <c r="F4" i="86"/>
  <c r="D4" i="86"/>
  <c r="D5" i="86"/>
  <c r="D6" i="86"/>
  <c r="D7" i="86"/>
  <c r="D8" i="86"/>
  <c r="D9" i="86"/>
  <c r="D10" i="86"/>
  <c r="D11" i="86"/>
  <c r="D12" i="86"/>
  <c r="D13" i="86"/>
  <c r="D3" i="86"/>
  <c r="E9" i="86"/>
  <c r="E10" i="86"/>
  <c r="E11" i="86"/>
  <c r="E12" i="86"/>
  <c r="E13" i="86"/>
  <c r="D25" i="85"/>
  <c r="D24" i="85"/>
  <c r="E23" i="85"/>
  <c r="D23" i="85"/>
  <c r="E22" i="85"/>
  <c r="D22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5" i="85"/>
  <c r="B37" i="84"/>
  <c r="B36" i="84"/>
  <c r="B33" i="84"/>
  <c r="B32" i="84"/>
  <c r="B19" i="84"/>
  <c r="B20" i="84"/>
  <c r="B21" i="84"/>
  <c r="B22" i="84"/>
  <c r="B23" i="84"/>
  <c r="B24" i="84"/>
  <c r="B25" i="84"/>
  <c r="B26" i="84"/>
  <c r="B27" i="84"/>
  <c r="B28" i="84"/>
  <c r="B29" i="84"/>
  <c r="B18" i="84"/>
  <c r="B26" i="83"/>
  <c r="B25" i="83"/>
  <c r="G4" i="83"/>
  <c r="G5" i="83"/>
  <c r="G6" i="83"/>
  <c r="G7" i="83"/>
  <c r="G8" i="83"/>
  <c r="G9" i="83"/>
  <c r="G10" i="83"/>
  <c r="G11" i="83"/>
  <c r="G12" i="83"/>
  <c r="G13" i="83"/>
  <c r="G14" i="83"/>
  <c r="G15" i="83"/>
  <c r="G16" i="83"/>
  <c r="G17" i="83"/>
  <c r="G18" i="83"/>
  <c r="G3" i="83"/>
  <c r="B22" i="83"/>
  <c r="B21" i="83"/>
  <c r="F4" i="83"/>
  <c r="F5" i="83"/>
  <c r="F6" i="83"/>
  <c r="F7" i="83"/>
  <c r="F8" i="83"/>
  <c r="F9" i="83"/>
  <c r="F10" i="83"/>
  <c r="F11" i="83"/>
  <c r="F12" i="83"/>
  <c r="F13" i="83"/>
  <c r="F14" i="83"/>
  <c r="F15" i="83"/>
  <c r="F16" i="83"/>
  <c r="F17" i="83"/>
  <c r="F18" i="83"/>
  <c r="F3" i="83"/>
  <c r="B45" i="82"/>
  <c r="B46" i="82"/>
  <c r="B47" i="82"/>
  <c r="B42" i="82"/>
  <c r="C24" i="82"/>
  <c r="C25" i="82"/>
  <c r="C26" i="82"/>
  <c r="C27" i="82"/>
  <c r="C28" i="82"/>
  <c r="C29" i="82"/>
  <c r="C30" i="82"/>
  <c r="C31" i="82"/>
  <c r="C32" i="82"/>
  <c r="C33" i="82"/>
  <c r="C34" i="82"/>
  <c r="C35" i="82"/>
  <c r="C36" i="82"/>
  <c r="C37" i="82"/>
  <c r="C38" i="82"/>
  <c r="C39" i="82"/>
  <c r="C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23" i="82"/>
  <c r="B60" i="81"/>
  <c r="B59" i="81"/>
  <c r="B58" i="81"/>
  <c r="A18" i="81"/>
  <c r="A19" i="81"/>
  <c r="A20" i="81"/>
  <c r="A21" i="81"/>
  <c r="A22" i="81"/>
  <c r="A23" i="81"/>
  <c r="A24" i="81"/>
  <c r="A25" i="81"/>
  <c r="A26" i="81"/>
  <c r="A17" i="81"/>
  <c r="C31" i="81"/>
  <c r="D31" i="81"/>
  <c r="B31" i="81"/>
  <c r="C30" i="81"/>
  <c r="D30" i="81"/>
  <c r="B30" i="81"/>
  <c r="C29" i="81"/>
  <c r="D29" i="81"/>
  <c r="D18" i="81"/>
  <c r="D19" i="81"/>
  <c r="D20" i="81"/>
  <c r="D21" i="81"/>
  <c r="D22" i="81"/>
  <c r="D23" i="81"/>
  <c r="D24" i="81"/>
  <c r="D25" i="81"/>
  <c r="D26" i="81"/>
  <c r="D17" i="81"/>
  <c r="C18" i="81"/>
  <c r="C19" i="81"/>
  <c r="C20" i="81"/>
  <c r="C21" i="81"/>
  <c r="C22" i="81"/>
  <c r="C23" i="81"/>
  <c r="C24" i="81"/>
  <c r="C25" i="81"/>
  <c r="C26" i="81"/>
  <c r="C17" i="81"/>
  <c r="B18" i="81"/>
  <c r="B19" i="81"/>
  <c r="B20" i="81"/>
  <c r="B21" i="81"/>
  <c r="B22" i="81"/>
  <c r="B23" i="81"/>
  <c r="B24" i="81"/>
  <c r="B25" i="81"/>
  <c r="B26" i="81"/>
  <c r="B17" i="81"/>
  <c r="B29" i="81" s="1"/>
  <c r="B38" i="80"/>
  <c r="B37" i="80"/>
  <c r="B36" i="80"/>
  <c r="C31" i="80"/>
  <c r="B31" i="80"/>
  <c r="C30" i="80"/>
  <c r="B30" i="80"/>
  <c r="C27" i="80"/>
  <c r="B27" i="80"/>
  <c r="B17" i="80"/>
  <c r="B18" i="80"/>
  <c r="B19" i="80"/>
  <c r="B20" i="80"/>
  <c r="B21" i="80"/>
  <c r="B22" i="80"/>
  <c r="B23" i="80"/>
  <c r="B24" i="80"/>
  <c r="B16" i="80"/>
  <c r="A17" i="80"/>
  <c r="A18" i="80"/>
  <c r="A19" i="80"/>
  <c r="A20" i="80"/>
  <c r="A21" i="80"/>
  <c r="A22" i="80"/>
  <c r="A23" i="80"/>
  <c r="A24" i="80"/>
  <c r="A16" i="80"/>
  <c r="B38" i="90"/>
  <c r="A4" i="88"/>
  <c r="A5" i="88" s="1"/>
  <c r="A6" i="88" s="1"/>
  <c r="A7" i="88" s="1"/>
  <c r="A8" i="88" s="1"/>
  <c r="A9" i="88" s="1"/>
  <c r="A10" i="88" s="1"/>
  <c r="A11" i="88" s="1"/>
  <c r="A12" i="88" s="1"/>
  <c r="E3" i="85"/>
  <c r="D3" i="85"/>
  <c r="D18" i="83"/>
  <c r="C17" i="83"/>
  <c r="D17" i="83" s="1"/>
  <c r="C16" i="83"/>
  <c r="D16" i="83" s="1"/>
  <c r="C15" i="83"/>
  <c r="D15" i="83" s="1"/>
  <c r="C14" i="83"/>
  <c r="D14" i="83" s="1"/>
  <c r="C13" i="83"/>
  <c r="D13" i="83" s="1"/>
  <c r="C12" i="83"/>
  <c r="D12" i="83" s="1"/>
  <c r="C11" i="83"/>
  <c r="D11" i="83" s="1"/>
  <c r="C10" i="83"/>
  <c r="D10" i="83" s="1"/>
  <c r="C9" i="83"/>
  <c r="D9" i="83" s="1"/>
  <c r="C8" i="83"/>
  <c r="D8" i="83" s="1"/>
  <c r="C7" i="83"/>
  <c r="D7" i="83" s="1"/>
  <c r="C6" i="83"/>
  <c r="D6" i="83" s="1"/>
  <c r="C5" i="83"/>
  <c r="D5" i="83" s="1"/>
  <c r="C4" i="83"/>
  <c r="D4" i="83" s="1"/>
  <c r="D3" i="83"/>
  <c r="B33" i="101" l="1"/>
  <c r="B19" i="89"/>
  <c r="C23" i="89"/>
  <c r="C27" i="89"/>
  <c r="C28" i="89"/>
  <c r="C20" i="89"/>
  <c r="B21" i="89"/>
  <c r="C19" i="89"/>
  <c r="C22" i="89"/>
  <c r="B22" i="89"/>
  <c r="C18" i="89"/>
  <c r="C21" i="89"/>
  <c r="B23" i="89"/>
  <c r="B24" i="89"/>
  <c r="B25" i="89"/>
  <c r="B26" i="89"/>
  <c r="B27" i="89"/>
  <c r="C24" i="89"/>
  <c r="B20" i="89"/>
  <c r="B28" i="89"/>
  <c r="C26" i="89"/>
  <c r="B18" i="89"/>
  <c r="C25" i="89"/>
  <c r="B31" i="92"/>
  <c r="E27" i="92"/>
  <c r="E28" i="92"/>
  <c r="D27" i="92"/>
  <c r="C28" i="92"/>
  <c r="C29" i="92"/>
  <c r="B29" i="92"/>
  <c r="B27" i="92"/>
  <c r="D28" i="92"/>
  <c r="D29" i="92"/>
  <c r="C27" i="92"/>
  <c r="B28" i="92"/>
  <c r="B37" i="92" l="1"/>
  <c r="B38" i="92" s="1"/>
  <c r="B36" i="9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552" type="4" refreshedVersion="5" deleted="1" background="1" saveData="1">
    <webPr xl2000="1" htmlTables="1" htmlFormat="all"/>
  </connection>
  <connection id="2" xr16:uid="{00000000-0015-0000-FFFF-FFFF01000000}" name="Connection5521" type="4" refreshedVersion="5" deleted="1" background="1" saveData="1">
    <webPr xl2000="1" htmlTables="1" htmlFormat="all"/>
  </connection>
  <connection id="3" xr16:uid="{00000000-0015-0000-FFFF-FFFF02000000}" name="Connection55211" type="4" refreshedVersion="5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<sst xmlns="http://schemas.openxmlformats.org/spreadsheetml/2006/main" count="328" uniqueCount="202">
  <si>
    <t>Date</t>
  </si>
  <si>
    <t>Year</t>
  </si>
  <si>
    <t>Annual return</t>
  </si>
  <si>
    <t>Correlation</t>
  </si>
  <si>
    <t>Covariance</t>
  </si>
  <si>
    <t>Standard deviation</t>
  </si>
  <si>
    <t>Mean</t>
  </si>
  <si>
    <t>IBM</t>
  </si>
  <si>
    <t>Covariances</t>
  </si>
  <si>
    <t>HighTech Corp. Stock price</t>
  </si>
  <si>
    <t>LowTech Corp. 
Stock price</t>
  </si>
  <si>
    <t>DATA ON THREE MUTUAL FUNDS</t>
  </si>
  <si>
    <t>Fidelity Fifty
FFTYX</t>
  </si>
  <si>
    <t>Value Line Larger Companies Focused
VALLX</t>
  </si>
  <si>
    <t>Fidelity Fund
FFIDX</t>
  </si>
  <si>
    <t>PRICES FOR FORD AND GM STOCK</t>
  </si>
  <si>
    <t>Ford</t>
  </si>
  <si>
    <t>GM</t>
  </si>
  <si>
    <t>KELLOGG PRICE AND DIVIDEND DATA</t>
  </si>
  <si>
    <t>Price at beginning of year</t>
  </si>
  <si>
    <t>Price at year end</t>
  </si>
  <si>
    <t>Average price during the year</t>
  </si>
  <si>
    <t>Dividend during year</t>
  </si>
  <si>
    <t>Total return</t>
  </si>
  <si>
    <t>Dividend yield</t>
  </si>
  <si>
    <t>VISA PRICE, DIVIDEND AND SPLIT DATA Q1, 2015</t>
  </si>
  <si>
    <t>Stock Quotes for VISA</t>
  </si>
  <si>
    <t>Closing
price</t>
  </si>
  <si>
    <t>Dividend during week</t>
  </si>
  <si>
    <t>Other information</t>
  </si>
  <si>
    <t>Open</t>
  </si>
  <si>
    <t>High</t>
  </si>
  <si>
    <t>Low</t>
  </si>
  <si>
    <t>Close</t>
  </si>
  <si>
    <t>Volume</t>
  </si>
  <si>
    <t>Adj Close</t>
  </si>
  <si>
    <t>4: 1 Stock Split (Mar 19, 2015)</t>
  </si>
  <si>
    <t>IBM AND KELLOGG</t>
  </si>
  <si>
    <t>Adjusted prices</t>
  </si>
  <si>
    <t>Kellogg (K)</t>
  </si>
  <si>
    <t>HEAVYSTEEL CORPORATION</t>
  </si>
  <si>
    <t>Closing stock price</t>
  </si>
  <si>
    <t>Stock splits</t>
  </si>
  <si>
    <t>Split-adjusted price</t>
  </si>
  <si>
    <t>Split-adjusted return</t>
  </si>
  <si>
    <t>2 for 1</t>
  </si>
  <si>
    <t>1.5 for 1</t>
  </si>
  <si>
    <t>Mean return</t>
  </si>
  <si>
    <t>Young Corp.</t>
  </si>
  <si>
    <t>Mature Corp.</t>
  </si>
  <si>
    <t>Share price</t>
  </si>
  <si>
    <t>Dividend per share</t>
  </si>
  <si>
    <t>CORRELATION -1
Chicken Feed and Poultry Delight Stocks</t>
  </si>
  <si>
    <t>Poultry Delight stock return</t>
  </si>
  <si>
    <t>Chicken Feed stock return</t>
  </si>
  <si>
    <t>Asset 1</t>
  </si>
  <si>
    <t>Asset 2</t>
  </si>
  <si>
    <t>Average return</t>
  </si>
  <si>
    <t>Return variance</t>
  </si>
  <si>
    <t>Proportion of 
asset 1</t>
  </si>
  <si>
    <t>Portfolio standard deviation</t>
  </si>
  <si>
    <t>Portfolio
mean return</t>
  </si>
  <si>
    <t>MONTHLY RETURNS:  BOEING (BA), GENERAL ELECTRIC (GE), WALMART (WMT)</t>
  </si>
  <si>
    <t>Return for month ending</t>
  </si>
  <si>
    <t>BA</t>
  </si>
  <si>
    <t>GE</t>
  </si>
  <si>
    <t>WMT</t>
  </si>
  <si>
    <t>Cov(BA,GE)</t>
  </si>
  <si>
    <t>Cov(BA,WMT)</t>
  </si>
  <si>
    <t>Cov(GE,WMT)</t>
  </si>
  <si>
    <t>Correlations</t>
  </si>
  <si>
    <t>Corr(BA,GE)</t>
  </si>
  <si>
    <t>Corr(BA,WMT)</t>
  </si>
  <si>
    <t>Corr(GE,WMT)</t>
  </si>
  <si>
    <t>Portfolio proportions</t>
  </si>
  <si>
    <t>Portfolio mean return</t>
  </si>
  <si>
    <t>Portfolio variance</t>
  </si>
  <si>
    <t>HT annual returns</t>
    <phoneticPr fontId="18" type="noConversion"/>
  </si>
  <si>
    <t>LT annual returns</t>
    <phoneticPr fontId="18" type="noConversion"/>
  </si>
  <si>
    <t>mean 10 years return</t>
    <phoneticPr fontId="18" type="noConversion"/>
  </si>
  <si>
    <t>variance</t>
  </si>
  <si>
    <t>variance</t>
    <phoneticPr fontId="18" type="noConversion"/>
  </si>
  <si>
    <t>standard deviation</t>
  </si>
  <si>
    <t>standard deviation</t>
    <phoneticPr fontId="18" type="noConversion"/>
  </si>
  <si>
    <t>HT Is risker</t>
    <phoneticPr fontId="18" type="noConversion"/>
  </si>
  <si>
    <t>Section a.</t>
    <phoneticPr fontId="18" type="noConversion"/>
  </si>
  <si>
    <t>Section b.</t>
    <phoneticPr fontId="18" type="noConversion"/>
  </si>
  <si>
    <t>Section c.</t>
    <phoneticPr fontId="18" type="noConversion"/>
  </si>
  <si>
    <t>Section d.</t>
    <phoneticPr fontId="18" type="noConversion"/>
  </si>
  <si>
    <t>covariance</t>
  </si>
  <si>
    <t>covariance</t>
    <phoneticPr fontId="18" type="noConversion"/>
  </si>
  <si>
    <t>correlation</t>
    <phoneticPr fontId="18" type="noConversion"/>
  </si>
  <si>
    <t>Section e.</t>
    <phoneticPr fontId="18" type="noConversion"/>
  </si>
  <si>
    <t>LT high return low risk</t>
    <phoneticPr fontId="18" type="noConversion"/>
  </si>
  <si>
    <t>mean</t>
    <phoneticPr fontId="18" type="noConversion"/>
  </si>
  <si>
    <t>correlation 1 2</t>
    <phoneticPr fontId="18" type="noConversion"/>
  </si>
  <si>
    <t>correlation 2 3</t>
    <phoneticPr fontId="18" type="noConversion"/>
  </si>
  <si>
    <t>correlation 3 1</t>
    <phoneticPr fontId="18" type="noConversion"/>
  </si>
  <si>
    <t>Value Line Larger Companies Focused
VALLX</t>
    <phoneticPr fontId="18" type="noConversion"/>
  </si>
  <si>
    <t>choose Value Line Larger Companies Focused</t>
    <phoneticPr fontId="18" type="noConversion"/>
  </si>
  <si>
    <t>slope</t>
    <phoneticPr fontId="18" type="noConversion"/>
  </si>
  <si>
    <t>intercept</t>
  </si>
  <si>
    <t>r-squared</t>
    <phoneticPr fontId="18" type="noConversion"/>
  </si>
  <si>
    <t>small because r-squared is small</t>
    <phoneticPr fontId="18" type="noConversion"/>
  </si>
  <si>
    <t>after dividend, stock price get lower and will get hgih as dividend before</t>
    <phoneticPr fontId="18" type="noConversion"/>
  </si>
  <si>
    <t>returns</t>
    <phoneticPr fontId="18" type="noConversion"/>
  </si>
  <si>
    <t>annual mean</t>
    <phoneticPr fontId="18" type="noConversion"/>
  </si>
  <si>
    <t>annual standard deviation</t>
    <phoneticPr fontId="18" type="noConversion"/>
  </si>
  <si>
    <t>because correlation of Kellogg and IBM is negative, so will reduce profoilo stdev</t>
    <phoneticPr fontId="18" type="noConversion"/>
  </si>
  <si>
    <t>shares in 2006</t>
    <phoneticPr fontId="18" type="noConversion"/>
  </si>
  <si>
    <t>shares in 2015</t>
    <phoneticPr fontId="18" type="noConversion"/>
  </si>
  <si>
    <t>answer</t>
    <phoneticPr fontId="18" type="noConversion"/>
  </si>
  <si>
    <t>Youngs' yearly returns.</t>
    <phoneticPr fontId="18" type="noConversion"/>
  </si>
  <si>
    <t>adjusted price</t>
    <phoneticPr fontId="18" type="noConversion"/>
  </si>
  <si>
    <t>Mature's yearly returns.</t>
  </si>
  <si>
    <t>stdev</t>
    <phoneticPr fontId="18" type="noConversion"/>
  </si>
  <si>
    <t>young</t>
    <phoneticPr fontId="18" type="noConversion"/>
  </si>
  <si>
    <t>mature</t>
    <phoneticPr fontId="18" type="noConversion"/>
  </si>
  <si>
    <t>both ok, depanding on how much risk want to take.</t>
    <phoneticPr fontId="18" type="noConversion"/>
  </si>
  <si>
    <t>Average return</t>
    <phoneticPr fontId="18" type="noConversion"/>
  </si>
  <si>
    <t>Variance</t>
    <phoneticPr fontId="18" type="noConversion"/>
  </si>
  <si>
    <t>ORCL</t>
    <phoneticPr fontId="18" type="noConversion"/>
  </si>
  <si>
    <t>IBM</t>
    <phoneticPr fontId="18" type="noConversion"/>
  </si>
  <si>
    <t>MSFT</t>
    <phoneticPr fontId="18" type="noConversion"/>
  </si>
  <si>
    <t>FVINX</t>
    <phoneticPr fontId="18" type="noConversion"/>
  </si>
  <si>
    <t>share</t>
    <phoneticPr fontId="18" type="noConversion"/>
  </si>
  <si>
    <t>protfolio</t>
    <phoneticPr fontId="18" type="noConversion"/>
  </si>
  <si>
    <t>covariance ORCL IBM</t>
    <phoneticPr fontId="18" type="noConversion"/>
  </si>
  <si>
    <t>covariance IBM MSFT</t>
    <phoneticPr fontId="18" type="noConversion"/>
  </si>
  <si>
    <t>covariance MSFT ORCL</t>
    <phoneticPr fontId="18" type="noConversion"/>
  </si>
  <si>
    <t>S&amp;P 500 index, because higher return and lower risk</t>
    <phoneticPr fontId="18" type="noConversion"/>
  </si>
  <si>
    <t>portfolio</t>
    <phoneticPr fontId="18" type="noConversion"/>
  </si>
  <si>
    <t>correct</t>
    <phoneticPr fontId="18" type="noConversion"/>
  </si>
  <si>
    <t>incorrect</t>
    <phoneticPr fontId="18" type="noConversion"/>
  </si>
  <si>
    <t>ra</t>
    <phoneticPr fontId="18" type="noConversion"/>
  </si>
  <si>
    <t>rb</t>
    <phoneticPr fontId="18" type="noConversion"/>
  </si>
  <si>
    <t>σb</t>
    <phoneticPr fontId="18" type="noConversion"/>
  </si>
  <si>
    <t>σa</t>
    <phoneticPr fontId="18" type="noConversion"/>
  </si>
  <si>
    <t>portfolio return</t>
    <phoneticPr fontId="18" type="noConversion"/>
  </si>
  <si>
    <t>a share</t>
    <phoneticPr fontId="18" type="noConversion"/>
  </si>
  <si>
    <t>portfolio variance</t>
    <phoneticPr fontId="18" type="noConversion"/>
  </si>
  <si>
    <t>return</t>
    <phoneticPr fontId="18" type="noConversion"/>
  </si>
  <si>
    <t>interest rate</t>
    <phoneticPr fontId="18" type="noConversion"/>
  </si>
  <si>
    <t>Security A</t>
  </si>
  <si>
    <t>Security B</t>
  </si>
  <si>
    <t>Return</t>
  </si>
  <si>
    <t>Probability</t>
  </si>
  <si>
    <t>mixed portfolio</t>
    <phoneticPr fontId="18" type="noConversion"/>
  </si>
  <si>
    <t>Stock</t>
  </si>
  <si>
    <t>A</t>
    <phoneticPr fontId="18" type="noConversion"/>
  </si>
  <si>
    <t>B</t>
    <phoneticPr fontId="18" type="noConversion"/>
  </si>
  <si>
    <t>C</t>
    <phoneticPr fontId="18" type="noConversion"/>
  </si>
  <si>
    <t>risk-free asset</t>
    <phoneticPr fontId="18" type="noConversion"/>
  </si>
  <si>
    <t>risk-free asset return</t>
    <phoneticPr fontId="18" type="noConversion"/>
  </si>
  <si>
    <t>Stock A</t>
    <phoneticPr fontId="18" type="noConversion"/>
  </si>
  <si>
    <t>Stock B</t>
    <phoneticPr fontId="18" type="noConversion"/>
  </si>
  <si>
    <t>covarianceAB</t>
    <phoneticPr fontId="18" type="noConversion"/>
  </si>
  <si>
    <t>correlationAB</t>
    <phoneticPr fontId="18" type="noConversion"/>
  </si>
  <si>
    <t>Chirps per
second</t>
    <phoneticPr fontId="18" type="noConversion"/>
  </si>
  <si>
    <t>Temperature
in Farenheit</t>
    <phoneticPr fontId="18" type="noConversion"/>
  </si>
  <si>
    <t>temperature</t>
  </si>
  <si>
    <t>chirps per second</t>
  </si>
  <si>
    <t>Country</t>
  </si>
  <si>
    <t>US</t>
  </si>
  <si>
    <t>Austria</t>
  </si>
  <si>
    <t>Belgium</t>
  </si>
  <si>
    <t>Honduras</t>
  </si>
  <si>
    <t>Denmark</t>
  </si>
  <si>
    <t>Jamaica</t>
  </si>
  <si>
    <t>France</t>
  </si>
  <si>
    <t>Netherlands</t>
  </si>
  <si>
    <t>Germany</t>
  </si>
  <si>
    <t>Italy</t>
  </si>
  <si>
    <t>Korea</t>
  </si>
  <si>
    <t>Nepal</t>
  </si>
  <si>
    <t>Norway</t>
  </si>
  <si>
    <t>Pakistan</t>
  </si>
  <si>
    <t>Switzerland</t>
  </si>
  <si>
    <t>Thailand</t>
  </si>
  <si>
    <t>Canada</t>
  </si>
  <si>
    <t>Malawi</t>
  </si>
  <si>
    <t>Japan</t>
  </si>
  <si>
    <t>Zimbabwe</t>
  </si>
  <si>
    <t>Ireland</t>
  </si>
  <si>
    <t>Portugal</t>
  </si>
  <si>
    <t>Spain</t>
  </si>
  <si>
    <t>Venezuela</t>
  </si>
  <si>
    <t>Australia</t>
  </si>
  <si>
    <t>Average money growth</t>
    <phoneticPr fontId="18" type="noConversion"/>
  </si>
  <si>
    <t>Average long-term bond interest rate</t>
    <phoneticPr fontId="18" type="noConversion"/>
  </si>
  <si>
    <t>New Zealand</t>
    <phoneticPr fontId="18" type="noConversion"/>
  </si>
  <si>
    <t>South Africa</t>
    <phoneticPr fontId="18" type="noConversion"/>
  </si>
  <si>
    <t>Netherlands Antilles</t>
    <phoneticPr fontId="18" type="noConversion"/>
  </si>
  <si>
    <t>Trinidad &amp; Tobago</t>
    <phoneticPr fontId="18" type="noConversion"/>
  </si>
  <si>
    <t>Solomon Islands</t>
    <phoneticPr fontId="18" type="noConversion"/>
  </si>
  <si>
    <t>Western Samoa</t>
    <phoneticPr fontId="18" type="noConversion"/>
  </si>
  <si>
    <t>MONEY GROWTH AND BOND INTEREST RATES</t>
    <phoneticPr fontId="18" type="noConversion"/>
  </si>
  <si>
    <t>75.98% of average long-term bond interest rate depand on average money growth</t>
    <phoneticPr fontId="18" type="noConversion"/>
  </si>
  <si>
    <t>Mabelberry Fruit stock return</t>
    <phoneticPr fontId="18" type="noConversion"/>
  </si>
  <si>
    <t>Sawyer’s Jam stock return</t>
    <phoneticPr fontId="18" type="noConversion"/>
  </si>
  <si>
    <t>Year</t>
    <phoneticPr fontId="18" type="noConversion"/>
  </si>
  <si>
    <t>Sawyer’s Jam stock return is totally depend on Mabelberry Fruit stock return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</si>
</sst>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(* #,##0.00_);_(* \(#,##0.00\);_(* &quot;-&quot;??_);_(@_)"/>
    <numFmt numFmtId="176" formatCode="_(&quot;$&quot;* #,##0.00_);_(&quot;$&quot;* \(#,##0.00\);_(&quot;$&quot;* &quot;-&quot;??_);_(@_)"/>
    <numFmt numFmtId="177" formatCode="0.0000"/>
    <numFmt numFmtId="178" formatCode="#,##0.0000"/>
    <numFmt numFmtId="179" formatCode="[$-409]d\-mmm\-yy;@"/>
    <numFmt numFmtId="180" formatCode="[$-409]d\-mmm\-yyyy;@"/>
    <numFmt numFmtId="181" formatCode="B1dd\-mmm\-yy"/>
    <numFmt numFmtId="182" formatCode="yyyy\-mm\-dd;@"/>
    <numFmt numFmtId="184" formatCode="0.000%"/>
    <numFmt numFmtId="185" formatCode="0.0000%"/>
    <numFmt numFmtId="186" formatCode="0.00000%"/>
    <numFmt numFmtId="187" formatCode="0.00_ "/>
    <numFmt numFmtId="189" formatCode="0.000000%"/>
    <numFmt numFmtId="197" formatCode="0.00_);[Red]\(0.00\)"/>
    <numFmt numFmtId="200" formatCode="0.00000_);[Red]\(0.00000\)"/>
    <numFmt numFmtId="201" formatCode="0.0000000000000%"/>
    <numFmt numFmtId="202" formatCode="0.00000000%"/>
  </numFmts>
  <fonts count="24">
    <font>
      <sz val="10"/>
      <name val="Arial"/>
    </font>
    <font>
      <sz val="11"/>
      <color theme="1"/>
      <name val="宋体"/>
      <family val="2"/>
      <charset val="177"/>
      <scheme val="minor"/>
    </font>
    <font>
      <sz val="11"/>
      <color theme="1"/>
      <name val="宋体"/>
      <family val="2"/>
      <charset val="177"/>
      <scheme val="minor"/>
    </font>
    <font>
      <sz val="11"/>
      <color theme="1"/>
      <name val="宋体"/>
      <family val="2"/>
      <charset val="177"/>
      <scheme val="minor"/>
    </font>
    <font>
      <sz val="11"/>
      <color theme="1"/>
      <name val="宋体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0"/>
      <name val="宋体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b/>
      <sz val="14"/>
      <name val="Arial"/>
      <family val="2"/>
    </font>
    <font>
      <sz val="10"/>
      <name val="Geneva"/>
      <family val="2"/>
    </font>
    <font>
      <b/>
      <sz val="10"/>
      <name val="Arial"/>
      <family val="2"/>
    </font>
    <font>
      <b/>
      <sz val="10"/>
      <name val="Arial"/>
      <family val="2"/>
      <charset val="177"/>
    </font>
    <font>
      <b/>
      <sz val="12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0"/>
      <color rgb="FF000000"/>
      <name val="Helvetica"/>
      <family val="2"/>
    </font>
    <font>
      <sz val="12"/>
      <color rgb="FF000000"/>
      <name val="等线"/>
      <family val="4"/>
      <charset val="134"/>
    </font>
    <font>
      <sz val="10"/>
      <color rgb="FF1A1819"/>
      <name val="Helvetica"/>
      <family val="2"/>
    </font>
    <font>
      <i/>
      <sz val="10"/>
      <color rgb="FF1A1819"/>
      <name val="STIXGeneral"/>
    </font>
    <font>
      <sz val="8"/>
      <color rgb="FF1A1818"/>
      <name val="Helvetica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0">
    <xf numFmtId="0" fontId="0" fillId="0" borderId="0"/>
    <xf numFmtId="0" fontId="7" fillId="0" borderId="0"/>
    <xf numFmtId="176" fontId="8" fillId="0" borderId="0" applyFont="0" applyFill="0" applyBorder="0" applyAlignment="0" applyProtection="0"/>
    <xf numFmtId="0" fontId="9" fillId="4" borderId="0" applyNumberFormat="0" applyBorder="0" applyAlignment="0" applyProtection="0"/>
    <xf numFmtId="0" fontId="10" fillId="2" borderId="1" applyNumberFormat="0" applyAlignment="0" applyProtection="0"/>
    <xf numFmtId="0" fontId="11" fillId="3" borderId="1" applyNumberFormat="0" applyAlignment="0" applyProtection="0"/>
    <xf numFmtId="0" fontId="6" fillId="0" borderId="0"/>
    <xf numFmtId="0" fontId="4" fillId="0" borderId="0"/>
    <xf numFmtId="9" fontId="4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13" fillId="0" borderId="0"/>
    <xf numFmtId="0" fontId="3" fillId="0" borderId="0"/>
    <xf numFmtId="0" fontId="2" fillId="0" borderId="0"/>
    <xf numFmtId="0" fontId="8" fillId="0" borderId="0"/>
    <xf numFmtId="9" fontId="8" fillId="0" borderId="0" applyFont="0" applyFill="0" applyBorder="0" applyAlignment="0" applyProtection="0"/>
    <xf numFmtId="39" fontId="8" fillId="0" borderId="0" applyFont="0" applyFill="0" applyBorder="0" applyAlignment="0" applyProtection="0"/>
    <xf numFmtId="0" fontId="1" fillId="0" borderId="0"/>
    <xf numFmtId="0" fontId="8" fillId="0" borderId="0"/>
    <xf numFmtId="9" fontId="17" fillId="0" borderId="0" applyFont="0" applyFill="0" applyBorder="0" applyAlignment="0" applyProtection="0">
      <alignment vertical="center"/>
    </xf>
  </cellStyleXfs>
  <cellXfs count="84">
    <xf numFmtId="0" fontId="0" fillId="0" borderId="0" xfId="0"/>
    <xf numFmtId="4" fontId="0" fillId="0" borderId="0" xfId="0" applyNumberFormat="1"/>
    <xf numFmtId="0" fontId="0" fillId="5" borderId="0" xfId="0" applyFill="1"/>
    <xf numFmtId="0" fontId="0" fillId="0" borderId="0" xfId="0" applyAlignment="1">
      <alignment horizontal="center"/>
    </xf>
    <xf numFmtId="10" fontId="0" fillId="0" borderId="0" xfId="15" applyNumberFormat="1" applyFont="1"/>
    <xf numFmtId="10" fontId="8" fillId="0" borderId="0" xfId="15" applyNumberFormat="1" applyFont="1"/>
    <xf numFmtId="179" fontId="0" fillId="0" borderId="0" xfId="0" applyNumberFormat="1"/>
    <xf numFmtId="177" fontId="0" fillId="5" borderId="0" xfId="0" applyNumberFormat="1" applyFill="1"/>
    <xf numFmtId="2" fontId="0" fillId="0" borderId="0" xfId="0" applyNumberFormat="1"/>
    <xf numFmtId="180" fontId="0" fillId="0" borderId="0" xfId="0" applyNumberFormat="1" applyAlignment="1">
      <alignment horizontal="center"/>
    </xf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 vertical="center" wrapText="1"/>
    </xf>
    <xf numFmtId="180" fontId="0" fillId="0" borderId="0" xfId="0" applyNumberFormat="1"/>
    <xf numFmtId="2" fontId="0" fillId="0" borderId="0" xfId="0" applyNumberFormat="1" applyAlignment="1">
      <alignment horizontal="center"/>
    </xf>
    <xf numFmtId="181" fontId="15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 wrapText="1"/>
    </xf>
    <xf numFmtId="179" fontId="12" fillId="0" borderId="0" xfId="0" applyNumberFormat="1" applyFont="1"/>
    <xf numFmtId="179" fontId="12" fillId="0" borderId="0" xfId="0" applyNumberFormat="1" applyFont="1" applyAlignment="1">
      <alignment wrapText="1"/>
    </xf>
    <xf numFmtId="0" fontId="8" fillId="0" borderId="0" xfId="0" applyFont="1"/>
    <xf numFmtId="182" fontId="0" fillId="0" borderId="0" xfId="0" applyNumberFormat="1"/>
    <xf numFmtId="179" fontId="12" fillId="0" borderId="0" xfId="0" applyNumberFormat="1" applyFont="1" applyAlignment="1">
      <alignment vertical="center" wrapText="1"/>
    </xf>
    <xf numFmtId="0" fontId="0" fillId="0" borderId="0" xfId="0" applyAlignment="1">
      <alignment horizontal="right"/>
    </xf>
    <xf numFmtId="10" fontId="0" fillId="5" borderId="0" xfId="0" applyNumberFormat="1" applyFill="1"/>
    <xf numFmtId="10" fontId="8" fillId="5" borderId="0" xfId="15" applyNumberFormat="1" applyFill="1"/>
    <xf numFmtId="177" fontId="0" fillId="0" borderId="0" xfId="0" applyNumberFormat="1"/>
    <xf numFmtId="0" fontId="16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2" fontId="8" fillId="0" borderId="0" xfId="0" applyNumberFormat="1" applyFont="1" applyAlignment="1">
      <alignment horizontal="center" vertical="top" wrapText="1"/>
    </xf>
    <xf numFmtId="0" fontId="14" fillId="0" borderId="0" xfId="18" applyFont="1" applyAlignment="1">
      <alignment horizontal="center"/>
    </xf>
    <xf numFmtId="0" fontId="14" fillId="0" borderId="0" xfId="18" applyFont="1" applyAlignment="1">
      <alignment horizontal="center" vertical="center" wrapText="1"/>
    </xf>
    <xf numFmtId="0" fontId="8" fillId="0" borderId="0" xfId="18"/>
    <xf numFmtId="0" fontId="8" fillId="0" borderId="0" xfId="18" applyAlignment="1">
      <alignment horizontal="center"/>
    </xf>
    <xf numFmtId="10" fontId="8" fillId="0" borderId="0" xfId="18" applyNumberFormat="1"/>
    <xf numFmtId="4" fontId="8" fillId="5" borderId="0" xfId="16" applyNumberFormat="1" applyFill="1"/>
    <xf numFmtId="0" fontId="8" fillId="0" borderId="0" xfId="0" applyFont="1" applyAlignment="1">
      <alignment horizontal="center" vertical="top" wrapText="1"/>
    </xf>
    <xf numFmtId="0" fontId="14" fillId="0" borderId="0" xfId="0" applyFont="1" applyAlignment="1">
      <alignment horizontal="center" vertical="top" wrapText="1"/>
    </xf>
    <xf numFmtId="10" fontId="8" fillId="0" borderId="0" xfId="0" applyNumberFormat="1" applyFont="1" applyAlignment="1">
      <alignment horizontal="center" vertical="top" wrapText="1"/>
    </xf>
    <xf numFmtId="10" fontId="0" fillId="5" borderId="0" xfId="15" applyNumberFormat="1" applyFont="1" applyFill="1"/>
    <xf numFmtId="0" fontId="0" fillId="0" borderId="0" xfId="0" applyAlignment="1">
      <alignment horizontal="left" indent="1"/>
    </xf>
    <xf numFmtId="178" fontId="0" fillId="5" borderId="0" xfId="15" applyNumberFormat="1" applyFont="1" applyFill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wrapText="1"/>
    </xf>
    <xf numFmtId="179" fontId="12" fillId="0" borderId="0" xfId="0" applyNumberFormat="1" applyFont="1" applyAlignment="1">
      <alignment horizontal="center" wrapText="1"/>
    </xf>
    <xf numFmtId="179" fontId="12" fillId="0" borderId="0" xfId="0" applyNumberFormat="1" applyFont="1" applyAlignment="1">
      <alignment horizontal="center" vertical="center" wrapText="1"/>
    </xf>
    <xf numFmtId="0" fontId="14" fillId="6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top" wrapText="1"/>
    </xf>
    <xf numFmtId="0" fontId="16" fillId="0" borderId="0" xfId="0" applyFont="1" applyAlignment="1">
      <alignment horizontal="center" vertical="center" wrapText="1"/>
    </xf>
    <xf numFmtId="0" fontId="12" fillId="0" borderId="0" xfId="18" applyFont="1" applyAlignment="1">
      <alignment horizontal="center" vertical="center" wrapText="1"/>
    </xf>
    <xf numFmtId="10" fontId="0" fillId="0" borderId="0" xfId="19" applyNumberFormat="1" applyFont="1" applyAlignment="1"/>
    <xf numFmtId="184" fontId="0" fillId="0" borderId="0" xfId="19" applyNumberFormat="1" applyFont="1" applyAlignment="1"/>
    <xf numFmtId="0" fontId="8" fillId="0" borderId="0" xfId="0" applyFont="1" applyAlignment="1">
      <alignment horizontal="center"/>
    </xf>
    <xf numFmtId="184" fontId="0" fillId="0" borderId="0" xfId="0" applyNumberFormat="1"/>
    <xf numFmtId="184" fontId="8" fillId="0" borderId="0" xfId="19" applyNumberFormat="1" applyFont="1" applyAlignment="1"/>
    <xf numFmtId="10" fontId="0" fillId="0" borderId="0" xfId="0" applyNumberFormat="1"/>
    <xf numFmtId="185" fontId="0" fillId="0" borderId="0" xfId="19" applyNumberFormat="1" applyFont="1" applyAlignment="1"/>
    <xf numFmtId="185" fontId="0" fillId="0" borderId="0" xfId="0" applyNumberFormat="1"/>
    <xf numFmtId="10" fontId="8" fillId="0" borderId="0" xfId="19" applyNumberFormat="1" applyFont="1" applyAlignment="1"/>
    <xf numFmtId="186" fontId="8" fillId="0" borderId="0" xfId="19" applyNumberFormat="1" applyFont="1" applyAlignment="1"/>
    <xf numFmtId="187" fontId="8" fillId="0" borderId="0" xfId="0" applyNumberFormat="1" applyFont="1"/>
    <xf numFmtId="189" fontId="8" fillId="0" borderId="0" xfId="19" applyNumberFormat="1" applyFont="1" applyAlignment="1"/>
    <xf numFmtId="10" fontId="8" fillId="5" borderId="0" xfId="0" applyNumberFormat="1" applyFont="1" applyFill="1"/>
    <xf numFmtId="0" fontId="19" fillId="0" borderId="0" xfId="0" applyFont="1"/>
    <xf numFmtId="0" fontId="20" fillId="0" borderId="0" xfId="0" applyFont="1" applyAlignment="1">
      <alignment vertical="center"/>
    </xf>
    <xf numFmtId="14" fontId="0" fillId="0" borderId="0" xfId="0" applyNumberFormat="1"/>
    <xf numFmtId="14" fontId="20" fillId="0" borderId="0" xfId="0" applyNumberFormat="1" applyFont="1" applyAlignment="1">
      <alignment vertical="center"/>
    </xf>
    <xf numFmtId="14" fontId="8" fillId="0" borderId="0" xfId="0" applyNumberFormat="1" applyFont="1"/>
    <xf numFmtId="0" fontId="21" fillId="0" borderId="0" xfId="0" applyFont="1"/>
    <xf numFmtId="197" fontId="0" fillId="0" borderId="0" xfId="0" applyNumberFormat="1"/>
    <xf numFmtId="200" fontId="0" fillId="0" borderId="0" xfId="0" applyNumberFormat="1"/>
    <xf numFmtId="0" fontId="22" fillId="0" borderId="0" xfId="0" applyFont="1"/>
    <xf numFmtId="0" fontId="23" fillId="0" borderId="0" xfId="0" applyFont="1"/>
    <xf numFmtId="9" fontId="0" fillId="0" borderId="0" xfId="0" applyNumberForma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center"/>
    </xf>
    <xf numFmtId="201" fontId="0" fillId="0" borderId="0" xfId="0" applyNumberFormat="1"/>
    <xf numFmtId="202" fontId="0" fillId="0" borderId="0" xfId="0" applyNumberFormat="1"/>
    <xf numFmtId="189" fontId="0" fillId="0" borderId="0" xfId="0" applyNumberFormat="1"/>
    <xf numFmtId="189" fontId="0" fillId="0" borderId="0" xfId="19" applyNumberFormat="1" applyFont="1" applyAlignment="1"/>
    <xf numFmtId="186" fontId="0" fillId="0" borderId="0" xfId="0" applyNumberFormat="1"/>
  </cellXfs>
  <cellStyles count="20">
    <cellStyle name="20% - Accent3 2" xfId="3" xr:uid="{00000000-0005-0000-0000-000000000000}"/>
    <cellStyle name="Calculation 2" xfId="5" xr:uid="{00000000-0005-0000-0000-000001000000}"/>
    <cellStyle name="Comma 2" xfId="10" xr:uid="{00000000-0005-0000-0000-000002000000}"/>
    <cellStyle name="Currency 2" xfId="2" xr:uid="{00000000-0005-0000-0000-000003000000}"/>
    <cellStyle name="Input 2" xfId="4" xr:uid="{00000000-0005-0000-0000-000004000000}"/>
    <cellStyle name="My comma" xfId="16" xr:uid="{00000000-0005-0000-0000-000005000000}"/>
    <cellStyle name="Normal 10" xfId="17" xr:uid="{00000000-0005-0000-0000-000007000000}"/>
    <cellStyle name="Normal 2" xfId="1" xr:uid="{00000000-0005-0000-0000-000008000000}"/>
    <cellStyle name="Normal 3" xfId="6" xr:uid="{00000000-0005-0000-0000-000009000000}"/>
    <cellStyle name="Normal 4" xfId="7" xr:uid="{00000000-0005-0000-0000-00000A000000}"/>
    <cellStyle name="Normal 5" xfId="9" xr:uid="{00000000-0005-0000-0000-00000B000000}"/>
    <cellStyle name="Normal 6" xfId="11" xr:uid="{00000000-0005-0000-0000-00000C000000}"/>
    <cellStyle name="Normal 7" xfId="12" xr:uid="{00000000-0005-0000-0000-00000D000000}"/>
    <cellStyle name="Normal 8" xfId="13" xr:uid="{00000000-0005-0000-0000-00000E000000}"/>
    <cellStyle name="Normal 9" xfId="14" xr:uid="{00000000-0005-0000-0000-00000F000000}"/>
    <cellStyle name="Normal_pfe_chap11" xfId="18" xr:uid="{00000000-0005-0000-0000-000010000000}"/>
    <cellStyle name="Percent 2" xfId="8" xr:uid="{00000000-0005-0000-0000-000011000000}"/>
    <cellStyle name="Percent 3" xfId="15" xr:uid="{00000000-0005-0000-0000-000012000000}"/>
    <cellStyle name="百分比" xfId="19" builtinId="5"/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'EoC Exercise 2 DATA'!$B$16</c:f>
              <c:strCache>
                <c:ptCount val="1"/>
                <c:pt idx="0">
                  <c:v>Fidelity Fifty
FFTYX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'EoC Exercise 2 DATA'!$A$17:$A$26</c:f>
              <c:numCache>
                <c:formatCode>[$-409]d\-mmm\-yyyy;@</c:formatCode>
                <c:ptCount val="10"/>
                <c:pt idx="0">
                  <c:v>38687</c:v>
                </c:pt>
                <c:pt idx="1">
                  <c:v>39052</c:v>
                </c:pt>
                <c:pt idx="2">
                  <c:v>39419</c:v>
                </c:pt>
                <c:pt idx="3">
                  <c:v>39783</c:v>
                </c:pt>
                <c:pt idx="4">
                  <c:v>40148</c:v>
                </c:pt>
                <c:pt idx="5">
                  <c:v>40513</c:v>
                </c:pt>
                <c:pt idx="6">
                  <c:v>40878</c:v>
                </c:pt>
                <c:pt idx="7">
                  <c:v>41246</c:v>
                </c:pt>
                <c:pt idx="8">
                  <c:v>41610</c:v>
                </c:pt>
                <c:pt idx="9">
                  <c:v>41974</c:v>
                </c:pt>
              </c:numCache>
            </c:numRef>
          </c:cat>
          <c:val>
            <c:numRef>
              <c:f>'EoC Exercise 2 DATA'!$B$17:$B$26</c:f>
              <c:numCache>
                <c:formatCode>0.000%</c:formatCode>
                <c:ptCount val="10"/>
                <c:pt idx="0">
                  <c:v>6.0606060606060552E-2</c:v>
                </c:pt>
                <c:pt idx="1">
                  <c:v>0.14952380952380961</c:v>
                </c:pt>
                <c:pt idx="2">
                  <c:v>6.7937033968517024E-2</c:v>
                </c:pt>
                <c:pt idx="3">
                  <c:v>-0.33048875096974395</c:v>
                </c:pt>
                <c:pt idx="4">
                  <c:v>0.30011587485515645</c:v>
                </c:pt>
                <c:pt idx="5">
                  <c:v>0.12923351158645269</c:v>
                </c:pt>
                <c:pt idx="6">
                  <c:v>-2.9202841357537479E-2</c:v>
                </c:pt>
                <c:pt idx="7">
                  <c:v>0.15528455284552845</c:v>
                </c:pt>
                <c:pt idx="8">
                  <c:v>0.2779732582688248</c:v>
                </c:pt>
                <c:pt idx="9">
                  <c:v>9.2511013215859084E-2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57-EE4F-8E89-9BA37222B73B}"/>
            </c:ext>
          </c:extLst>
        </c:ser>
        <c:ser>
          <c:idx val="1"/>
          <c:order val="1"/>
          <c:tx>
            <c:strRef>
              <c:f>'EoC Exercise 2 DATA'!$C$16</c:f>
              <c:strCache>
                <c:ptCount val="1"/>
                <c:pt idx="0">
                  <c:v>Value Line Larger Companies Focused
VALLX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'EoC Exercise 2 DATA'!$A$17:$A$26</c:f>
              <c:numCache>
                <c:formatCode>[$-409]d\-mmm\-yyyy;@</c:formatCode>
                <c:ptCount val="10"/>
                <c:pt idx="0">
                  <c:v>38687</c:v>
                </c:pt>
                <c:pt idx="1">
                  <c:v>39052</c:v>
                </c:pt>
                <c:pt idx="2">
                  <c:v>39419</c:v>
                </c:pt>
                <c:pt idx="3">
                  <c:v>39783</c:v>
                </c:pt>
                <c:pt idx="4">
                  <c:v>40148</c:v>
                </c:pt>
                <c:pt idx="5">
                  <c:v>40513</c:v>
                </c:pt>
                <c:pt idx="6">
                  <c:v>40878</c:v>
                </c:pt>
                <c:pt idx="7">
                  <c:v>41246</c:v>
                </c:pt>
                <c:pt idx="8">
                  <c:v>41610</c:v>
                </c:pt>
                <c:pt idx="9">
                  <c:v>41974</c:v>
                </c:pt>
              </c:numCache>
            </c:numRef>
          </c:cat>
          <c:val>
            <c:numRef>
              <c:f>'EoC Exercise 2 DATA'!$C$17:$C$26</c:f>
              <c:numCache>
                <c:formatCode>0.000%</c:formatCode>
                <c:ptCount val="10"/>
                <c:pt idx="0">
                  <c:v>9.5477386934673447E-2</c:v>
                </c:pt>
                <c:pt idx="1">
                  <c:v>0.14220183486238525</c:v>
                </c:pt>
                <c:pt idx="2">
                  <c:v>9.4154395359214549E-2</c:v>
                </c:pt>
                <c:pt idx="3">
                  <c:v>-0.38580750407830344</c:v>
                </c:pt>
                <c:pt idx="4">
                  <c:v>0.34196547144754308</c:v>
                </c:pt>
                <c:pt idx="5">
                  <c:v>0.24047501237011382</c:v>
                </c:pt>
                <c:pt idx="6">
                  <c:v>-1.7949740725967223E-2</c:v>
                </c:pt>
                <c:pt idx="7">
                  <c:v>0.18074735987002444</c:v>
                </c:pt>
                <c:pt idx="8">
                  <c:v>0.367389060887513</c:v>
                </c:pt>
                <c:pt idx="9">
                  <c:v>0.12805031446540882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57-EE4F-8E89-9BA37222B73B}"/>
            </c:ext>
          </c:extLst>
        </c:ser>
        <c:ser>
          <c:idx val="2"/>
          <c:order val="2"/>
          <c:tx>
            <c:strRef>
              <c:f>'EoC Exercise 2 DATA'!$D$16</c:f>
              <c:strCache>
                <c:ptCount val="1"/>
                <c:pt idx="0">
                  <c:v>Fidelity Fund
FFIDX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'EoC Exercise 2 DATA'!$A$17:$A$26</c:f>
              <c:numCache>
                <c:formatCode>[$-409]d\-mmm\-yyyy;@</c:formatCode>
                <c:ptCount val="10"/>
                <c:pt idx="0">
                  <c:v>38687</c:v>
                </c:pt>
                <c:pt idx="1">
                  <c:v>39052</c:v>
                </c:pt>
                <c:pt idx="2">
                  <c:v>39419</c:v>
                </c:pt>
                <c:pt idx="3">
                  <c:v>39783</c:v>
                </c:pt>
                <c:pt idx="4">
                  <c:v>40148</c:v>
                </c:pt>
                <c:pt idx="5">
                  <c:v>40513</c:v>
                </c:pt>
                <c:pt idx="6">
                  <c:v>40878</c:v>
                </c:pt>
                <c:pt idx="7">
                  <c:v>41246</c:v>
                </c:pt>
                <c:pt idx="8">
                  <c:v>41610</c:v>
                </c:pt>
                <c:pt idx="9">
                  <c:v>41974</c:v>
                </c:pt>
              </c:numCache>
            </c:numRef>
          </c:cat>
          <c:val>
            <c:numRef>
              <c:f>'EoC Exercise 2 DATA'!$D$17:$D$26</c:f>
              <c:numCache>
                <c:formatCode>0.000%</c:formatCode>
                <c:ptCount val="10"/>
                <c:pt idx="0">
                  <c:v>0.10082304526748964</c:v>
                </c:pt>
                <c:pt idx="1">
                  <c:v>6.7289719626168365E-2</c:v>
                </c:pt>
                <c:pt idx="2">
                  <c:v>9.8949211908931689E-2</c:v>
                </c:pt>
                <c:pt idx="3">
                  <c:v>-0.1394422310756972</c:v>
                </c:pt>
                <c:pt idx="4">
                  <c:v>-0.11296296296296304</c:v>
                </c:pt>
                <c:pt idx="5">
                  <c:v>-9.394572025052228E-3</c:v>
                </c:pt>
                <c:pt idx="6">
                  <c:v>7.90305584826132E-2</c:v>
                </c:pt>
                <c:pt idx="7">
                  <c:v>-1.3671875E-2</c:v>
                </c:pt>
                <c:pt idx="8">
                  <c:v>8.6138613861386215E-2</c:v>
                </c:pt>
                <c:pt idx="9">
                  <c:v>4.3755697356426593E-2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57-EE4F-8E89-9BA37222B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5112560"/>
        <c:axId val="1314089215"/>
      </c:lineChart>
      <c:dateAx>
        <c:axId val="1835112560"/>
        <c:scaling>
          <c:orientation val="minMax"/>
        </c:scaling>
        <c:delete val="0"/>
        <c:axPos val="b"/>
        <c:numFmt formatCode="[$-409]d\-mmm\-yy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14089215"/>
        <c:crosses val="autoZero"/>
        <c:auto val="1"/>
        <c:lblOffset val="100"/>
        <c:baseTimeUnit val="months"/>
      </c:dateAx>
      <c:valAx>
        <c:axId val="13140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3511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3782435151791317"/>
                  <c:y val="0.183879821074635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'EoC Exercise 3 DATA'!$C$23:$C$39</c:f>
              <c:numCache>
                <c:formatCode>0.000%</c:formatCode>
                <c:ptCount val="17"/>
                <c:pt idx="0">
                  <c:v>4.6063651591289778E-2</c:v>
                </c:pt>
                <c:pt idx="1">
                  <c:v>4.6970910061382432E-2</c:v>
                </c:pt>
                <c:pt idx="2">
                  <c:v>-0.13917919959214875</c:v>
                </c:pt>
                <c:pt idx="3">
                  <c:v>2.7243115190997758E-2</c:v>
                </c:pt>
                <c:pt idx="4">
                  <c:v>-4.3240126837705395E-2</c:v>
                </c:pt>
                <c:pt idx="5">
                  <c:v>1.6269960831575725E-2</c:v>
                </c:pt>
                <c:pt idx="6">
                  <c:v>-1.1858879335902017E-3</c:v>
                </c:pt>
                <c:pt idx="7">
                  <c:v>8.7266251113090165E-2</c:v>
                </c:pt>
                <c:pt idx="8">
                  <c:v>-0.11029211029211028</c:v>
                </c:pt>
                <c:pt idx="9">
                  <c:v>4.0503221847192128E-2</c:v>
                </c:pt>
                <c:pt idx="10">
                  <c:v>-5.809495723975211E-2</c:v>
                </c:pt>
                <c:pt idx="11">
                  <c:v>-4.0388227927363851E-2</c:v>
                </c:pt>
                <c:pt idx="12">
                  <c:v>5.6443719412724525E-2</c:v>
                </c:pt>
                <c:pt idx="13">
                  <c:v>6.7325509573811004E-2</c:v>
                </c:pt>
                <c:pt idx="14">
                  <c:v>-4.976851851851849E-2</c:v>
                </c:pt>
                <c:pt idx="15">
                  <c:v>0.13580998781973186</c:v>
                </c:pt>
                <c:pt idx="16">
                  <c:v>-1.5013404825737098E-2</c:v>
                </c:pt>
              </c:numCache>
            </c:numRef>
          </c:xVal>
          <c:yVal>
            <c:numRef>
              <c:f>'EoC Exercise 3 DATA'!$B$23:$B$39</c:f>
              <c:numCache>
                <c:formatCode>0.000%</c:formatCode>
                <c:ptCount val="17"/>
                <c:pt idx="0">
                  <c:v>-5.6497175141242972E-2</c:v>
                </c:pt>
                <c:pt idx="1">
                  <c:v>-1.19760479041916E-2</c:v>
                </c:pt>
                <c:pt idx="2">
                  <c:v>0</c:v>
                </c:pt>
                <c:pt idx="3">
                  <c:v>3.6363636363636376E-2</c:v>
                </c:pt>
                <c:pt idx="4">
                  <c:v>5.8479532163742798E-2</c:v>
                </c:pt>
                <c:pt idx="5">
                  <c:v>-8.8397790055248726E-2</c:v>
                </c:pt>
                <c:pt idx="6">
                  <c:v>-0.18787878787878776</c:v>
                </c:pt>
                <c:pt idx="7">
                  <c:v>-0.11194029850746279</c:v>
                </c:pt>
                <c:pt idx="8">
                  <c:v>6.7226890756302504E-2</c:v>
                </c:pt>
                <c:pt idx="9">
                  <c:v>7.8740157480314821E-3</c:v>
                </c:pt>
                <c:pt idx="10">
                  <c:v>3.125E-2</c:v>
                </c:pt>
                <c:pt idx="11">
                  <c:v>-6.0606060606060663E-2</c:v>
                </c:pt>
                <c:pt idx="12">
                  <c:v>-7.2580645161290369E-2</c:v>
                </c:pt>
                <c:pt idx="13">
                  <c:v>-0.10434782608695647</c:v>
                </c:pt>
                <c:pt idx="14">
                  <c:v>-7.7669902912621436E-2</c:v>
                </c:pt>
                <c:pt idx="15">
                  <c:v>-1.0526315789473717E-2</c:v>
                </c:pt>
                <c:pt idx="16">
                  <c:v>-0.13829787234042545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A7-F44B-8372-8F6EA3CEB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958176"/>
        <c:axId val="492960176"/>
      </c:scatterChart>
      <c:valAx>
        <c:axId val="492958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2960176"/>
        <c:crosses val="autoZero"/>
        <c:crossBetween val="midCat"/>
      </c:valAx>
      <c:valAx>
        <c:axId val="49296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295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'EoC Exercise 12 Template'!$C$17</c:f>
              <c:strCache>
                <c:ptCount val="1"/>
                <c:pt idx="0">
                  <c:v>Portfolio
mean return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'EoC Exercise 12 Template'!$A$18:$A$28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'EoC Exercise 12 Template'!$C$18:$C$28</c:f>
              <c:numCache>
                <c:formatCode>0.000%</c:formatCode>
                <c:ptCount val="11"/>
                <c:pt idx="0">
                  <c:v>4.4439999999999993E-2</c:v>
                </c:pt>
                <c:pt idx="1">
                  <c:v>5.0390999999999998E-2</c:v>
                </c:pt>
                <c:pt idx="2">
                  <c:v>5.6341999999999989E-2</c:v>
                </c:pt>
                <c:pt idx="3">
                  <c:v>6.2292999999999987E-2</c:v>
                </c:pt>
                <c:pt idx="4">
                  <c:v>6.8243999999999999E-2</c:v>
                </c:pt>
                <c:pt idx="5">
                  <c:v>7.4194999999999983E-2</c:v>
                </c:pt>
                <c:pt idx="6">
                  <c:v>8.0145999999999981E-2</c:v>
                </c:pt>
                <c:pt idx="7">
                  <c:v>8.6096999999999979E-2</c:v>
                </c:pt>
                <c:pt idx="8">
                  <c:v>9.2047999999999991E-2</c:v>
                </c:pt>
                <c:pt idx="9">
                  <c:v>9.7998999999999989E-2</c:v>
                </c:pt>
                <c:pt idx="10">
                  <c:v>0.10394999999999999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6C-F340-ACF4-D3D35FA94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08496"/>
        <c:axId val="493110224"/>
      </c:lineChart>
      <c:catAx>
        <c:axId val="49310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3110224"/>
        <c:crosses val="autoZero"/>
        <c:auto val="1"/>
        <c:lblAlgn val="ctr"/>
        <c:lblOffset val="100"/>
        <c:noMultiLvlLbl val="0"/>
      </c:catAx>
      <c:valAx>
        <c:axId val="49311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310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'EoC Exercise 12 Template'!$C$17</c:f>
              <c:strCache>
                <c:ptCount val="1"/>
                <c:pt idx="0">
                  <c:v>Portfolio
mean return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'EoC Exercise 12 Template'!$B$18:$B$28</c:f>
              <c:numCache>
                <c:formatCode>General</c:formatCode>
                <c:ptCount val="11"/>
                <c:pt idx="0">
                  <c:v>7.4216711111111224E-4</c:v>
                </c:pt>
                <c:pt idx="1">
                  <c:v>5.5032583222222326E-4</c:v>
                </c:pt>
                <c:pt idx="2">
                  <c:v>4.343297288888899E-4</c:v>
                </c:pt>
                <c:pt idx="3">
                  <c:v>3.9417880111111209E-4</c:v>
                </c:pt>
                <c:pt idx="4">
                  <c:v>4.2987304888889027E-4</c:v>
                </c:pt>
                <c:pt idx="5">
                  <c:v>5.4141247222222379E-4</c:v>
                </c:pt>
                <c:pt idx="6">
                  <c:v>7.287970711111133E-4</c:v>
                </c:pt>
                <c:pt idx="7">
                  <c:v>9.9202684555555832E-4</c:v>
                </c:pt>
                <c:pt idx="8">
                  <c:v>1.3311017955555593E-3</c:v>
                </c:pt>
                <c:pt idx="9">
                  <c:v>1.7460219211111157E-3</c:v>
                </c:pt>
                <c:pt idx="10">
                  <c:v>2.2367872222222277E-3</c:v>
                </c:pt>
              </c:numCache>
            </c:numRef>
          </c:xVal>
          <c:yVal>
            <c:numRef>
              <c:f>'EoC Exercise 12 Template'!$C$18:$C$28</c:f>
              <c:numCache>
                <c:formatCode>0.000%</c:formatCode>
                <c:ptCount val="11"/>
                <c:pt idx="0">
                  <c:v>4.4439999999999993E-2</c:v>
                </c:pt>
                <c:pt idx="1">
                  <c:v>5.0390999999999998E-2</c:v>
                </c:pt>
                <c:pt idx="2">
                  <c:v>5.6341999999999989E-2</c:v>
                </c:pt>
                <c:pt idx="3">
                  <c:v>6.2292999999999987E-2</c:v>
                </c:pt>
                <c:pt idx="4">
                  <c:v>6.8243999999999999E-2</c:v>
                </c:pt>
                <c:pt idx="5">
                  <c:v>7.4194999999999983E-2</c:v>
                </c:pt>
                <c:pt idx="6">
                  <c:v>8.0145999999999981E-2</c:v>
                </c:pt>
                <c:pt idx="7">
                  <c:v>8.6096999999999979E-2</c:v>
                </c:pt>
                <c:pt idx="8">
                  <c:v>9.2047999999999991E-2</c:v>
                </c:pt>
                <c:pt idx="9">
                  <c:v>9.7998999999999989E-2</c:v>
                </c:pt>
                <c:pt idx="10">
                  <c:v>0.10394999999999999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C3-D748-BDEA-0704342B3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778160"/>
        <c:axId val="492755952"/>
      </c:scatterChart>
      <c:valAx>
        <c:axId val="49277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2755952"/>
        <c:crosses val="autoZero"/>
        <c:crossBetween val="midCat"/>
      </c:valAx>
      <c:valAx>
        <c:axId val="49275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2778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FVINX vs portfolio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7443133223849314E-2"/>
                  <c:y val="-0.1364540294268417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'EoC Exercise 15'!$B$2:$B$24</c:f>
              <c:numCache>
                <c:formatCode>0.000%</c:formatCode>
                <c:ptCount val="23"/>
                <c:pt idx="0">
                  <c:v>-1.1348202970521302E-2</c:v>
                </c:pt>
                <c:pt idx="1">
                  <c:v>1.6145717021202967E-2</c:v>
                </c:pt>
                <c:pt idx="2">
                  <c:v>4.0137231469912805E-2</c:v>
                </c:pt>
                <c:pt idx="3">
                  <c:v>3.7314728008089659E-2</c:v>
                </c:pt>
                <c:pt idx="4">
                  <c:v>-5.7080637235790599E-2</c:v>
                </c:pt>
                <c:pt idx="5">
                  <c:v>-1.4011535801498436E-3</c:v>
                </c:pt>
                <c:pt idx="6">
                  <c:v>-9.2871292368357575E-3</c:v>
                </c:pt>
                <c:pt idx="7">
                  <c:v>2.1863126976946479E-2</c:v>
                </c:pt>
                <c:pt idx="8">
                  <c:v>1.3904284055734961E-2</c:v>
                </c:pt>
                <c:pt idx="9">
                  <c:v>4.5562037957504131E-2</c:v>
                </c:pt>
                <c:pt idx="10">
                  <c:v>4.0745226155246554E-2</c:v>
                </c:pt>
                <c:pt idx="11">
                  <c:v>-2.7370264080656272E-2</c:v>
                </c:pt>
                <c:pt idx="12">
                  <c:v>4.1245492083680668E-2</c:v>
                </c:pt>
                <c:pt idx="13">
                  <c:v>5.6411306976840894E-2</c:v>
                </c:pt>
                <c:pt idx="14">
                  <c:v>1.8497474575765267E-3</c:v>
                </c:pt>
                <c:pt idx="15">
                  <c:v>-5.7734211022820725E-3</c:v>
                </c:pt>
                <c:pt idx="16">
                  <c:v>-6.9154991540666764E-3</c:v>
                </c:pt>
                <c:pt idx="17">
                  <c:v>2.9643736928065954E-2</c:v>
                </c:pt>
                <c:pt idx="18">
                  <c:v>2.9033269863787105E-2</c:v>
                </c:pt>
                <c:pt idx="19">
                  <c:v>-1.9472659002811143E-2</c:v>
                </c:pt>
                <c:pt idx="20">
                  <c:v>-3.3707042516536445E-2</c:v>
                </c:pt>
                <c:pt idx="21">
                  <c:v>3.1386104213678524E-2</c:v>
                </c:pt>
                <c:pt idx="22">
                  <c:v>1.1382738137058365E-2</c:v>
                </c:pt>
              </c:numCache>
            </c:numRef>
          </c:xVal>
          <c:yVal>
            <c:numRef>
              <c:f>'EoC Exercise 15'!$C$2:$C$24</c:f>
              <c:numCache>
                <c:formatCode>0.0000%</c:formatCode>
                <c:ptCount val="23"/>
                <c:pt idx="0">
                  <c:v>1.3389383422029777E-2</c:v>
                </c:pt>
                <c:pt idx="1">
                  <c:v>3.2780923957264507E-2</c:v>
                </c:pt>
                <c:pt idx="2">
                  <c:v>2.3591910771122437E-2</c:v>
                </c:pt>
                <c:pt idx="3">
                  <c:v>2.3275450075486814E-2</c:v>
                </c:pt>
                <c:pt idx="4">
                  <c:v>-1.8170393996434386E-2</c:v>
                </c:pt>
                <c:pt idx="5">
                  <c:v>5.5727849250232886E-2</c:v>
                </c:pt>
                <c:pt idx="6">
                  <c:v>-2.9118611576709585E-2</c:v>
                </c:pt>
                <c:pt idx="7">
                  <c:v>2.6350537293581278E-2</c:v>
                </c:pt>
                <c:pt idx="8">
                  <c:v>5.0787167836813252E-2</c:v>
                </c:pt>
                <c:pt idx="9">
                  <c:v>3.0284555390228229E-2</c:v>
                </c:pt>
                <c:pt idx="10">
                  <c:v>1.9875271918376791E-2</c:v>
                </c:pt>
                <c:pt idx="11">
                  <c:v>-2.9683482319370347E-2</c:v>
                </c:pt>
                <c:pt idx="12">
                  <c:v>4.5606471462551701E-2</c:v>
                </c:pt>
                <c:pt idx="13">
                  <c:v>3.954587204811455E-3</c:v>
                </c:pt>
                <c:pt idx="14">
                  <c:v>1.1525485641549427E-2</c:v>
                </c:pt>
                <c:pt idx="15">
                  <c:v>2.3349752332396445E-2</c:v>
                </c:pt>
                <c:pt idx="16">
                  <c:v>1.6241438733990865E-2</c:v>
                </c:pt>
                <c:pt idx="17">
                  <c:v>-9.7219779704104115E-3</c:v>
                </c:pt>
                <c:pt idx="18">
                  <c:v>3.9871685519951683E-2</c:v>
                </c:pt>
                <c:pt idx="19">
                  <c:v>-1.8551098189235504E-2</c:v>
                </c:pt>
                <c:pt idx="20">
                  <c:v>2.8791789225128817E-2</c:v>
                </c:pt>
                <c:pt idx="21">
                  <c:v>2.6824225176476313E-2</c:v>
                </c:pt>
                <c:pt idx="22">
                  <c:v>-7.8890533506399407E-3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62-7E4B-A47B-985EE44E5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730640"/>
        <c:axId val="147759920"/>
      </c:scatterChart>
      <c:valAx>
        <c:axId val="147730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759920"/>
        <c:crosses val="autoZero"/>
        <c:crossBetween val="midCat"/>
      </c:valAx>
      <c:valAx>
        <c:axId val="14775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730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'EoC Exercise 17'!$C$11:$C$31</c:f>
              <c:numCache>
                <c:formatCode>General</c:formatCode>
                <c:ptCount val="21"/>
                <c:pt idx="0">
                  <c:v>2.2499999999999999E-2</c:v>
                </c:pt>
                <c:pt idx="1">
                  <c:v>1.8906249999999999E-2</c:v>
                </c:pt>
                <c:pt idx="2">
                  <c:v>1.5624999999999997E-2</c:v>
                </c:pt>
                <c:pt idx="3">
                  <c:v>1.2656249999999996E-2</c:v>
                </c:pt>
                <c:pt idx="4">
                  <c:v>0.01</c:v>
                </c:pt>
                <c:pt idx="5">
                  <c:v>7.6562499999999999E-3</c:v>
                </c:pt>
                <c:pt idx="6">
                  <c:v>5.6249999999999972E-3</c:v>
                </c:pt>
                <c:pt idx="7">
                  <c:v>3.90625E-3</c:v>
                </c:pt>
                <c:pt idx="8">
                  <c:v>2.5000000000000005E-3</c:v>
                </c:pt>
                <c:pt idx="9">
                  <c:v>1.4062500000000004E-3</c:v>
                </c:pt>
                <c:pt idx="10">
                  <c:v>6.2500000000000056E-4</c:v>
                </c:pt>
                <c:pt idx="11">
                  <c:v>1.5625000000000014E-4</c:v>
                </c:pt>
                <c:pt idx="12">
                  <c:v>0</c:v>
                </c:pt>
                <c:pt idx="13">
                  <c:v>1.5625000000000101E-4</c:v>
                </c:pt>
                <c:pt idx="14">
                  <c:v>6.2500000000000056E-4</c:v>
                </c:pt>
                <c:pt idx="15">
                  <c:v>1.4062500000000012E-3</c:v>
                </c:pt>
                <c:pt idx="16">
                  <c:v>2.5000000000000031E-3</c:v>
                </c:pt>
                <c:pt idx="17">
                  <c:v>3.9062499999999996E-3</c:v>
                </c:pt>
                <c:pt idx="18">
                  <c:v>5.6250000000000015E-3</c:v>
                </c:pt>
                <c:pt idx="19">
                  <c:v>7.6562499999999999E-3</c:v>
                </c:pt>
                <c:pt idx="20">
                  <c:v>1.0000000000000002E-2</c:v>
                </c:pt>
              </c:numCache>
            </c:numRef>
          </c:xVal>
          <c:yVal>
            <c:numRef>
              <c:f>'EoC Exercise 17'!$B$11:$B$31</c:f>
              <c:numCache>
                <c:formatCode>General</c:formatCode>
                <c:ptCount val="21"/>
                <c:pt idx="0">
                  <c:v>0.06</c:v>
                </c:pt>
                <c:pt idx="1">
                  <c:v>5.7999999999999996E-2</c:v>
                </c:pt>
                <c:pt idx="2">
                  <c:v>5.6000000000000001E-2</c:v>
                </c:pt>
                <c:pt idx="3">
                  <c:v>5.3999999999999999E-2</c:v>
                </c:pt>
                <c:pt idx="4">
                  <c:v>5.2000000000000005E-2</c:v>
                </c:pt>
                <c:pt idx="5">
                  <c:v>4.9999999999999996E-2</c:v>
                </c:pt>
                <c:pt idx="6">
                  <c:v>4.7999999999999994E-2</c:v>
                </c:pt>
                <c:pt idx="7">
                  <c:v>4.5999999999999999E-2</c:v>
                </c:pt>
                <c:pt idx="8">
                  <c:v>4.3999999999999997E-2</c:v>
                </c:pt>
                <c:pt idx="9">
                  <c:v>4.2000000000000003E-2</c:v>
                </c:pt>
                <c:pt idx="10">
                  <c:v>0.04</c:v>
                </c:pt>
                <c:pt idx="11">
                  <c:v>3.7999999999999999E-2</c:v>
                </c:pt>
                <c:pt idx="12">
                  <c:v>3.6000000000000004E-2</c:v>
                </c:pt>
                <c:pt idx="13">
                  <c:v>3.4000000000000002E-2</c:v>
                </c:pt>
                <c:pt idx="14">
                  <c:v>3.2000000000000001E-2</c:v>
                </c:pt>
                <c:pt idx="15">
                  <c:v>0.03</c:v>
                </c:pt>
                <c:pt idx="16">
                  <c:v>2.7999999999999997E-2</c:v>
                </c:pt>
                <c:pt idx="17">
                  <c:v>2.6000000000000002E-2</c:v>
                </c:pt>
                <c:pt idx="18">
                  <c:v>2.4E-2</c:v>
                </c:pt>
                <c:pt idx="19">
                  <c:v>2.2000000000000002E-2</c:v>
                </c:pt>
                <c:pt idx="20">
                  <c:v>0.02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8F-A749-AC32-E6B789502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6887344"/>
        <c:axId val="2046901360"/>
      </c:scatterChart>
      <c:valAx>
        <c:axId val="2046887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46901360"/>
        <c:crosses val="autoZero"/>
        <c:crossBetween val="midCat"/>
      </c:valAx>
      <c:valAx>
        <c:axId val="204690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46887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1.0643885031612428E-2"/>
                  <c:y val="0.340641040559585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'EoC Exercise 21'!$A$2:$A$16</c:f>
              <c:numCache>
                <c:formatCode>General</c:formatCode>
                <c:ptCount val="15"/>
                <c:pt idx="0">
                  <c:v>20</c:v>
                </c:pt>
                <c:pt idx="1">
                  <c:v>16</c:v>
                </c:pt>
                <c:pt idx="2">
                  <c:v>19.8</c:v>
                </c:pt>
                <c:pt idx="3">
                  <c:v>18.399999999999999</c:v>
                </c:pt>
                <c:pt idx="4">
                  <c:v>17.100000000000001</c:v>
                </c:pt>
                <c:pt idx="5">
                  <c:v>15.5</c:v>
                </c:pt>
                <c:pt idx="6">
                  <c:v>14.7</c:v>
                </c:pt>
                <c:pt idx="7">
                  <c:v>17.100000000000001</c:v>
                </c:pt>
                <c:pt idx="8">
                  <c:v>15.4</c:v>
                </c:pt>
                <c:pt idx="9">
                  <c:v>16.2</c:v>
                </c:pt>
                <c:pt idx="10">
                  <c:v>15</c:v>
                </c:pt>
                <c:pt idx="11">
                  <c:v>17.2</c:v>
                </c:pt>
                <c:pt idx="12">
                  <c:v>16</c:v>
                </c:pt>
                <c:pt idx="13">
                  <c:v>17</c:v>
                </c:pt>
                <c:pt idx="14">
                  <c:v>14.4</c:v>
                </c:pt>
              </c:numCache>
            </c:numRef>
          </c:xVal>
          <c:yVal>
            <c:numRef>
              <c:f>'EoC Exercise 21'!$B$2:$B$16</c:f>
              <c:numCache>
                <c:formatCode>General</c:formatCode>
                <c:ptCount val="15"/>
                <c:pt idx="0">
                  <c:v>88.6</c:v>
                </c:pt>
                <c:pt idx="1">
                  <c:v>71.599999999999994</c:v>
                </c:pt>
                <c:pt idx="2">
                  <c:v>93.3</c:v>
                </c:pt>
                <c:pt idx="3">
                  <c:v>84.3</c:v>
                </c:pt>
                <c:pt idx="4">
                  <c:v>80.599999999999994</c:v>
                </c:pt>
                <c:pt idx="5">
                  <c:v>75.2</c:v>
                </c:pt>
                <c:pt idx="6">
                  <c:v>69.7</c:v>
                </c:pt>
                <c:pt idx="7">
                  <c:v>82</c:v>
                </c:pt>
                <c:pt idx="8">
                  <c:v>69.400000000000006</c:v>
                </c:pt>
                <c:pt idx="9">
                  <c:v>83.3</c:v>
                </c:pt>
                <c:pt idx="10">
                  <c:v>79.599999999999994</c:v>
                </c:pt>
                <c:pt idx="11">
                  <c:v>82.6</c:v>
                </c:pt>
                <c:pt idx="12">
                  <c:v>80.599999999999994</c:v>
                </c:pt>
                <c:pt idx="13">
                  <c:v>83.5</c:v>
                </c:pt>
                <c:pt idx="14">
                  <c:v>76.3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2F-854B-8E3C-0D56A4FAF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458655"/>
        <c:axId val="2104614192"/>
      </c:scatterChart>
      <c:valAx>
        <c:axId val="28945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04614192"/>
        <c:crosses val="autoZero"/>
        <c:crossBetween val="midCat"/>
      </c:valAx>
      <c:valAx>
        <c:axId val="210461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945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0849242711516585"/>
                  <c:y val="0.332323912768694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'EoC Exercise 22'!$B$3:$B$33</c:f>
              <c:numCache>
                <c:formatCode>0.00%</c:formatCode>
                <c:ptCount val="31"/>
                <c:pt idx="0">
                  <c:v>5.6500000000000002E-2</c:v>
                </c:pt>
                <c:pt idx="1">
                  <c:v>6.8199999999999997E-2</c:v>
                </c:pt>
                <c:pt idx="2">
                  <c:v>5.1999999999999998E-2</c:v>
                </c:pt>
                <c:pt idx="3">
                  <c:v>9.4299999999999995E-2</c:v>
                </c:pt>
                <c:pt idx="4">
                  <c:v>8.1500000000000003E-2</c:v>
                </c:pt>
                <c:pt idx="5">
                  <c:v>0.08</c:v>
                </c:pt>
                <c:pt idx="6">
                  <c:v>0.1207</c:v>
                </c:pt>
                <c:pt idx="7">
                  <c:v>7.8899999999999998E-2</c:v>
                </c:pt>
                <c:pt idx="8">
                  <c:v>0.10639999999999999</c:v>
                </c:pt>
                <c:pt idx="9">
                  <c:v>5.5300000000000002E-2</c:v>
                </c:pt>
                <c:pt idx="10">
                  <c:v>8.9899999999999994E-2</c:v>
                </c:pt>
                <c:pt idx="11">
                  <c:v>9.0700000000000003E-2</c:v>
                </c:pt>
                <c:pt idx="12">
                  <c:v>9.4299999999999995E-2</c:v>
                </c:pt>
                <c:pt idx="13">
                  <c:v>0.12909999999999999</c:v>
                </c:pt>
                <c:pt idx="14">
                  <c:v>0.1038</c:v>
                </c:pt>
                <c:pt idx="15">
                  <c:v>9.1499999999999998E-2</c:v>
                </c:pt>
                <c:pt idx="16">
                  <c:v>0.10290000000000001</c:v>
                </c:pt>
                <c:pt idx="17">
                  <c:v>0.1414</c:v>
                </c:pt>
                <c:pt idx="18">
                  <c:v>0.16200000000000001</c:v>
                </c:pt>
                <c:pt idx="19">
                  <c:v>0.1988</c:v>
                </c:pt>
                <c:pt idx="20">
                  <c:v>4.36E-2</c:v>
                </c:pt>
                <c:pt idx="21">
                  <c:v>0.12139999999999999</c:v>
                </c:pt>
                <c:pt idx="22">
                  <c:v>0.1512</c:v>
                </c:pt>
                <c:pt idx="23">
                  <c:v>0.1555</c:v>
                </c:pt>
                <c:pt idx="24">
                  <c:v>0.12790000000000001</c:v>
                </c:pt>
                <c:pt idx="25">
                  <c:v>0.1086</c:v>
                </c:pt>
                <c:pt idx="26">
                  <c:v>0.20799999999999999</c:v>
                </c:pt>
                <c:pt idx="27">
                  <c:v>0.13489999999999999</c:v>
                </c:pt>
                <c:pt idx="28">
                  <c:v>0.15890000000000001</c:v>
                </c:pt>
                <c:pt idx="29">
                  <c:v>0.129</c:v>
                </c:pt>
                <c:pt idx="30">
                  <c:v>0.28470000000000001</c:v>
                </c:pt>
              </c:numCache>
            </c:numRef>
          </c:xVal>
          <c:yVal>
            <c:numRef>
              <c:f>'EoC Exercise 22'!$C$3:$C$33</c:f>
              <c:numCache>
                <c:formatCode>0.00%</c:formatCode>
                <c:ptCount val="31"/>
                <c:pt idx="0">
                  <c:v>7.3999999999999996E-2</c:v>
                </c:pt>
                <c:pt idx="1">
                  <c:v>7.8E-2</c:v>
                </c:pt>
                <c:pt idx="2">
                  <c:v>8.2199999999999995E-2</c:v>
                </c:pt>
                <c:pt idx="3">
                  <c:v>0.1036</c:v>
                </c:pt>
                <c:pt idx="4">
                  <c:v>8.4900000000000003E-2</c:v>
                </c:pt>
                <c:pt idx="5">
                  <c:v>7.1999999999999995E-2</c:v>
                </c:pt>
                <c:pt idx="6">
                  <c:v>0.1066</c:v>
                </c:pt>
                <c:pt idx="7">
                  <c:v>7.3099999999999998E-2</c:v>
                </c:pt>
                <c:pt idx="8">
                  <c:v>0.08</c:v>
                </c:pt>
                <c:pt idx="9">
                  <c:v>4.5400000000000003E-2</c:v>
                </c:pt>
                <c:pt idx="10">
                  <c:v>8.5199999999999998E-2</c:v>
                </c:pt>
                <c:pt idx="11">
                  <c:v>6.1600000000000002E-2</c:v>
                </c:pt>
                <c:pt idx="12">
                  <c:v>0.1038</c:v>
                </c:pt>
                <c:pt idx="13">
                  <c:v>0.1079</c:v>
                </c:pt>
                <c:pt idx="14">
                  <c:v>0.12720000000000001</c:v>
                </c:pt>
                <c:pt idx="15">
                  <c:v>8.9499999999999996E-2</c:v>
                </c:pt>
                <c:pt idx="16">
                  <c:v>8.8099999999999998E-2</c:v>
                </c:pt>
                <c:pt idx="17">
                  <c:v>0.1111</c:v>
                </c:pt>
                <c:pt idx="18">
                  <c:v>0.15570000000000001</c:v>
                </c:pt>
                <c:pt idx="19">
                  <c:v>0.1535</c:v>
                </c:pt>
                <c:pt idx="20">
                  <c:v>9.4E-2</c:v>
                </c:pt>
                <c:pt idx="21">
                  <c:v>9.0999999999999998E-2</c:v>
                </c:pt>
                <c:pt idx="22">
                  <c:v>0.1653</c:v>
                </c:pt>
                <c:pt idx="23">
                  <c:v>8.5900000000000004E-2</c:v>
                </c:pt>
                <c:pt idx="24">
                  <c:v>7.8799999999999995E-2</c:v>
                </c:pt>
                <c:pt idx="25">
                  <c:v>0.1062</c:v>
                </c:pt>
                <c:pt idx="26">
                  <c:v>0.1762</c:v>
                </c:pt>
                <c:pt idx="27">
                  <c:v>0.1201</c:v>
                </c:pt>
                <c:pt idx="28">
                  <c:v>0.1212</c:v>
                </c:pt>
                <c:pt idx="29">
                  <c:v>0.13170000000000001</c:v>
                </c:pt>
                <c:pt idx="30">
                  <c:v>0.28920000000000001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80-DB43-8132-8F3B52349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293359"/>
        <c:axId val="647860415"/>
      </c:scatterChart>
      <c:valAx>
        <c:axId val="340293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7860415"/>
        <c:crosses val="autoZero"/>
        <c:crossBetween val="midCat"/>
      </c:valAx>
      <c:valAx>
        <c:axId val="647860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0293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8115548598108416"/>
                  <c:y val="-4.05402759241899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'EoC Exercise 23'!$B$2:$B$11</c:f>
              <c:numCache>
                <c:formatCode>0.00%</c:formatCode>
                <c:ptCount val="10"/>
                <c:pt idx="0">
                  <c:v>0.30730000000000002</c:v>
                </c:pt>
                <c:pt idx="1">
                  <c:v>0.15</c:v>
                </c:pt>
                <c:pt idx="2">
                  <c:v>-0.09</c:v>
                </c:pt>
                <c:pt idx="3">
                  <c:v>0.12</c:v>
                </c:pt>
                <c:pt idx="4">
                  <c:v>0.13</c:v>
                </c:pt>
                <c:pt idx="5">
                  <c:v>0.22</c:v>
                </c:pt>
                <c:pt idx="6">
                  <c:v>0.3</c:v>
                </c:pt>
                <c:pt idx="7">
                  <c:v>0.12</c:v>
                </c:pt>
                <c:pt idx="8">
                  <c:v>0.43</c:v>
                </c:pt>
                <c:pt idx="9">
                  <c:v>0.16</c:v>
                </c:pt>
              </c:numCache>
            </c:numRef>
          </c:xVal>
          <c:yVal>
            <c:numRef>
              <c:f>'EoC Exercise 23'!$C$2:$C$11</c:f>
              <c:numCache>
                <c:formatCode>0.00000%</c:formatCode>
                <c:ptCount val="10"/>
                <c:pt idx="0">
                  <c:v>-6.0950000000000004E-2</c:v>
                </c:pt>
                <c:pt idx="1">
                  <c:v>0.17500000000000004</c:v>
                </c:pt>
                <c:pt idx="2">
                  <c:v>0.53500000000000003</c:v>
                </c:pt>
                <c:pt idx="3">
                  <c:v>0.22000000000000003</c:v>
                </c:pt>
                <c:pt idx="4">
                  <c:v>0.20500000000000002</c:v>
                </c:pt>
                <c:pt idx="5">
                  <c:v>7.0000000000000007E-2</c:v>
                </c:pt>
                <c:pt idx="6">
                  <c:v>-4.9999999999999933E-2</c:v>
                </c:pt>
                <c:pt idx="7">
                  <c:v>0.22000000000000003</c:v>
                </c:pt>
                <c:pt idx="8">
                  <c:v>-0.245</c:v>
                </c:pt>
                <c:pt idx="9">
                  <c:v>0.16000000000000003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0-884C-B70C-ED37FA91E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04176"/>
        <c:axId val="493406448"/>
      </c:scatterChart>
      <c:valAx>
        <c:axId val="49340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3406448"/>
        <c:crosses val="autoZero"/>
        <c:crossBetween val="midCat"/>
      </c:valAx>
      <c:valAx>
        <c:axId val="4934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340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158749</xdr:colOff>
      <xdr:row>33</xdr:row>
      <xdr:rowOff>107950</xdr:rowOff>
    </xdr:from>
    <xdr:to>
      <xdr:col>6</xdr:col>
      <xdr:colOff>601132</xdr:colOff>
      <xdr:row>55</xdr:row>
      <xdr:rowOff>101600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9B84775-89D8-9025-C387-9651ADE18A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48</xdr:row>
      <xdr:rowOff>6350</xdr:rowOff>
    </xdr:from>
    <xdr:to>
      <xdr:col>9</xdr:col>
      <xdr:colOff>296332</xdr:colOff>
      <xdr:row>76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FEDE0A34-52E7-1443-3369-B4642044D9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13</xdr:row>
      <xdr:rowOff>95250</xdr:rowOff>
    </xdr:from>
    <xdr:to>
      <xdr:col>11</xdr:col>
      <xdr:colOff>146050</xdr:colOff>
      <xdr:row>27</xdr:row>
      <xdr:rowOff>158750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2A3EFE4-B7EE-44BE-A8A1-0A0DBFD645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450850</xdr:colOff>
      <xdr:row>15</xdr:row>
      <xdr:rowOff>69850</xdr:rowOff>
    </xdr:from>
    <xdr:to>
      <xdr:col>18</xdr:col>
      <xdr:colOff>311150</xdr:colOff>
      <xdr:row>29</xdr:row>
      <xdr:rowOff>133350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DD377935-5160-5108-10DB-B9B04C53DC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704850</xdr:colOff>
      <xdr:row>2</xdr:row>
      <xdr:rowOff>69850</xdr:rowOff>
    </xdr:from>
    <xdr:to>
      <xdr:col>18</xdr:col>
      <xdr:colOff>774700</xdr:colOff>
      <xdr:row>47</xdr:row>
      <xdr:rowOff>111760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5BD849D1-9E6A-F6D3-B578-F5EBCA684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203200</xdr:colOff>
      <xdr:row>2</xdr:row>
      <xdr:rowOff>19050</xdr:rowOff>
    </xdr:from>
    <xdr:to>
      <xdr:col>18</xdr:col>
      <xdr:colOff>584200</xdr:colOff>
      <xdr:row>42</xdr:row>
      <xdr:rowOff>82550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B65C807F-ECE6-7EC8-CB31-3C9849A4C7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330200</xdr:colOff>
      <xdr:row>1</xdr:row>
      <xdr:rowOff>57150</xdr:rowOff>
    </xdr:from>
    <xdr:to>
      <xdr:col>15</xdr:col>
      <xdr:colOff>736600</xdr:colOff>
      <xdr:row>38</xdr:row>
      <xdr:rowOff>135890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03F5371-EFF1-3B5E-DDC3-6C6F96956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660400</xdr:colOff>
      <xdr:row>3</xdr:row>
      <xdr:rowOff>69850</xdr:rowOff>
    </xdr:from>
    <xdr:to>
      <xdr:col>16</xdr:col>
      <xdr:colOff>19050</xdr:colOff>
      <xdr:row>44</xdr:row>
      <xdr:rowOff>25400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A5148E1-93B2-8AB8-0438-6F3332228A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666749</xdr:colOff>
      <xdr:row>4</xdr:row>
      <xdr:rowOff>144461</xdr:rowOff>
    </xdr:from>
    <xdr:to>
      <xdr:col>11</xdr:col>
      <xdr:colOff>105834</xdr:colOff>
      <xdr:row>26</xdr:row>
      <xdr:rowOff>103187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4493C45-D122-FEB7-1316-9D5214EE44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400-000002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4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00000000-0016-0000-04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41"/>
  <sheetViews>
    <sheetView workbookViewId="0">
      <selection activeCell="A31" sqref="A31"/>
    </sheetView>
  </sheetViews>
  <sheetFormatPr baseColWidth="10" defaultColWidth="9.1640625" defaultRowHeight="13"/>
  <cols>
    <col min="1" max="1" width="19.1640625" style="3" bestFit="1" customWidth="1"/>
    <col min="2" max="2" width="16" bestFit="1" customWidth="1"/>
    <col min="3" max="3" width="14.33203125" bestFit="1" customWidth="1"/>
    <col min="4" max="4" width="16.1640625" bestFit="1" customWidth="1"/>
    <col min="5" max="5" width="12.5" customWidth="1"/>
    <col min="7" max="7" width="22.5" bestFit="1" customWidth="1"/>
    <col min="8" max="8" width="10.33203125" bestFit="1" customWidth="1"/>
  </cols>
  <sheetData>
    <row r="1" spans="1:3" ht="28">
      <c r="B1" s="12" t="s">
        <v>9</v>
      </c>
      <c r="C1" s="12" t="s">
        <v>10</v>
      </c>
    </row>
    <row r="2" spans="1:3">
      <c r="A2" s="13">
        <v>39082</v>
      </c>
      <c r="B2" s="14">
        <v>75</v>
      </c>
      <c r="C2" s="14">
        <v>40</v>
      </c>
    </row>
    <row r="3" spans="1:3">
      <c r="A3" s="13">
        <v>39447</v>
      </c>
      <c r="B3" s="14">
        <v>86.25</v>
      </c>
      <c r="C3" s="14">
        <v>45.2</v>
      </c>
    </row>
    <row r="4" spans="1:3">
      <c r="A4" s="13">
        <v>39813</v>
      </c>
      <c r="B4" s="14">
        <v>125.32</v>
      </c>
      <c r="C4" s="14">
        <v>55.595999999999997</v>
      </c>
    </row>
    <row r="5" spans="1:3">
      <c r="A5" s="13">
        <v>40178</v>
      </c>
      <c r="B5" s="14">
        <v>91.640625</v>
      </c>
      <c r="C5" s="14">
        <v>48.368519999999997</v>
      </c>
    </row>
    <row r="6" spans="1:3">
      <c r="A6" s="13">
        <v>40543</v>
      </c>
      <c r="B6" s="14">
        <v>100.8046875</v>
      </c>
      <c r="C6" s="14">
        <v>32.880000000000003</v>
      </c>
    </row>
    <row r="7" spans="1:3">
      <c r="A7" s="13">
        <v>40908</v>
      </c>
      <c r="B7" s="14">
        <v>145.93</v>
      </c>
      <c r="C7" s="14">
        <v>61.64084188799999</v>
      </c>
    </row>
    <row r="8" spans="1:3">
      <c r="A8" s="13">
        <v>41274</v>
      </c>
      <c r="B8" s="14">
        <v>151.20703125000003</v>
      </c>
      <c r="C8" s="14">
        <v>75.818235522239988</v>
      </c>
    </row>
    <row r="9" spans="1:3">
      <c r="A9" s="13">
        <v>41639</v>
      </c>
      <c r="B9" s="14">
        <v>196.56914062500005</v>
      </c>
      <c r="C9" s="14">
        <v>97.047341468467181</v>
      </c>
    </row>
    <row r="10" spans="1:3">
      <c r="A10" s="13">
        <v>42004</v>
      </c>
      <c r="B10" s="14">
        <v>226.05451171875004</v>
      </c>
      <c r="C10" s="14">
        <v>109.6634958593679</v>
      </c>
    </row>
    <row r="11" spans="1:3">
      <c r="A11" s="13">
        <v>42369</v>
      </c>
      <c r="B11" s="14">
        <v>89</v>
      </c>
      <c r="C11" s="14">
        <v>122.99</v>
      </c>
    </row>
    <row r="12" spans="1:3">
      <c r="A12" s="15"/>
      <c r="B12" s="14"/>
      <c r="C12" s="14"/>
    </row>
    <row r="13" spans="1:3">
      <c r="A13" s="53" t="s">
        <v>85</v>
      </c>
    </row>
    <row r="14" spans="1:3">
      <c r="A14" s="19" t="s">
        <v>77</v>
      </c>
      <c r="B14" s="19" t="s">
        <v>78</v>
      </c>
    </row>
    <row r="15" spans="1:3">
      <c r="A15"/>
    </row>
    <row r="16" spans="1:3">
      <c r="A16" s="52">
        <f>B3/B2-1</f>
        <v>0.14999999999999991</v>
      </c>
      <c r="B16" s="52">
        <f>C3/C2-1</f>
        <v>0.13000000000000012</v>
      </c>
    </row>
    <row r="17" spans="1:3">
      <c r="A17" s="52">
        <f>B4/B3-1</f>
        <v>0.45298550724637665</v>
      </c>
      <c r="B17" s="52">
        <f>C4/C3-1</f>
        <v>0.22999999999999976</v>
      </c>
    </row>
    <row r="18" spans="1:3">
      <c r="A18" s="52">
        <f>B5/B4-1</f>
        <v>-0.26874700766038939</v>
      </c>
      <c r="B18" s="52">
        <f>C5/C4-1</f>
        <v>-0.13</v>
      </c>
    </row>
    <row r="19" spans="1:3">
      <c r="A19" s="52">
        <f>B6/B5-1</f>
        <v>0.10000000000000009</v>
      </c>
      <c r="B19" s="52">
        <f>C6/C5-1</f>
        <v>-0.32021901848557688</v>
      </c>
    </row>
    <row r="20" spans="1:3">
      <c r="A20" s="52">
        <f>B7/B6-1</f>
        <v>0.44765093389134325</v>
      </c>
      <c r="B20" s="52">
        <f>C7/C6-1</f>
        <v>0.87472146861313815</v>
      </c>
    </row>
    <row r="21" spans="1:3">
      <c r="A21" s="52">
        <f>B8/B7-1</f>
        <v>3.6161387308983883E-2</v>
      </c>
      <c r="B21" s="52">
        <f>C8/C7-1</f>
        <v>0.22999999999999998</v>
      </c>
    </row>
    <row r="22" spans="1:3">
      <c r="A22" s="52">
        <f>B9/B8-1</f>
        <v>0.30000000000000004</v>
      </c>
      <c r="B22" s="52">
        <f>C9/C8-1</f>
        <v>0.28000000000000003</v>
      </c>
    </row>
    <row r="23" spans="1:3">
      <c r="A23" s="52">
        <f>B10/B9-1</f>
        <v>0.14999999999999991</v>
      </c>
      <c r="B23" s="52">
        <f>C10/C9-1</f>
        <v>0.12999999999999989</v>
      </c>
    </row>
    <row r="24" spans="1:3">
      <c r="A24" s="52">
        <f>B11/B10-1</f>
        <v>-0.60628965410462143</v>
      </c>
      <c r="B24" s="52">
        <f>C11/C10-1</f>
        <v>0.12152178841464223</v>
      </c>
    </row>
    <row r="26" spans="1:3">
      <c r="A26" s="53" t="s">
        <v>86</v>
      </c>
    </row>
    <row r="27" spans="1:3">
      <c r="A27" s="53" t="s">
        <v>79</v>
      </c>
      <c r="B27" s="54">
        <f>AVERAGE(A16:A24)</f>
        <v>8.4640129631299202E-2</v>
      </c>
      <c r="C27" s="54">
        <f>AVERAGE(B16:B24)</f>
        <v>0.17178047094913371</v>
      </c>
    </row>
    <row r="29" spans="1:3">
      <c r="A29" s="53" t="s">
        <v>87</v>
      </c>
    </row>
    <row r="30" spans="1:3">
      <c r="A30" s="53" t="s">
        <v>81</v>
      </c>
      <c r="B30">
        <f>_xlfn.VAR.S(A16:A24)</f>
        <v>0.11590392615323075</v>
      </c>
      <c r="C30">
        <f>_xlfn.VAR.S(B16:B24)</f>
        <v>0.1064710800895661</v>
      </c>
    </row>
    <row r="31" spans="1:3">
      <c r="A31" s="53" t="s">
        <v>83</v>
      </c>
      <c r="B31">
        <f>_xlfn.STDEV.S(A16:A24)</f>
        <v>0.34044665683955649</v>
      </c>
      <c r="C31">
        <f>_xlfn.STDEV.S(B16:B24)</f>
        <v>0.3262990654132587</v>
      </c>
    </row>
    <row r="33" spans="1:2">
      <c r="A33" s="53" t="s">
        <v>84</v>
      </c>
    </row>
    <row r="35" spans="1:2">
      <c r="A35" s="53" t="s">
        <v>88</v>
      </c>
    </row>
    <row r="36" spans="1:2">
      <c r="A36" s="53" t="s">
        <v>90</v>
      </c>
      <c r="B36" s="3">
        <f>_xlfn.COVARIANCE.S(A16:A24,B16:B24)</f>
        <v>5.3181972773384135E-2</v>
      </c>
    </row>
    <row r="37" spans="1:2">
      <c r="A37" s="53" t="s">
        <v>91</v>
      </c>
      <c r="B37">
        <f>CORREL(A16:A24,B16:B24)</f>
        <v>0.47873980622621826</v>
      </c>
    </row>
    <row r="38" spans="1:2">
      <c r="A38" s="53" t="s">
        <v>91</v>
      </c>
      <c r="B38">
        <f>B36/(B31*C31)</f>
        <v>0.47873980622621831</v>
      </c>
    </row>
    <row r="40" spans="1:2">
      <c r="A40" s="53" t="s">
        <v>92</v>
      </c>
    </row>
    <row r="41" spans="1:2">
      <c r="A41" s="53" t="s">
        <v>93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63"/>
  <sheetViews>
    <sheetView topLeftCell="A22" workbookViewId="0">
      <selection activeCell="A64" sqref="A64"/>
    </sheetView>
  </sheetViews>
  <sheetFormatPr baseColWidth="10" defaultColWidth="8.83203125" defaultRowHeight="13"/>
  <cols>
    <col min="1" max="1" width="16.83203125" bestFit="1" customWidth="1"/>
    <col min="2" max="4" width="13" bestFit="1" customWidth="1"/>
  </cols>
  <sheetData>
    <row r="1" spans="1:4" ht="18">
      <c r="A1" s="41" t="s">
        <v>11</v>
      </c>
      <c r="B1" s="41"/>
      <c r="C1" s="41"/>
      <c r="D1" s="41"/>
    </row>
    <row r="2" spans="1:4" ht="98">
      <c r="A2" s="16"/>
      <c r="B2" s="16" t="s">
        <v>12</v>
      </c>
      <c r="C2" s="16" t="s">
        <v>13</v>
      </c>
      <c r="D2" s="16" t="s">
        <v>14</v>
      </c>
    </row>
    <row r="3" spans="1:4">
      <c r="A3" s="13">
        <v>38322</v>
      </c>
      <c r="B3">
        <v>9.9</v>
      </c>
      <c r="C3">
        <v>17.91</v>
      </c>
      <c r="D3">
        <v>9.7200000000000006</v>
      </c>
    </row>
    <row r="4" spans="1:4">
      <c r="A4" s="13">
        <v>38687</v>
      </c>
      <c r="B4">
        <v>10.5</v>
      </c>
      <c r="C4">
        <v>19.62</v>
      </c>
      <c r="D4">
        <v>10.7</v>
      </c>
    </row>
    <row r="5" spans="1:4">
      <c r="A5" s="13">
        <v>39052</v>
      </c>
      <c r="B5">
        <v>12.07</v>
      </c>
      <c r="C5">
        <v>22.41</v>
      </c>
      <c r="D5">
        <v>11.42</v>
      </c>
    </row>
    <row r="6" spans="1:4">
      <c r="A6" s="13">
        <v>39419</v>
      </c>
      <c r="B6">
        <v>12.89</v>
      </c>
      <c r="C6">
        <v>24.52</v>
      </c>
      <c r="D6">
        <v>12.55</v>
      </c>
    </row>
    <row r="7" spans="1:4">
      <c r="A7" s="13">
        <v>39783</v>
      </c>
      <c r="B7">
        <v>8.6300000000000008</v>
      </c>
      <c r="C7">
        <v>15.06</v>
      </c>
      <c r="D7">
        <v>10.8</v>
      </c>
    </row>
    <row r="8" spans="1:4">
      <c r="A8" s="13">
        <v>40148</v>
      </c>
      <c r="B8">
        <v>11.22</v>
      </c>
      <c r="C8">
        <v>20.21</v>
      </c>
      <c r="D8">
        <v>9.58</v>
      </c>
    </row>
    <row r="9" spans="1:4">
      <c r="A9" s="13">
        <v>40513</v>
      </c>
      <c r="B9">
        <v>12.67</v>
      </c>
      <c r="C9">
        <v>25.07</v>
      </c>
      <c r="D9">
        <v>9.49</v>
      </c>
    </row>
    <row r="10" spans="1:4">
      <c r="A10" s="13">
        <v>40878</v>
      </c>
      <c r="B10">
        <v>12.3</v>
      </c>
      <c r="C10">
        <v>24.62</v>
      </c>
      <c r="D10">
        <v>10.24</v>
      </c>
    </row>
    <row r="11" spans="1:4">
      <c r="A11" s="13">
        <v>41246</v>
      </c>
      <c r="B11">
        <v>14.21</v>
      </c>
      <c r="C11">
        <v>29.07</v>
      </c>
      <c r="D11">
        <v>10.1</v>
      </c>
    </row>
    <row r="12" spans="1:4">
      <c r="A12" s="13">
        <v>41610</v>
      </c>
      <c r="B12">
        <v>18.16</v>
      </c>
      <c r="C12">
        <v>39.75</v>
      </c>
      <c r="D12">
        <v>10.97</v>
      </c>
    </row>
    <row r="13" spans="1:4">
      <c r="A13" s="13">
        <v>41974</v>
      </c>
      <c r="B13">
        <v>19.84</v>
      </c>
      <c r="C13">
        <v>44.84</v>
      </c>
      <c r="D13">
        <v>11.45</v>
      </c>
    </row>
    <row r="15" spans="1:4">
      <c r="A15" s="19" t="s">
        <v>85</v>
      </c>
    </row>
    <row r="16" spans="1:4" ht="70">
      <c r="B16" s="16" t="s">
        <v>12</v>
      </c>
      <c r="C16" s="16" t="s">
        <v>98</v>
      </c>
      <c r="D16" s="16" t="s">
        <v>14</v>
      </c>
    </row>
    <row r="17" spans="1:4">
      <c r="A17" s="13">
        <f>A4</f>
        <v>38687</v>
      </c>
      <c r="B17" s="52">
        <f>B4/B3-1</f>
        <v>6.0606060606060552E-2</v>
      </c>
      <c r="C17" s="52">
        <f>C4/C3-1</f>
        <v>9.5477386934673447E-2</v>
      </c>
      <c r="D17" s="52">
        <f>D4/D3-1</f>
        <v>0.10082304526748964</v>
      </c>
    </row>
    <row r="18" spans="1:4">
      <c r="A18" s="13">
        <f t="shared" ref="A18:A26" si="0">A5</f>
        <v>39052</v>
      </c>
      <c r="B18" s="52">
        <f>B5/B4-1</f>
        <v>0.14952380952380961</v>
      </c>
      <c r="C18" s="52">
        <f>C5/C4-1</f>
        <v>0.14220183486238525</v>
      </c>
      <c r="D18" s="52">
        <f>D5/D4-1</f>
        <v>6.7289719626168365E-2</v>
      </c>
    </row>
    <row r="19" spans="1:4">
      <c r="A19" s="13">
        <f t="shared" si="0"/>
        <v>39419</v>
      </c>
      <c r="B19" s="52">
        <f>B6/B5-1</f>
        <v>6.7937033968517024E-2</v>
      </c>
      <c r="C19" s="52">
        <f>C6/C5-1</f>
        <v>9.4154395359214549E-2</v>
      </c>
      <c r="D19" s="52">
        <f>D6/D5-1</f>
        <v>9.8949211908931689E-2</v>
      </c>
    </row>
    <row r="20" spans="1:4">
      <c r="A20" s="13">
        <f t="shared" si="0"/>
        <v>39783</v>
      </c>
      <c r="B20" s="52">
        <f>B7/B6-1</f>
        <v>-0.33048875096974395</v>
      </c>
      <c r="C20" s="52">
        <f>C7/C6-1</f>
        <v>-0.38580750407830344</v>
      </c>
      <c r="D20" s="52">
        <f>D7/D6-1</f>
        <v>-0.1394422310756972</v>
      </c>
    </row>
    <row r="21" spans="1:4">
      <c r="A21" s="13">
        <f t="shared" si="0"/>
        <v>40148</v>
      </c>
      <c r="B21" s="52">
        <f>B8/B7-1</f>
        <v>0.30011587485515645</v>
      </c>
      <c r="C21" s="52">
        <f>C8/C7-1</f>
        <v>0.34196547144754308</v>
      </c>
      <c r="D21" s="52">
        <f>D8/D7-1</f>
        <v>-0.11296296296296304</v>
      </c>
    </row>
    <row r="22" spans="1:4">
      <c r="A22" s="13">
        <f t="shared" si="0"/>
        <v>40513</v>
      </c>
      <c r="B22" s="52">
        <f>B9/B8-1</f>
        <v>0.12923351158645269</v>
      </c>
      <c r="C22" s="52">
        <f>C9/C8-1</f>
        <v>0.24047501237011382</v>
      </c>
      <c r="D22" s="52">
        <f>D9/D8-1</f>
        <v>-9.394572025052228E-3</v>
      </c>
    </row>
    <row r="23" spans="1:4">
      <c r="A23" s="13">
        <f t="shared" si="0"/>
        <v>40878</v>
      </c>
      <c r="B23" s="52">
        <f>B10/B9-1</f>
        <v>-2.9202841357537479E-2</v>
      </c>
      <c r="C23" s="52">
        <f>C10/C9-1</f>
        <v>-1.7949740725967223E-2</v>
      </c>
      <c r="D23" s="52">
        <f>D10/D9-1</f>
        <v>7.90305584826132E-2</v>
      </c>
    </row>
    <row r="24" spans="1:4">
      <c r="A24" s="13">
        <f t="shared" si="0"/>
        <v>41246</v>
      </c>
      <c r="B24" s="52">
        <f>B11/B10-1</f>
        <v>0.15528455284552845</v>
      </c>
      <c r="C24" s="52">
        <f>C11/C10-1</f>
        <v>0.18074735987002444</v>
      </c>
      <c r="D24" s="52">
        <f>D11/D10-1</f>
        <v>-1.3671875E-2</v>
      </c>
    </row>
    <row r="25" spans="1:4">
      <c r="A25" s="13">
        <f t="shared" si="0"/>
        <v>41610</v>
      </c>
      <c r="B25" s="52">
        <f>B12/B11-1</f>
        <v>0.2779732582688248</v>
      </c>
      <c r="C25" s="52">
        <f>C12/C11-1</f>
        <v>0.367389060887513</v>
      </c>
      <c r="D25" s="52">
        <f>D12/D11-1</f>
        <v>8.6138613861386215E-2</v>
      </c>
    </row>
    <row r="26" spans="1:4">
      <c r="A26" s="13">
        <f t="shared" si="0"/>
        <v>41974</v>
      </c>
      <c r="B26" s="52">
        <f>B13/B12-1</f>
        <v>9.2511013215859084E-2</v>
      </c>
      <c r="C26" s="52">
        <f>C13/C12-1</f>
        <v>0.12805031446540882</v>
      </c>
      <c r="D26" s="52">
        <f>D13/D12-1</f>
        <v>4.3755697356426593E-2</v>
      </c>
    </row>
    <row r="27" spans="1:4">
      <c r="A27" s="52"/>
    </row>
    <row r="28" spans="1:4">
      <c r="A28" s="55" t="s">
        <v>86</v>
      </c>
    </row>
    <row r="29" spans="1:4">
      <c r="A29" s="19" t="s">
        <v>94</v>
      </c>
      <c r="B29" s="54">
        <f>AVERAGE(B17:B26)</f>
        <v>8.7349352254292717E-2</v>
      </c>
      <c r="C29" s="54">
        <f t="shared" ref="C29:D29" si="1">AVERAGE(C17:C26)</f>
        <v>0.11867035913926056</v>
      </c>
      <c r="D29" s="54">
        <f t="shared" si="1"/>
        <v>2.0051520543930324E-2</v>
      </c>
    </row>
    <row r="30" spans="1:4">
      <c r="A30" s="19" t="s">
        <v>81</v>
      </c>
      <c r="B30">
        <f>_xlfn.VAR.S(B17:B26)</f>
        <v>3.1237109215319581E-2</v>
      </c>
      <c r="C30">
        <f t="shared" ref="C30:D30" si="2">_xlfn.VAR.S(C17:C26)</f>
        <v>4.5039472651515582E-2</v>
      </c>
      <c r="D30">
        <f t="shared" si="2"/>
        <v>7.6137445091124488E-3</v>
      </c>
    </row>
    <row r="31" spans="1:4">
      <c r="A31" s="53" t="s">
        <v>83</v>
      </c>
      <c r="B31">
        <f>_xlfn.STDEV.S(B17:B26)</f>
        <v>0.17674023089076121</v>
      </c>
      <c r="C31">
        <f t="shared" ref="C31:D31" si="3">_xlfn.STDEV.S(C17:C26)</f>
        <v>0.2122250518942464</v>
      </c>
      <c r="D31">
        <f t="shared" si="3"/>
        <v>8.7256773428270012E-2</v>
      </c>
    </row>
    <row r="33" spans="1:1">
      <c r="A33" s="19" t="s">
        <v>87</v>
      </c>
    </row>
    <row r="57" spans="1:2">
      <c r="A57" s="19" t="s">
        <v>88</v>
      </c>
    </row>
    <row r="58" spans="1:2">
      <c r="A58" s="19" t="s">
        <v>95</v>
      </c>
      <c r="B58">
        <f>CORREL(B17:B26,C17:C26)</f>
        <v>0.9881008324345828</v>
      </c>
    </row>
    <row r="59" spans="1:2">
      <c r="A59" s="19" t="s">
        <v>96</v>
      </c>
      <c r="B59">
        <f>CORREL(C17:C26,D17:D26)</f>
        <v>0.30591845105137749</v>
      </c>
    </row>
    <row r="60" spans="1:2">
      <c r="A60" s="19" t="s">
        <v>97</v>
      </c>
      <c r="B60">
        <f>CORREL(D17:D26,B17:B26)</f>
        <v>0.28753363066622351</v>
      </c>
    </row>
    <row r="62" spans="1:2">
      <c r="A62" s="19" t="s">
        <v>92</v>
      </c>
    </row>
    <row r="63" spans="1:2">
      <c r="A63" s="19" t="s">
        <v>99</v>
      </c>
    </row>
  </sheetData>
  <mergeCells count="1">
    <mergeCell ref="A1:D1"/>
  </mergeCells>
  <phoneticPr fontId="18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78"/>
  <sheetViews>
    <sheetView topLeftCell="A40" workbookViewId="0">
      <selection activeCell="A79" sqref="A79"/>
    </sheetView>
  </sheetViews>
  <sheetFormatPr baseColWidth="10" defaultColWidth="8.83203125" defaultRowHeight="13"/>
  <cols>
    <col min="1" max="1" width="15.83203125" customWidth="1"/>
    <col min="2" max="2" width="14.83203125" customWidth="1"/>
    <col min="3" max="3" width="16.1640625" customWidth="1"/>
  </cols>
  <sheetData>
    <row r="1" spans="1:3" ht="18">
      <c r="A1" s="42" t="s">
        <v>15</v>
      </c>
      <c r="B1" s="42"/>
      <c r="C1" s="42"/>
    </row>
    <row r="2" spans="1:3">
      <c r="A2" s="11" t="s">
        <v>0</v>
      </c>
      <c r="B2" s="11" t="s">
        <v>16</v>
      </c>
      <c r="C2" s="11" t="s">
        <v>17</v>
      </c>
    </row>
    <row r="3" spans="1:3">
      <c r="A3" s="9">
        <v>41579</v>
      </c>
      <c r="B3">
        <v>1.77</v>
      </c>
      <c r="C3">
        <v>35.82</v>
      </c>
    </row>
    <row r="4" spans="1:3">
      <c r="A4" s="9">
        <v>41610</v>
      </c>
      <c r="B4">
        <v>1.67</v>
      </c>
      <c r="C4">
        <v>37.47</v>
      </c>
    </row>
    <row r="5" spans="1:3">
      <c r="A5" s="9">
        <v>41641</v>
      </c>
      <c r="B5">
        <v>1.65</v>
      </c>
      <c r="C5">
        <v>39.229999999999997</v>
      </c>
    </row>
    <row r="6" spans="1:3">
      <c r="A6" s="9">
        <v>41673</v>
      </c>
      <c r="B6">
        <v>1.65</v>
      </c>
      <c r="C6">
        <v>33.770000000000003</v>
      </c>
    </row>
    <row r="7" spans="1:3">
      <c r="A7" s="9">
        <v>41701</v>
      </c>
      <c r="B7">
        <v>1.71</v>
      </c>
      <c r="C7">
        <v>34.69</v>
      </c>
    </row>
    <row r="8" spans="1:3">
      <c r="A8" s="9">
        <v>41730</v>
      </c>
      <c r="B8">
        <v>1.81</v>
      </c>
      <c r="C8">
        <v>33.19</v>
      </c>
    </row>
    <row r="9" spans="1:3">
      <c r="A9" s="9">
        <v>41760</v>
      </c>
      <c r="B9">
        <v>1.65</v>
      </c>
      <c r="C9">
        <v>33.729999999999997</v>
      </c>
    </row>
    <row r="10" spans="1:3">
      <c r="A10" s="9">
        <v>41792</v>
      </c>
      <c r="B10">
        <v>1.34</v>
      </c>
      <c r="C10">
        <v>33.69</v>
      </c>
    </row>
    <row r="11" spans="1:3">
      <c r="A11" s="9">
        <v>41821</v>
      </c>
      <c r="B11">
        <v>1.19</v>
      </c>
      <c r="C11">
        <v>36.630000000000003</v>
      </c>
    </row>
    <row r="12" spans="1:3">
      <c r="A12" s="9">
        <v>41852</v>
      </c>
      <c r="B12">
        <v>1.27</v>
      </c>
      <c r="C12">
        <v>32.590000000000003</v>
      </c>
    </row>
    <row r="13" spans="1:3">
      <c r="A13" s="9">
        <v>41884</v>
      </c>
      <c r="B13">
        <v>1.28</v>
      </c>
      <c r="C13">
        <v>33.909999999999997</v>
      </c>
    </row>
    <row r="14" spans="1:3">
      <c r="A14" s="9">
        <v>41913</v>
      </c>
      <c r="B14">
        <v>1.32</v>
      </c>
      <c r="C14">
        <v>31.94</v>
      </c>
    </row>
    <row r="15" spans="1:3">
      <c r="A15" s="9">
        <v>41946</v>
      </c>
      <c r="B15">
        <v>1.24</v>
      </c>
      <c r="C15">
        <v>30.65</v>
      </c>
    </row>
    <row r="16" spans="1:3">
      <c r="A16" s="9">
        <v>41974</v>
      </c>
      <c r="B16">
        <v>1.1499999999999999</v>
      </c>
      <c r="C16">
        <v>32.380000000000003</v>
      </c>
    </row>
    <row r="17" spans="1:3">
      <c r="A17" s="9">
        <v>42006</v>
      </c>
      <c r="B17">
        <v>1.03</v>
      </c>
      <c r="C17">
        <v>34.56</v>
      </c>
    </row>
    <row r="18" spans="1:3">
      <c r="A18" s="9">
        <v>42037</v>
      </c>
      <c r="B18">
        <v>0.95</v>
      </c>
      <c r="C18">
        <v>32.840000000000003</v>
      </c>
    </row>
    <row r="19" spans="1:3">
      <c r="A19" s="9">
        <v>42065</v>
      </c>
      <c r="B19">
        <v>0.94</v>
      </c>
      <c r="C19">
        <v>37.299999999999997</v>
      </c>
    </row>
    <row r="20" spans="1:3">
      <c r="A20" s="9">
        <v>42095</v>
      </c>
      <c r="B20">
        <v>0.81</v>
      </c>
      <c r="C20">
        <v>36.74</v>
      </c>
    </row>
    <row r="22" spans="1:3">
      <c r="A22" s="19" t="s">
        <v>85</v>
      </c>
    </row>
    <row r="23" spans="1:3">
      <c r="B23" s="52">
        <f>B4/B3-1</f>
        <v>-5.6497175141242972E-2</v>
      </c>
      <c r="C23" s="52">
        <f>C4/C3-1</f>
        <v>4.6063651591289778E-2</v>
      </c>
    </row>
    <row r="24" spans="1:3">
      <c r="B24" s="52">
        <f t="shared" ref="B24:C39" si="0">B5/B4-1</f>
        <v>-1.19760479041916E-2</v>
      </c>
      <c r="C24" s="52">
        <f t="shared" si="0"/>
        <v>4.6970910061382432E-2</v>
      </c>
    </row>
    <row r="25" spans="1:3">
      <c r="B25" s="52">
        <f t="shared" si="0"/>
        <v>0</v>
      </c>
      <c r="C25" s="52">
        <f t="shared" si="0"/>
        <v>-0.13917919959214875</v>
      </c>
    </row>
    <row r="26" spans="1:3">
      <c r="B26" s="52">
        <f t="shared" si="0"/>
        <v>3.6363636363636376E-2</v>
      </c>
      <c r="C26" s="52">
        <f t="shared" si="0"/>
        <v>2.7243115190997758E-2</v>
      </c>
    </row>
    <row r="27" spans="1:3">
      <c r="B27" s="52">
        <f t="shared" si="0"/>
        <v>5.8479532163742798E-2</v>
      </c>
      <c r="C27" s="52">
        <f t="shared" si="0"/>
        <v>-4.3240126837705395E-2</v>
      </c>
    </row>
    <row r="28" spans="1:3">
      <c r="B28" s="52">
        <f t="shared" si="0"/>
        <v>-8.8397790055248726E-2</v>
      </c>
      <c r="C28" s="52">
        <f t="shared" si="0"/>
        <v>1.6269960831575725E-2</v>
      </c>
    </row>
    <row r="29" spans="1:3">
      <c r="B29" s="52">
        <f t="shared" si="0"/>
        <v>-0.18787878787878776</v>
      </c>
      <c r="C29" s="52">
        <f t="shared" si="0"/>
        <v>-1.1858879335902017E-3</v>
      </c>
    </row>
    <row r="30" spans="1:3">
      <c r="B30" s="52">
        <f t="shared" si="0"/>
        <v>-0.11194029850746279</v>
      </c>
      <c r="C30" s="52">
        <f t="shared" si="0"/>
        <v>8.7266251113090165E-2</v>
      </c>
    </row>
    <row r="31" spans="1:3">
      <c r="B31" s="52">
        <f t="shared" si="0"/>
        <v>6.7226890756302504E-2</v>
      </c>
      <c r="C31" s="52">
        <f t="shared" si="0"/>
        <v>-0.11029211029211028</v>
      </c>
    </row>
    <row r="32" spans="1:3">
      <c r="B32" s="52">
        <f t="shared" si="0"/>
        <v>7.8740157480314821E-3</v>
      </c>
      <c r="C32" s="52">
        <f t="shared" si="0"/>
        <v>4.0503221847192128E-2</v>
      </c>
    </row>
    <row r="33" spans="1:3">
      <c r="B33" s="52">
        <f t="shared" si="0"/>
        <v>3.125E-2</v>
      </c>
      <c r="C33" s="52">
        <f t="shared" si="0"/>
        <v>-5.809495723975211E-2</v>
      </c>
    </row>
    <row r="34" spans="1:3">
      <c r="B34" s="52">
        <f t="shared" si="0"/>
        <v>-6.0606060606060663E-2</v>
      </c>
      <c r="C34" s="52">
        <f t="shared" si="0"/>
        <v>-4.0388227927363851E-2</v>
      </c>
    </row>
    <row r="35" spans="1:3">
      <c r="B35" s="52">
        <f t="shared" si="0"/>
        <v>-7.2580645161290369E-2</v>
      </c>
      <c r="C35" s="52">
        <f t="shared" si="0"/>
        <v>5.6443719412724525E-2</v>
      </c>
    </row>
    <row r="36" spans="1:3">
      <c r="B36" s="52">
        <f t="shared" si="0"/>
        <v>-0.10434782608695647</v>
      </c>
      <c r="C36" s="52">
        <f t="shared" si="0"/>
        <v>6.7325509573811004E-2</v>
      </c>
    </row>
    <row r="37" spans="1:3">
      <c r="B37" s="52">
        <f t="shared" si="0"/>
        <v>-7.7669902912621436E-2</v>
      </c>
      <c r="C37" s="52">
        <f t="shared" si="0"/>
        <v>-4.976851851851849E-2</v>
      </c>
    </row>
    <row r="38" spans="1:3">
      <c r="B38" s="52">
        <f t="shared" si="0"/>
        <v>-1.0526315789473717E-2</v>
      </c>
      <c r="C38" s="52">
        <f t="shared" si="0"/>
        <v>0.13580998781973186</v>
      </c>
    </row>
    <row r="39" spans="1:3">
      <c r="B39" s="52">
        <f t="shared" si="0"/>
        <v>-0.13829787234042545</v>
      </c>
      <c r="C39" s="52">
        <f t="shared" si="0"/>
        <v>-1.5013404825737098E-2</v>
      </c>
    </row>
    <row r="41" spans="1:3">
      <c r="A41" s="19" t="s">
        <v>86</v>
      </c>
    </row>
    <row r="42" spans="1:3">
      <c r="A42" t="s">
        <v>89</v>
      </c>
      <c r="B42">
        <f>_xlfn.COVARIANCE.S(B23:B39,C23:C39)</f>
        <v>-1.6209763933031757E-3</v>
      </c>
    </row>
    <row r="44" spans="1:3">
      <c r="A44" s="19"/>
    </row>
    <row r="45" spans="1:3">
      <c r="A45" s="19" t="s">
        <v>100</v>
      </c>
      <c r="B45">
        <f>SLOPE(B23:B39,C23:C39)</f>
        <v>-0.31781204437089389</v>
      </c>
    </row>
    <row r="46" spans="1:3">
      <c r="A46" t="s">
        <v>101</v>
      </c>
      <c r="B46">
        <f>INTERCEPT(B23:B39,C23:C39)</f>
        <v>-4.1077400704924799E-2</v>
      </c>
    </row>
    <row r="47" spans="1:3">
      <c r="A47" s="19" t="s">
        <v>102</v>
      </c>
      <c r="B47">
        <f>RSQ(B23:B39,C23:C39)</f>
        <v>9.8215510945366791E-2</v>
      </c>
    </row>
    <row r="78" spans="1:1">
      <c r="A78" s="19" t="s">
        <v>103</v>
      </c>
    </row>
  </sheetData>
  <mergeCells count="1">
    <mergeCell ref="A1:C1"/>
  </mergeCells>
  <phoneticPr fontId="18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29"/>
  <sheetViews>
    <sheetView workbookViewId="0">
      <selection activeCell="O37" sqref="O37"/>
    </sheetView>
  </sheetViews>
  <sheetFormatPr baseColWidth="10" defaultColWidth="8.83203125" defaultRowHeight="13"/>
  <cols>
    <col min="1" max="1" width="16.83203125" bestFit="1" customWidth="1"/>
    <col min="2" max="2" width="16.33203125" customWidth="1"/>
    <col min="4" max="4" width="14.1640625" customWidth="1"/>
    <col min="5" max="5" width="11.83203125" customWidth="1"/>
  </cols>
  <sheetData>
    <row r="1" spans="1:9" ht="18">
      <c r="A1" s="43" t="s">
        <v>18</v>
      </c>
      <c r="B1" s="43"/>
      <c r="C1" s="43"/>
      <c r="D1" s="43"/>
      <c r="E1" s="43"/>
      <c r="F1" s="17"/>
      <c r="G1" s="17"/>
      <c r="H1" s="17"/>
      <c r="I1" s="17"/>
    </row>
    <row r="2" spans="1:9" ht="28">
      <c r="A2" s="11" t="s">
        <v>1</v>
      </c>
      <c r="B2" s="10" t="s">
        <v>19</v>
      </c>
      <c r="C2" s="10" t="s">
        <v>20</v>
      </c>
      <c r="D2" s="10" t="s">
        <v>21</v>
      </c>
      <c r="E2" s="10" t="s">
        <v>22</v>
      </c>
      <c r="F2" s="10" t="s">
        <v>23</v>
      </c>
      <c r="G2" s="10" t="s">
        <v>24</v>
      </c>
    </row>
    <row r="3" spans="1:9">
      <c r="A3">
        <v>1999</v>
      </c>
      <c r="B3" s="8">
        <v>34.119999999999997</v>
      </c>
      <c r="C3" s="8">
        <v>30.81</v>
      </c>
      <c r="D3" s="8">
        <f>AVERAGE(B3:C3)</f>
        <v>32.464999999999996</v>
      </c>
      <c r="E3" s="8">
        <v>0.99</v>
      </c>
      <c r="F3" s="52">
        <f>(C3+E3)/B3-1</f>
        <v>-6.7995310668229836E-2</v>
      </c>
      <c r="G3" s="4">
        <f>E3/D3</f>
        <v>3.0494378561527802E-2</v>
      </c>
    </row>
    <row r="4" spans="1:9">
      <c r="A4">
        <v>2000</v>
      </c>
      <c r="B4" s="8">
        <v>30.81</v>
      </c>
      <c r="C4" s="8">
        <f>B5</f>
        <v>26.25</v>
      </c>
      <c r="D4" s="8">
        <f t="shared" ref="D4:D18" si="0">AVERAGE(B4:C4)</f>
        <v>28.53</v>
      </c>
      <c r="E4" s="8">
        <v>1</v>
      </c>
      <c r="F4" s="52">
        <f t="shared" ref="F4:F18" si="1">(C4+E4)/B4-1</f>
        <v>-0.11554690035702686</v>
      </c>
      <c r="G4" s="4">
        <f t="shared" ref="G4:G18" si="2">E4/D4</f>
        <v>3.5050823694356817E-2</v>
      </c>
    </row>
    <row r="5" spans="1:9">
      <c r="A5">
        <v>2001</v>
      </c>
      <c r="B5" s="8">
        <v>26.25</v>
      </c>
      <c r="C5" s="8">
        <f t="shared" ref="C5:C17" si="3">B6</f>
        <v>30.1</v>
      </c>
      <c r="D5" s="8">
        <f t="shared" si="0"/>
        <v>28.175000000000001</v>
      </c>
      <c r="E5" s="8">
        <v>1.1000000000000001</v>
      </c>
      <c r="F5" s="52">
        <f t="shared" si="1"/>
        <v>0.18857142857142861</v>
      </c>
      <c r="G5" s="4">
        <f t="shared" si="2"/>
        <v>3.9041703637976932E-2</v>
      </c>
    </row>
    <row r="6" spans="1:9">
      <c r="A6">
        <v>2002</v>
      </c>
      <c r="B6" s="8">
        <v>30.1</v>
      </c>
      <c r="C6" s="8">
        <f t="shared" si="3"/>
        <v>34.270000000000003</v>
      </c>
      <c r="D6" s="8">
        <f t="shared" si="0"/>
        <v>32.185000000000002</v>
      </c>
      <c r="E6" s="8">
        <v>1.01</v>
      </c>
      <c r="F6" s="52">
        <f t="shared" si="1"/>
        <v>0.17209302325581399</v>
      </c>
      <c r="G6" s="4">
        <f t="shared" si="2"/>
        <v>3.1381078141991606E-2</v>
      </c>
    </row>
    <row r="7" spans="1:9">
      <c r="A7">
        <v>2003</v>
      </c>
      <c r="B7" s="8">
        <v>34.270000000000003</v>
      </c>
      <c r="C7" s="8">
        <f t="shared" si="3"/>
        <v>38.08</v>
      </c>
      <c r="D7" s="8">
        <f t="shared" si="0"/>
        <v>36.174999999999997</v>
      </c>
      <c r="E7" s="8">
        <v>1.01</v>
      </c>
      <c r="F7" s="52">
        <f t="shared" si="1"/>
        <v>0.14064779690691553</v>
      </c>
      <c r="G7" s="4">
        <f t="shared" si="2"/>
        <v>2.7919834139599174E-2</v>
      </c>
    </row>
    <row r="8" spans="1:9">
      <c r="A8">
        <v>2004</v>
      </c>
      <c r="B8" s="8">
        <v>38.08</v>
      </c>
      <c r="C8" s="8">
        <f t="shared" si="3"/>
        <v>44.66</v>
      </c>
      <c r="D8" s="8">
        <f t="shared" si="0"/>
        <v>41.37</v>
      </c>
      <c r="E8" s="8">
        <v>1.01</v>
      </c>
      <c r="F8" s="52">
        <f t="shared" si="1"/>
        <v>0.19931722689075615</v>
      </c>
      <c r="G8" s="4">
        <f t="shared" si="2"/>
        <v>2.4413826444283297E-2</v>
      </c>
    </row>
    <row r="9" spans="1:9">
      <c r="A9">
        <v>2005</v>
      </c>
      <c r="B9" s="8">
        <v>44.66</v>
      </c>
      <c r="C9" s="8">
        <f t="shared" si="3"/>
        <v>43.22</v>
      </c>
      <c r="D9" s="8">
        <f t="shared" si="0"/>
        <v>43.94</v>
      </c>
      <c r="E9" s="8">
        <v>1.06</v>
      </c>
      <c r="F9" s="52">
        <f t="shared" si="1"/>
        <v>-8.5087326466636304E-3</v>
      </c>
      <c r="G9" s="4">
        <f t="shared" si="2"/>
        <v>2.4123805188893947E-2</v>
      </c>
    </row>
    <row r="10" spans="1:9">
      <c r="A10">
        <v>2006</v>
      </c>
      <c r="B10" s="8">
        <v>43.22</v>
      </c>
      <c r="C10" s="8">
        <f t="shared" si="3"/>
        <v>50.06</v>
      </c>
      <c r="D10" s="8">
        <f t="shared" si="0"/>
        <v>46.64</v>
      </c>
      <c r="E10" s="8">
        <v>1.1399999999999999</v>
      </c>
      <c r="F10" s="52">
        <f t="shared" si="1"/>
        <v>0.18463674224895898</v>
      </c>
      <c r="G10" s="4">
        <f t="shared" si="2"/>
        <v>2.4442538593481989E-2</v>
      </c>
    </row>
    <row r="11" spans="1:9">
      <c r="A11">
        <v>2007</v>
      </c>
      <c r="B11" s="8">
        <v>50.06</v>
      </c>
      <c r="C11" s="8">
        <f t="shared" si="3"/>
        <v>52.43</v>
      </c>
      <c r="D11" s="8">
        <f t="shared" si="0"/>
        <v>51.245000000000005</v>
      </c>
      <c r="E11" s="8">
        <v>1.2</v>
      </c>
      <c r="F11" s="52">
        <f t="shared" si="1"/>
        <v>7.1314422692768664E-2</v>
      </c>
      <c r="G11" s="4">
        <f t="shared" si="2"/>
        <v>2.3416918723777928E-2</v>
      </c>
    </row>
    <row r="12" spans="1:9">
      <c r="A12">
        <v>2008</v>
      </c>
      <c r="B12" s="8">
        <v>52.43</v>
      </c>
      <c r="C12" s="8">
        <f t="shared" si="3"/>
        <v>43.85</v>
      </c>
      <c r="D12" s="8">
        <f t="shared" si="0"/>
        <v>48.14</v>
      </c>
      <c r="E12" s="8">
        <v>1.3</v>
      </c>
      <c r="F12" s="52">
        <f t="shared" si="1"/>
        <v>-0.13885180240320427</v>
      </c>
      <c r="G12" s="4">
        <f t="shared" si="2"/>
        <v>2.700457000415455E-2</v>
      </c>
    </row>
    <row r="13" spans="1:9">
      <c r="A13">
        <v>2009</v>
      </c>
      <c r="B13" s="8">
        <v>43.85</v>
      </c>
      <c r="C13" s="8">
        <f t="shared" si="3"/>
        <v>53.2</v>
      </c>
      <c r="D13" s="8">
        <f t="shared" si="0"/>
        <v>48.525000000000006</v>
      </c>
      <c r="E13" s="8">
        <v>1.43</v>
      </c>
      <c r="F13" s="52">
        <f t="shared" si="1"/>
        <v>0.24583808437856325</v>
      </c>
      <c r="G13" s="4">
        <f t="shared" si="2"/>
        <v>2.9469345698093761E-2</v>
      </c>
    </row>
    <row r="14" spans="1:9">
      <c r="A14">
        <v>2010</v>
      </c>
      <c r="B14" s="8">
        <v>53.2</v>
      </c>
      <c r="C14" s="8">
        <f t="shared" si="3"/>
        <v>51.08</v>
      </c>
      <c r="D14" s="8">
        <f t="shared" si="0"/>
        <v>52.14</v>
      </c>
      <c r="E14" s="8">
        <v>1.56</v>
      </c>
      <c r="F14" s="52">
        <f t="shared" si="1"/>
        <v>-1.0526315789473717E-2</v>
      </c>
      <c r="G14" s="4">
        <f t="shared" si="2"/>
        <v>2.9919447640966629E-2</v>
      </c>
    </row>
    <row r="15" spans="1:9">
      <c r="A15">
        <v>2011</v>
      </c>
      <c r="B15" s="8">
        <v>51.08</v>
      </c>
      <c r="C15" s="8">
        <f t="shared" si="3"/>
        <v>50.57</v>
      </c>
      <c r="D15" s="8">
        <f t="shared" si="0"/>
        <v>50.825000000000003</v>
      </c>
      <c r="E15" s="8">
        <v>1.67</v>
      </c>
      <c r="F15" s="52">
        <f t="shared" si="1"/>
        <v>2.2709475332811424E-2</v>
      </c>
      <c r="G15" s="4">
        <f t="shared" si="2"/>
        <v>3.2857845548450559E-2</v>
      </c>
    </row>
    <row r="16" spans="1:9">
      <c r="A16">
        <v>2012</v>
      </c>
      <c r="B16" s="8">
        <v>50.57</v>
      </c>
      <c r="C16" s="8">
        <f t="shared" si="3"/>
        <v>55.85</v>
      </c>
      <c r="D16" s="8">
        <f t="shared" si="0"/>
        <v>53.21</v>
      </c>
      <c r="E16" s="8">
        <v>1.74</v>
      </c>
      <c r="F16" s="52">
        <f t="shared" si="1"/>
        <v>0.13881748071979438</v>
      </c>
      <c r="G16" s="4">
        <f t="shared" si="2"/>
        <v>3.2700620184175903E-2</v>
      </c>
    </row>
    <row r="17" spans="1:7">
      <c r="A17">
        <v>2013</v>
      </c>
      <c r="B17" s="8">
        <v>55.85</v>
      </c>
      <c r="C17" s="8">
        <f t="shared" si="3"/>
        <v>61.07</v>
      </c>
      <c r="D17" s="8">
        <f t="shared" si="0"/>
        <v>58.46</v>
      </c>
      <c r="E17" s="8">
        <v>1.8</v>
      </c>
      <c r="F17" s="52">
        <f t="shared" si="1"/>
        <v>0.1256938227394806</v>
      </c>
      <c r="G17" s="4">
        <f t="shared" si="2"/>
        <v>3.0790283954840916E-2</v>
      </c>
    </row>
    <row r="18" spans="1:7" ht="12.75" customHeight="1">
      <c r="A18">
        <v>2014</v>
      </c>
      <c r="B18" s="8">
        <v>61.07</v>
      </c>
      <c r="C18" s="8">
        <v>64.94</v>
      </c>
      <c r="D18" s="8">
        <f t="shared" si="0"/>
        <v>63.004999999999995</v>
      </c>
      <c r="E18" s="8">
        <v>1.9</v>
      </c>
      <c r="F18" s="52">
        <f t="shared" si="1"/>
        <v>9.4481742262976898E-2</v>
      </c>
      <c r="G18" s="4">
        <f t="shared" si="2"/>
        <v>3.0156336798666774E-2</v>
      </c>
    </row>
    <row r="19" spans="1:7" ht="12.75" customHeight="1">
      <c r="B19" s="8"/>
      <c r="C19" s="8"/>
      <c r="E19" s="8"/>
    </row>
    <row r="20" spans="1:7">
      <c r="A20" s="19" t="s">
        <v>85</v>
      </c>
    </row>
    <row r="21" spans="1:7">
      <c r="A21" s="19" t="s">
        <v>94</v>
      </c>
      <c r="B21" s="54">
        <f>AVERAGE(F3:F18)</f>
        <v>7.7668261508479386E-2</v>
      </c>
    </row>
    <row r="22" spans="1:7">
      <c r="A22" s="19" t="s">
        <v>83</v>
      </c>
      <c r="B22">
        <f>_xlfn.STDEV.S(F3:F18)</f>
        <v>0.11824513266046824</v>
      </c>
    </row>
    <row r="24" spans="1:7">
      <c r="A24" s="19" t="s">
        <v>86</v>
      </c>
    </row>
    <row r="25" spans="1:7">
      <c r="A25" s="19" t="s">
        <v>94</v>
      </c>
      <c r="B25" s="56">
        <f>AVERAGE(G3:G18)</f>
        <v>2.9573959809702413E-2</v>
      </c>
    </row>
    <row r="26" spans="1:7">
      <c r="A26" s="19" t="s">
        <v>83</v>
      </c>
      <c r="B26">
        <f>_xlfn.STDEV.S(G3:G18)</f>
        <v>4.2908086154101188E-3</v>
      </c>
    </row>
    <row r="28" spans="1:7">
      <c r="A28" s="19" t="s">
        <v>87</v>
      </c>
    </row>
    <row r="29" spans="1:7">
      <c r="A29" s="19" t="s">
        <v>104</v>
      </c>
    </row>
  </sheetData>
  <mergeCells count="1">
    <mergeCell ref="A1:E1"/>
  </mergeCells>
  <phoneticPr fontId="1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62"/>
  <sheetViews>
    <sheetView zoomScaleNormal="100" workbookViewId="0">
      <selection activeCell="E15" sqref="E15"/>
    </sheetView>
  </sheetViews>
  <sheetFormatPr baseColWidth="10" defaultColWidth="8.83203125" defaultRowHeight="13"/>
  <cols>
    <col min="1" max="1" width="16.83203125" bestFit="1" customWidth="1"/>
    <col min="2" max="2" width="11.5" customWidth="1"/>
    <col min="3" max="3" width="13.1640625" customWidth="1"/>
    <col min="4" max="4" width="26" customWidth="1"/>
    <col min="12" max="12" width="15.83203125" bestFit="1" customWidth="1"/>
    <col min="13" max="18" width="10.5" customWidth="1"/>
  </cols>
  <sheetData>
    <row r="1" spans="1:18" ht="18">
      <c r="A1" s="43" t="s">
        <v>25</v>
      </c>
      <c r="B1" s="43"/>
      <c r="C1" s="43"/>
      <c r="D1" s="43"/>
      <c r="E1" s="18"/>
      <c r="F1" s="18"/>
      <c r="L1" s="19" t="s">
        <v>26</v>
      </c>
    </row>
    <row r="2" spans="1:18" s="11" customFormat="1" ht="28">
      <c r="A2" s="11" t="s">
        <v>0</v>
      </c>
      <c r="B2" s="16" t="s">
        <v>27</v>
      </c>
      <c r="C2" s="16" t="s">
        <v>28</v>
      </c>
      <c r="D2" s="16" t="s">
        <v>29</v>
      </c>
      <c r="L2" s="11" t="s">
        <v>0</v>
      </c>
      <c r="M2" s="11" t="s">
        <v>30</v>
      </c>
      <c r="N2" s="11" t="s">
        <v>31</v>
      </c>
      <c r="O2" s="11" t="s">
        <v>32</v>
      </c>
      <c r="P2" s="11" t="s">
        <v>33</v>
      </c>
      <c r="Q2" s="11" t="s">
        <v>34</v>
      </c>
      <c r="R2" s="11" t="s">
        <v>35</v>
      </c>
    </row>
    <row r="3" spans="1:18" ht="12.75" customHeight="1">
      <c r="A3" s="13">
        <v>42009</v>
      </c>
      <c r="B3" s="1">
        <v>260.52999999999997</v>
      </c>
      <c r="C3" s="8"/>
      <c r="L3" s="13">
        <v>42009</v>
      </c>
      <c r="M3">
        <v>263.49</v>
      </c>
      <c r="N3">
        <v>265.12</v>
      </c>
      <c r="O3">
        <v>254.86</v>
      </c>
      <c r="P3">
        <v>260.52999999999997</v>
      </c>
      <c r="Q3">
        <v>10826900</v>
      </c>
      <c r="R3">
        <v>65.010000000000005</v>
      </c>
    </row>
    <row r="4" spans="1:18">
      <c r="A4" s="13">
        <v>42016</v>
      </c>
      <c r="B4" s="1">
        <v>254.95</v>
      </c>
      <c r="C4" s="8"/>
      <c r="L4" s="13">
        <v>42016</v>
      </c>
      <c r="M4">
        <v>261.04000000000002</v>
      </c>
      <c r="N4">
        <v>265.81</v>
      </c>
      <c r="O4">
        <v>251.5</v>
      </c>
      <c r="P4">
        <v>254.95</v>
      </c>
      <c r="Q4">
        <v>10126800</v>
      </c>
      <c r="R4">
        <v>63.62</v>
      </c>
    </row>
    <row r="5" spans="1:18">
      <c r="A5" s="13">
        <v>42024</v>
      </c>
      <c r="B5" s="1">
        <v>258.29000000000002</v>
      </c>
      <c r="C5" s="8"/>
      <c r="L5" s="13">
        <v>42024</v>
      </c>
      <c r="M5">
        <v>256.22000000000003</v>
      </c>
      <c r="N5">
        <v>260.64999999999998</v>
      </c>
      <c r="O5">
        <v>253.37</v>
      </c>
      <c r="P5">
        <v>258.29000000000002</v>
      </c>
      <c r="Q5">
        <v>10612500</v>
      </c>
      <c r="R5">
        <v>64.459999999999994</v>
      </c>
    </row>
    <row r="6" spans="1:18">
      <c r="A6" s="13">
        <v>42030</v>
      </c>
      <c r="B6" s="1">
        <v>254.91</v>
      </c>
      <c r="C6" s="8"/>
      <c r="L6" s="13">
        <v>42030</v>
      </c>
      <c r="M6">
        <v>256.94</v>
      </c>
      <c r="N6">
        <v>263.62</v>
      </c>
      <c r="O6">
        <v>245.17</v>
      </c>
      <c r="P6">
        <v>254.91</v>
      </c>
      <c r="Q6">
        <v>13766100</v>
      </c>
      <c r="R6">
        <v>63.61</v>
      </c>
    </row>
    <row r="7" spans="1:18" ht="12.75" customHeight="1">
      <c r="A7" s="13">
        <v>42037</v>
      </c>
      <c r="B7" s="1">
        <v>267.42</v>
      </c>
      <c r="C7" s="8"/>
      <c r="L7" s="13">
        <v>42037</v>
      </c>
      <c r="M7">
        <v>256.31</v>
      </c>
      <c r="N7">
        <v>272.45</v>
      </c>
      <c r="O7">
        <v>249.7</v>
      </c>
      <c r="P7">
        <v>267.42</v>
      </c>
      <c r="Q7">
        <v>15743800</v>
      </c>
      <c r="R7">
        <v>66.73</v>
      </c>
    </row>
    <row r="8" spans="1:18">
      <c r="A8" s="13">
        <v>42044</v>
      </c>
      <c r="B8" s="1">
        <v>269.63</v>
      </c>
      <c r="C8" s="8"/>
      <c r="L8" s="13">
        <v>42044</v>
      </c>
      <c r="M8">
        <v>267.41000000000003</v>
      </c>
      <c r="N8">
        <v>272.75</v>
      </c>
      <c r="O8">
        <v>263.63</v>
      </c>
      <c r="P8">
        <v>269.63</v>
      </c>
      <c r="Q8">
        <v>9228800</v>
      </c>
      <c r="R8">
        <v>67.41</v>
      </c>
    </row>
    <row r="9" spans="1:18">
      <c r="A9" s="13">
        <v>42052</v>
      </c>
      <c r="B9" s="1">
        <v>273</v>
      </c>
      <c r="C9" s="8">
        <v>0.12</v>
      </c>
      <c r="D9" s="6">
        <v>42047</v>
      </c>
      <c r="L9" s="13">
        <v>42052</v>
      </c>
      <c r="M9">
        <v>271.48</v>
      </c>
      <c r="N9">
        <v>273</v>
      </c>
      <c r="O9">
        <v>267.06</v>
      </c>
      <c r="P9">
        <v>273</v>
      </c>
      <c r="Q9">
        <v>6982300</v>
      </c>
      <c r="R9">
        <v>68.25</v>
      </c>
    </row>
    <row r="10" spans="1:18">
      <c r="A10" s="13">
        <v>42058</v>
      </c>
      <c r="B10" s="1">
        <v>271.31</v>
      </c>
      <c r="C10" s="8"/>
      <c r="L10" s="13">
        <v>42058</v>
      </c>
      <c r="M10">
        <v>272.95999999999998</v>
      </c>
      <c r="N10">
        <v>274.5</v>
      </c>
      <c r="O10">
        <v>270.25</v>
      </c>
      <c r="P10">
        <v>271.31</v>
      </c>
      <c r="Q10">
        <v>8793500</v>
      </c>
      <c r="R10">
        <v>67.83</v>
      </c>
    </row>
    <row r="11" spans="1:18">
      <c r="A11" s="13">
        <v>42065</v>
      </c>
      <c r="B11" s="1">
        <v>269.33999999999997</v>
      </c>
      <c r="C11" s="8"/>
      <c r="L11" s="13">
        <v>42065</v>
      </c>
      <c r="M11">
        <v>276.70999999999998</v>
      </c>
      <c r="N11">
        <v>278.64999999999998</v>
      </c>
      <c r="O11">
        <v>269.25</v>
      </c>
      <c r="P11">
        <v>269.33999999999997</v>
      </c>
      <c r="Q11">
        <v>9365700</v>
      </c>
      <c r="R11">
        <v>67.33</v>
      </c>
    </row>
    <row r="12" spans="1:18">
      <c r="A12" s="13">
        <v>42072</v>
      </c>
      <c r="B12" s="1">
        <v>265.02999999999997</v>
      </c>
      <c r="C12" s="8"/>
      <c r="L12" s="13">
        <v>42072</v>
      </c>
      <c r="M12">
        <v>270.52</v>
      </c>
      <c r="N12">
        <v>272.20999999999998</v>
      </c>
      <c r="O12">
        <v>263.05</v>
      </c>
      <c r="P12">
        <v>265.02999999999997</v>
      </c>
      <c r="Q12">
        <v>10848400</v>
      </c>
      <c r="R12">
        <v>66.260000000000005</v>
      </c>
    </row>
    <row r="13" spans="1:18">
      <c r="A13" s="13">
        <v>42079</v>
      </c>
      <c r="B13" s="1">
        <v>67.41</v>
      </c>
      <c r="C13" s="8"/>
      <c r="L13" s="13">
        <v>42079</v>
      </c>
      <c r="M13">
        <v>266.89</v>
      </c>
      <c r="N13">
        <v>270.05</v>
      </c>
      <c r="O13">
        <v>65.75</v>
      </c>
      <c r="P13">
        <v>67.41</v>
      </c>
      <c r="Q13">
        <v>13516800</v>
      </c>
      <c r="R13">
        <v>67.41</v>
      </c>
    </row>
    <row r="14" spans="1:18">
      <c r="A14" s="13">
        <v>42086</v>
      </c>
      <c r="B14" s="1">
        <v>65.540000000000006</v>
      </c>
      <c r="C14" s="8"/>
      <c r="D14" t="s">
        <v>36</v>
      </c>
      <c r="L14" s="13">
        <v>42086</v>
      </c>
      <c r="M14">
        <v>68.03</v>
      </c>
      <c r="N14">
        <v>68.209999999999994</v>
      </c>
      <c r="O14">
        <v>65.02</v>
      </c>
      <c r="P14">
        <v>65.540000000000006</v>
      </c>
      <c r="Q14">
        <v>8745000</v>
      </c>
      <c r="R14">
        <v>65.540000000000006</v>
      </c>
    </row>
    <row r="15" spans="1:18">
      <c r="A15" s="13">
        <v>42093</v>
      </c>
      <c r="B15" s="1">
        <v>65.290000000000006</v>
      </c>
      <c r="C15" s="8"/>
      <c r="L15" s="13">
        <v>42093</v>
      </c>
      <c r="M15">
        <v>66.02</v>
      </c>
      <c r="N15">
        <v>66.319999999999993</v>
      </c>
      <c r="O15">
        <v>64.45</v>
      </c>
      <c r="P15">
        <v>65.290000000000006</v>
      </c>
      <c r="Q15">
        <v>7837800</v>
      </c>
      <c r="R15">
        <v>65.290000000000006</v>
      </c>
    </row>
    <row r="16" spans="1:18">
      <c r="L16" s="20"/>
    </row>
    <row r="17" spans="1:12">
      <c r="A17" s="19" t="s">
        <v>85</v>
      </c>
      <c r="B17" s="19" t="s">
        <v>105</v>
      </c>
      <c r="L17" s="20"/>
    </row>
    <row r="18" spans="1:12">
      <c r="B18" s="57">
        <f>R4/R3-1</f>
        <v>-2.138132594985398E-2</v>
      </c>
      <c r="L18" s="20"/>
    </row>
    <row r="19" spans="1:12">
      <c r="B19" s="57">
        <f t="shared" ref="B19:B34" si="0">R5/R4-1</f>
        <v>1.3203395158755127E-2</v>
      </c>
      <c r="L19" s="20"/>
    </row>
    <row r="20" spans="1:12">
      <c r="B20" s="57">
        <f t="shared" si="0"/>
        <v>-1.3186472230840796E-2</v>
      </c>
      <c r="L20" s="20"/>
    </row>
    <row r="21" spans="1:12">
      <c r="B21" s="57">
        <f t="shared" si="0"/>
        <v>4.9048891683697526E-2</v>
      </c>
      <c r="L21" s="20"/>
    </row>
    <row r="22" spans="1:12">
      <c r="B22" s="57">
        <f t="shared" si="0"/>
        <v>1.0190319196762943E-2</v>
      </c>
      <c r="L22" s="20"/>
    </row>
    <row r="23" spans="1:12">
      <c r="B23" s="57">
        <f t="shared" si="0"/>
        <v>1.2461059190031154E-2</v>
      </c>
      <c r="L23" s="20"/>
    </row>
    <row r="24" spans="1:12">
      <c r="B24" s="57">
        <f t="shared" si="0"/>
        <v>-6.1538461538461764E-3</v>
      </c>
      <c r="L24" s="20"/>
    </row>
    <row r="25" spans="1:12">
      <c r="B25" s="57">
        <f t="shared" si="0"/>
        <v>-7.3713696004717999E-3</v>
      </c>
      <c r="L25" s="20"/>
    </row>
    <row r="26" spans="1:12">
      <c r="B26" s="57">
        <f t="shared" si="0"/>
        <v>-1.5891875835437275E-2</v>
      </c>
      <c r="L26" s="20"/>
    </row>
    <row r="27" spans="1:12">
      <c r="B27" s="57">
        <f t="shared" si="0"/>
        <v>1.7355870811952778E-2</v>
      </c>
      <c r="L27" s="20"/>
    </row>
    <row r="28" spans="1:12">
      <c r="B28" s="57">
        <f t="shared" si="0"/>
        <v>-2.7740691292093E-2</v>
      </c>
      <c r="L28" s="20"/>
    </row>
    <row r="29" spans="1:12">
      <c r="B29" s="57">
        <f t="shared" si="0"/>
        <v>-3.8144644491913127E-3</v>
      </c>
      <c r="L29" s="20"/>
    </row>
    <row r="30" spans="1:12">
      <c r="B30" s="57"/>
      <c r="L30" s="20"/>
    </row>
    <row r="31" spans="1:12">
      <c r="A31" s="19" t="s">
        <v>86</v>
      </c>
      <c r="B31" s="57"/>
      <c r="L31" s="20"/>
    </row>
    <row r="32" spans="1:12">
      <c r="A32" s="19" t="s">
        <v>94</v>
      </c>
      <c r="B32" s="57">
        <f>AVERAGE(B18:B29)</f>
        <v>5.5995754412209908E-4</v>
      </c>
      <c r="L32" s="20"/>
    </row>
    <row r="33" spans="1:12">
      <c r="A33" s="19" t="s">
        <v>83</v>
      </c>
      <c r="B33" s="57">
        <f>_xlfn.STDEV.S(B18:B29)</f>
        <v>2.1098484465865781E-2</v>
      </c>
      <c r="L33" s="20"/>
    </row>
    <row r="34" spans="1:12">
      <c r="B34" s="57"/>
      <c r="L34" s="20"/>
    </row>
    <row r="35" spans="1:12">
      <c r="A35" s="19" t="s">
        <v>87</v>
      </c>
      <c r="L35" s="20"/>
    </row>
    <row r="36" spans="1:12">
      <c r="A36" s="19" t="s">
        <v>106</v>
      </c>
      <c r="B36" s="57">
        <f>B32/7*365</f>
        <v>2.9197786229223741E-2</v>
      </c>
      <c r="L36" s="20"/>
    </row>
    <row r="37" spans="1:12">
      <c r="A37" s="19" t="s">
        <v>107</v>
      </c>
      <c r="B37" s="58">
        <f>B33</f>
        <v>2.1098484465865781E-2</v>
      </c>
      <c r="L37" s="20"/>
    </row>
    <row r="38" spans="1:12">
      <c r="L38" s="20"/>
    </row>
    <row r="39" spans="1:12">
      <c r="L39" s="20"/>
    </row>
    <row r="40" spans="1:12">
      <c r="L40" s="20"/>
    </row>
    <row r="41" spans="1:12">
      <c r="L41" s="20"/>
    </row>
    <row r="42" spans="1:12">
      <c r="L42" s="20"/>
    </row>
    <row r="43" spans="1:12">
      <c r="L43" s="20"/>
    </row>
    <row r="44" spans="1:12">
      <c r="L44" s="20"/>
    </row>
    <row r="45" spans="1:12">
      <c r="L45" s="20"/>
    </row>
    <row r="46" spans="1:12">
      <c r="L46" s="20"/>
    </row>
    <row r="47" spans="1:12">
      <c r="L47" s="20"/>
    </row>
    <row r="48" spans="1:12">
      <c r="L48" s="20"/>
    </row>
    <row r="49" spans="12:12">
      <c r="L49" s="20"/>
    </row>
    <row r="50" spans="12:12">
      <c r="L50" s="20"/>
    </row>
    <row r="51" spans="12:12">
      <c r="L51" s="20"/>
    </row>
    <row r="52" spans="12:12">
      <c r="L52" s="20"/>
    </row>
    <row r="53" spans="12:12">
      <c r="L53" s="20"/>
    </row>
    <row r="54" spans="12:12">
      <c r="L54" s="20"/>
    </row>
    <row r="55" spans="12:12">
      <c r="L55" s="20"/>
    </row>
    <row r="56" spans="12:12">
      <c r="L56" s="20"/>
    </row>
    <row r="57" spans="12:12">
      <c r="L57" s="20"/>
    </row>
    <row r="58" spans="12:12">
      <c r="L58" s="20"/>
    </row>
    <row r="59" spans="12:12">
      <c r="L59" s="20"/>
    </row>
    <row r="60" spans="12:12">
      <c r="L60" s="20"/>
    </row>
    <row r="61" spans="12:12">
      <c r="L61" s="20"/>
    </row>
    <row r="62" spans="12:12">
      <c r="L62" s="20"/>
    </row>
  </sheetData>
  <mergeCells count="1">
    <mergeCell ref="A1:D1"/>
  </mergeCells>
  <phoneticPr fontId="1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K34"/>
  <sheetViews>
    <sheetView zoomScaleNormal="100" workbookViewId="0">
      <selection activeCell="A29" sqref="A29"/>
    </sheetView>
  </sheetViews>
  <sheetFormatPr baseColWidth="10" defaultColWidth="8.83203125" defaultRowHeight="13"/>
  <cols>
    <col min="1" max="1" width="16" customWidth="1"/>
    <col min="2" max="5" width="9.83203125" customWidth="1"/>
    <col min="8" max="8" width="9.6640625" bestFit="1" customWidth="1"/>
  </cols>
  <sheetData>
    <row r="1" spans="1:11" ht="18">
      <c r="A1" s="44" t="s">
        <v>37</v>
      </c>
      <c r="B1" s="44"/>
      <c r="C1" s="44"/>
      <c r="D1" s="44"/>
      <c r="E1" s="44"/>
      <c r="F1" s="44"/>
      <c r="G1" s="21"/>
      <c r="H1" s="21"/>
      <c r="I1" s="21"/>
      <c r="J1" s="21"/>
      <c r="K1" s="21"/>
    </row>
    <row r="2" spans="1:11">
      <c r="B2" s="45" t="s">
        <v>38</v>
      </c>
      <c r="C2" s="45"/>
      <c r="D2" s="46" t="s">
        <v>2</v>
      </c>
      <c r="E2" s="46"/>
    </row>
    <row r="3" spans="1:11" s="11" customFormat="1">
      <c r="A3" s="11" t="s">
        <v>0</v>
      </c>
      <c r="B3" s="11" t="s">
        <v>39</v>
      </c>
      <c r="C3" s="11" t="s">
        <v>7</v>
      </c>
      <c r="D3" s="11" t="str">
        <f>B3</f>
        <v>Kellogg (K)</v>
      </c>
      <c r="E3" s="11" t="str">
        <f>C3</f>
        <v>IBM</v>
      </c>
    </row>
    <row r="4" spans="1:11">
      <c r="A4" s="9">
        <v>36164</v>
      </c>
      <c r="B4">
        <v>25.25</v>
      </c>
      <c r="C4">
        <v>74.02</v>
      </c>
    </row>
    <row r="5" spans="1:11">
      <c r="A5" s="9">
        <v>36528</v>
      </c>
      <c r="B5">
        <v>15.48</v>
      </c>
      <c r="C5">
        <v>91.12</v>
      </c>
      <c r="D5" s="4">
        <f>B5/B4-1</f>
        <v>-0.38693069306930694</v>
      </c>
      <c r="E5" s="4">
        <f>C5/C4-1</f>
        <v>0.23101864360983537</v>
      </c>
    </row>
    <row r="6" spans="1:11">
      <c r="A6" s="9">
        <v>36893</v>
      </c>
      <c r="B6">
        <v>17.39</v>
      </c>
      <c r="C6">
        <v>91.34</v>
      </c>
      <c r="D6" s="4">
        <f t="shared" ref="D6:D20" si="0">B6/B5-1</f>
        <v>0.12338501291989656</v>
      </c>
      <c r="E6" s="4">
        <f t="shared" ref="E6:E20" si="1">C6/C5-1</f>
        <v>2.4143985952589375E-3</v>
      </c>
    </row>
    <row r="7" spans="1:11">
      <c r="A7" s="9">
        <v>37258</v>
      </c>
      <c r="B7">
        <v>21.23</v>
      </c>
      <c r="C7">
        <v>88.42</v>
      </c>
      <c r="D7" s="4">
        <f t="shared" si="0"/>
        <v>0.22081656124209315</v>
      </c>
      <c r="E7" s="4">
        <f t="shared" si="1"/>
        <v>-3.1968469454784376E-2</v>
      </c>
    </row>
    <row r="8" spans="1:11">
      <c r="A8" s="9">
        <v>37623</v>
      </c>
      <c r="B8">
        <v>23.66</v>
      </c>
      <c r="C8">
        <v>64.56</v>
      </c>
      <c r="D8" s="4">
        <f t="shared" si="0"/>
        <v>0.11446066886481399</v>
      </c>
      <c r="E8" s="4">
        <f t="shared" si="1"/>
        <v>-0.26984845057679252</v>
      </c>
    </row>
    <row r="9" spans="1:11">
      <c r="A9" s="9">
        <v>37988</v>
      </c>
      <c r="B9">
        <v>27.62</v>
      </c>
      <c r="C9">
        <v>82.55</v>
      </c>
      <c r="D9" s="4">
        <f t="shared" si="0"/>
        <v>0.16737109044801346</v>
      </c>
      <c r="E9" s="4">
        <f t="shared" si="1"/>
        <v>0.27865551425030977</v>
      </c>
    </row>
    <row r="10" spans="1:11">
      <c r="A10" s="9">
        <v>38355</v>
      </c>
      <c r="B10">
        <v>33.4</v>
      </c>
      <c r="C10">
        <v>78.31</v>
      </c>
      <c r="D10" s="4">
        <f t="shared" si="0"/>
        <v>0.2092686459087616</v>
      </c>
      <c r="E10" s="4">
        <f t="shared" si="1"/>
        <v>-5.1362810417928451E-2</v>
      </c>
    </row>
    <row r="11" spans="1:11">
      <c r="A11" s="9">
        <v>38720</v>
      </c>
      <c r="B11">
        <v>32.869999999999997</v>
      </c>
      <c r="C11">
        <v>68.790000000000006</v>
      </c>
      <c r="D11" s="4">
        <f t="shared" si="0"/>
        <v>-1.5868263473053923E-2</v>
      </c>
      <c r="E11" s="4">
        <f t="shared" si="1"/>
        <v>-0.12156812667603112</v>
      </c>
    </row>
    <row r="12" spans="1:11">
      <c r="A12" s="9">
        <v>39085</v>
      </c>
      <c r="B12">
        <v>38.65</v>
      </c>
      <c r="C12">
        <v>85.02</v>
      </c>
      <c r="D12" s="4">
        <f t="shared" si="0"/>
        <v>0.17584423486461831</v>
      </c>
      <c r="E12" s="4">
        <f t="shared" si="1"/>
        <v>0.23593545573484498</v>
      </c>
    </row>
    <row r="13" spans="1:11">
      <c r="A13" s="9">
        <v>39449</v>
      </c>
      <c r="B13">
        <v>38.36</v>
      </c>
      <c r="C13">
        <v>93.14</v>
      </c>
      <c r="D13" s="4">
        <f t="shared" si="0"/>
        <v>-7.5032341526519719E-3</v>
      </c>
      <c r="E13" s="4">
        <f t="shared" si="1"/>
        <v>9.550693954363676E-2</v>
      </c>
    </row>
    <row r="14" spans="1:11">
      <c r="A14" s="9">
        <v>39815</v>
      </c>
      <c r="B14">
        <v>36</v>
      </c>
      <c r="C14">
        <v>81.09</v>
      </c>
      <c r="D14" s="4">
        <f t="shared" si="0"/>
        <v>-6.1522419186652799E-2</v>
      </c>
      <c r="E14" s="4">
        <f t="shared" si="1"/>
        <v>-0.12937513420657076</v>
      </c>
    </row>
    <row r="15" spans="1:11">
      <c r="A15" s="9">
        <v>40182</v>
      </c>
      <c r="B15">
        <v>46.29</v>
      </c>
      <c r="C15">
        <v>110.45</v>
      </c>
      <c r="D15" s="4">
        <f t="shared" si="0"/>
        <v>0.28583333333333338</v>
      </c>
      <c r="E15" s="4">
        <f t="shared" si="1"/>
        <v>0.36206683931434203</v>
      </c>
    </row>
    <row r="16" spans="1:11">
      <c r="A16" s="9">
        <v>40546</v>
      </c>
      <c r="B16">
        <v>44.11</v>
      </c>
      <c r="C16">
        <v>149</v>
      </c>
      <c r="D16" s="4">
        <f t="shared" si="0"/>
        <v>-4.7094404839058135E-2</v>
      </c>
      <c r="E16" s="4">
        <f t="shared" si="1"/>
        <v>0.34902670891806253</v>
      </c>
    </row>
    <row r="17" spans="1:5">
      <c r="A17" s="9">
        <v>40911</v>
      </c>
      <c r="B17">
        <v>44.83</v>
      </c>
      <c r="C17">
        <v>180.14</v>
      </c>
      <c r="D17" s="4">
        <f t="shared" si="0"/>
        <v>1.632282929041029E-2</v>
      </c>
      <c r="E17" s="4">
        <f t="shared" si="1"/>
        <v>0.20899328859060384</v>
      </c>
    </row>
    <row r="18" spans="1:5">
      <c r="A18" s="9">
        <v>41276</v>
      </c>
      <c r="B18">
        <v>54.74</v>
      </c>
      <c r="C18">
        <v>193.13</v>
      </c>
      <c r="D18" s="4">
        <f t="shared" si="0"/>
        <v>0.22105732768235575</v>
      </c>
      <c r="E18" s="4">
        <f t="shared" si="1"/>
        <v>7.2110580659487056E-2</v>
      </c>
    </row>
    <row r="19" spans="1:5">
      <c r="A19" s="9">
        <v>41641</v>
      </c>
      <c r="B19">
        <v>55.87</v>
      </c>
      <c r="C19">
        <v>171.29</v>
      </c>
      <c r="D19" s="4">
        <f t="shared" si="0"/>
        <v>2.0643039824625342E-2</v>
      </c>
      <c r="E19" s="4">
        <f t="shared" si="1"/>
        <v>-0.1130844508880029</v>
      </c>
    </row>
    <row r="20" spans="1:5">
      <c r="A20" s="9">
        <v>42006</v>
      </c>
      <c r="B20">
        <v>65.08</v>
      </c>
      <c r="C20">
        <v>152.24</v>
      </c>
      <c r="D20" s="4">
        <f t="shared" si="0"/>
        <v>0.16484696617146954</v>
      </c>
      <c r="E20" s="4">
        <f t="shared" si="1"/>
        <v>-0.11121489870979029</v>
      </c>
    </row>
    <row r="22" spans="1:5">
      <c r="C22" s="22" t="s">
        <v>6</v>
      </c>
      <c r="D22" s="23">
        <f>AVERAGE(D5:D20)</f>
        <v>7.5058168489354232E-2</v>
      </c>
      <c r="E22" s="23">
        <f>AVERAGE(E5:E20)</f>
        <v>6.2956626767905061E-2</v>
      </c>
    </row>
    <row r="23" spans="1:5">
      <c r="C23" s="22" t="s">
        <v>5</v>
      </c>
      <c r="D23" s="24">
        <f>_xlfn.STDEV.S(D5:D20)</f>
        <v>0.16414089996090991</v>
      </c>
      <c r="E23" s="24">
        <f>_xlfn.STDEV.S(E5:E20)</f>
        <v>0.19447997721278759</v>
      </c>
    </row>
    <row r="24" spans="1:5">
      <c r="C24" s="22" t="s">
        <v>4</v>
      </c>
      <c r="D24" s="7">
        <f>_xlfn.COVARIANCE.S(D5:D20,E5:E20)</f>
        <v>-2.0236879301145047E-3</v>
      </c>
    </row>
    <row r="25" spans="1:5">
      <c r="C25" s="22" t="s">
        <v>3</v>
      </c>
      <c r="D25" s="7">
        <f>CORREL(D5:D20,E5:E20)</f>
        <v>-6.3394537274318999E-2</v>
      </c>
    </row>
    <row r="26" spans="1:5">
      <c r="C26" s="25"/>
    </row>
    <row r="27" spans="1:5">
      <c r="A27" s="19" t="s">
        <v>87</v>
      </c>
    </row>
    <row r="28" spans="1:5">
      <c r="A28" s="19" t="s">
        <v>108</v>
      </c>
    </row>
    <row r="30" spans="1:5" ht="12.75" customHeight="1"/>
    <row r="34" ht="12.75" customHeight="1"/>
  </sheetData>
  <mergeCells count="3">
    <mergeCell ref="A1:F1"/>
    <mergeCell ref="B2:C2"/>
    <mergeCell ref="D2:E2"/>
  </mergeCells>
  <phoneticPr fontId="1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20"/>
  <sheetViews>
    <sheetView workbookViewId="0">
      <selection activeCell="B21" sqref="B21"/>
    </sheetView>
  </sheetViews>
  <sheetFormatPr baseColWidth="10" defaultColWidth="8.83203125" defaultRowHeight="13"/>
  <cols>
    <col min="1" max="1" width="13.6640625" bestFit="1" customWidth="1"/>
    <col min="2" max="2" width="17.5" bestFit="1" customWidth="1"/>
    <col min="3" max="3" width="10.83203125" bestFit="1" customWidth="1"/>
    <col min="4" max="4" width="13.1640625" customWidth="1"/>
    <col min="5" max="5" width="15.6640625" bestFit="1" customWidth="1"/>
    <col min="6" max="6" width="14.83203125" customWidth="1"/>
  </cols>
  <sheetData>
    <row r="1" spans="1:6" ht="18">
      <c r="A1" s="47" t="s">
        <v>40</v>
      </c>
      <c r="B1" s="47"/>
      <c r="C1" s="47"/>
    </row>
    <row r="2" spans="1:6" s="11" customFormat="1" ht="28">
      <c r="B2" s="10" t="s">
        <v>41</v>
      </c>
      <c r="C2" s="10" t="s">
        <v>42</v>
      </c>
      <c r="D2" s="10" t="s">
        <v>43</v>
      </c>
      <c r="F2" s="10" t="s">
        <v>44</v>
      </c>
    </row>
    <row r="3" spans="1:6">
      <c r="A3" s="13">
        <v>38717</v>
      </c>
      <c r="B3">
        <v>17.98</v>
      </c>
      <c r="D3" s="1">
        <f>B3/E3</f>
        <v>5.9933333333333332</v>
      </c>
      <c r="E3">
        <v>3</v>
      </c>
    </row>
    <row r="4" spans="1:6">
      <c r="A4" s="13">
        <v>39082</v>
      </c>
      <c r="B4">
        <v>19.670000000000002</v>
      </c>
      <c r="D4" s="1">
        <f t="shared" ref="D4:D13" si="0">B4/E4</f>
        <v>6.5566666666666675</v>
      </c>
      <c r="E4">
        <v>3</v>
      </c>
      <c r="F4" s="4">
        <f>D4/D3-1</f>
        <v>9.3993325917686388E-2</v>
      </c>
    </row>
    <row r="5" spans="1:6">
      <c r="A5" s="13">
        <v>39447</v>
      </c>
      <c r="B5">
        <v>20.350000000000001</v>
      </c>
      <c r="D5" s="1">
        <f t="shared" si="0"/>
        <v>6.7833333333333341</v>
      </c>
      <c r="E5">
        <v>3</v>
      </c>
      <c r="F5" s="4">
        <f t="shared" ref="F5:F13" si="1">D5/D4-1</f>
        <v>3.4570411794611067E-2</v>
      </c>
    </row>
    <row r="6" spans="1:6">
      <c r="A6" s="13">
        <v>39813</v>
      </c>
      <c r="B6">
        <v>11.02</v>
      </c>
      <c r="C6" s="3" t="s">
        <v>45</v>
      </c>
      <c r="D6" s="1">
        <f t="shared" si="0"/>
        <v>7.3466666666666667</v>
      </c>
      <c r="E6">
        <v>1.5</v>
      </c>
      <c r="F6" s="4">
        <f t="shared" si="1"/>
        <v>8.3046683046682945E-2</v>
      </c>
    </row>
    <row r="7" spans="1:6">
      <c r="A7" s="13">
        <v>40178</v>
      </c>
      <c r="B7">
        <v>12.56</v>
      </c>
      <c r="C7" s="3"/>
      <c r="D7" s="1">
        <f t="shared" si="0"/>
        <v>8.3733333333333331</v>
      </c>
      <c r="E7">
        <v>1.5</v>
      </c>
      <c r="F7" s="4">
        <f t="shared" si="1"/>
        <v>0.13974591651542645</v>
      </c>
    </row>
    <row r="8" spans="1:6">
      <c r="A8" s="13">
        <v>40543</v>
      </c>
      <c r="B8">
        <v>13.45</v>
      </c>
      <c r="C8" s="3"/>
      <c r="D8" s="1">
        <f t="shared" si="0"/>
        <v>8.9666666666666668</v>
      </c>
      <c r="E8">
        <v>1.5</v>
      </c>
      <c r="F8" s="4">
        <f t="shared" si="1"/>
        <v>7.0859872611465091E-2</v>
      </c>
    </row>
    <row r="9" spans="1:6">
      <c r="A9" s="13">
        <v>40908</v>
      </c>
      <c r="B9">
        <v>8.36</v>
      </c>
      <c r="C9" s="3" t="s">
        <v>46</v>
      </c>
      <c r="D9" s="1">
        <f t="shared" si="0"/>
        <v>8.36</v>
      </c>
      <c r="E9">
        <f>1</f>
        <v>1</v>
      </c>
      <c r="F9" s="4">
        <f t="shared" si="1"/>
        <v>-6.7657992565055891E-2</v>
      </c>
    </row>
    <row r="10" spans="1:6">
      <c r="A10" s="13">
        <v>41274</v>
      </c>
      <c r="B10">
        <v>9.01</v>
      </c>
      <c r="C10" s="3"/>
      <c r="D10" s="1">
        <f t="shared" si="0"/>
        <v>9.01</v>
      </c>
      <c r="E10">
        <f>1</f>
        <v>1</v>
      </c>
      <c r="F10" s="4">
        <f t="shared" si="1"/>
        <v>7.7751196172248793E-2</v>
      </c>
    </row>
    <row r="11" spans="1:6">
      <c r="A11" s="13">
        <v>41639</v>
      </c>
      <c r="B11">
        <v>10.23</v>
      </c>
      <c r="C11" s="3"/>
      <c r="D11" s="1">
        <f t="shared" si="0"/>
        <v>10.23</v>
      </c>
      <c r="E11">
        <f>1</f>
        <v>1</v>
      </c>
      <c r="F11" s="4">
        <f t="shared" si="1"/>
        <v>0.13540510543840178</v>
      </c>
    </row>
    <row r="12" spans="1:6">
      <c r="A12" s="13">
        <v>42004</v>
      </c>
      <c r="B12">
        <v>9.23</v>
      </c>
      <c r="C12" s="3"/>
      <c r="D12" s="1">
        <f t="shared" si="0"/>
        <v>9.23</v>
      </c>
      <c r="E12">
        <f>1</f>
        <v>1</v>
      </c>
      <c r="F12" s="4">
        <f t="shared" si="1"/>
        <v>-9.7751710654936486E-2</v>
      </c>
    </row>
    <row r="13" spans="1:6">
      <c r="A13" s="13">
        <v>42369</v>
      </c>
      <c r="B13">
        <v>10.34</v>
      </c>
      <c r="D13" s="1">
        <f t="shared" si="0"/>
        <v>10.34</v>
      </c>
      <c r="E13">
        <f>1</f>
        <v>1</v>
      </c>
      <c r="F13" s="4">
        <f t="shared" si="1"/>
        <v>0.12026002166847238</v>
      </c>
    </row>
    <row r="15" spans="1:6">
      <c r="E15" t="s">
        <v>47</v>
      </c>
      <c r="F15" s="23">
        <f>AVERAGE(F4:F13)</f>
        <v>5.9022282994500255E-2</v>
      </c>
    </row>
    <row r="16" spans="1:6">
      <c r="E16" t="s">
        <v>5</v>
      </c>
      <c r="F16" s="23">
        <f>_xlfn.STDEV.S(F4:F13)</f>
        <v>8.1387699640394565E-2</v>
      </c>
    </row>
    <row r="18" spans="1:2">
      <c r="A18" s="19" t="s">
        <v>86</v>
      </c>
    </row>
    <row r="19" spans="1:2">
      <c r="A19" s="19" t="s">
        <v>109</v>
      </c>
      <c r="B19">
        <v>100</v>
      </c>
    </row>
    <row r="20" spans="1:2">
      <c r="A20" s="19" t="s">
        <v>110</v>
      </c>
      <c r="B20">
        <f>B19*E3</f>
        <v>300</v>
      </c>
    </row>
  </sheetData>
  <mergeCells count="1">
    <mergeCell ref="A1:C1"/>
  </mergeCells>
  <phoneticPr fontId="1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C451C-E850-2A46-BA03-3D8935F20F6A}">
  <dimension ref="A1:B1"/>
  <sheetViews>
    <sheetView workbookViewId="0">
      <selection activeCell="B1" sqref="B1"/>
    </sheetView>
  </sheetViews>
  <sheetFormatPr baseColWidth="10" defaultRowHeight="13"/>
  <sheetData>
    <row r="1" spans="1:2">
      <c r="A1" s="19" t="s">
        <v>111</v>
      </c>
      <c r="B1">
        <f>'EoC Exercise 8 Template'!B20/4*3</f>
        <v>225</v>
      </c>
    </row>
  </sheetData>
  <phoneticPr fontId="1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26"/>
  <sheetViews>
    <sheetView workbookViewId="0">
      <selection activeCell="A17" sqref="A17"/>
    </sheetView>
  </sheetViews>
  <sheetFormatPr baseColWidth="10" defaultColWidth="9.1640625" defaultRowHeight="13"/>
  <cols>
    <col min="1" max="1" width="12" style="19" bestFit="1" customWidth="1"/>
    <col min="2" max="2" width="14.5" style="19" bestFit="1" customWidth="1"/>
    <col min="3" max="3" width="11" style="19" bestFit="1" customWidth="1"/>
    <col min="4" max="4" width="15.83203125" style="19" bestFit="1" customWidth="1"/>
    <col min="5" max="5" width="20.5" style="19" bestFit="1" customWidth="1"/>
    <col min="6" max="6" width="12.83203125" style="19" bestFit="1" customWidth="1"/>
    <col min="7" max="7" width="20.6640625" style="19" bestFit="1" customWidth="1"/>
    <col min="8" max="16384" width="9.1640625" style="19"/>
  </cols>
  <sheetData>
    <row r="1" spans="1:7" ht="17">
      <c r="A1" s="48"/>
      <c r="B1" s="26" t="s">
        <v>48</v>
      </c>
      <c r="C1" s="49" t="s">
        <v>49</v>
      </c>
      <c r="D1" s="49"/>
    </row>
    <row r="2" spans="1:7" ht="28" customHeight="1">
      <c r="A2" s="48"/>
      <c r="B2" s="27" t="s">
        <v>50</v>
      </c>
      <c r="C2" s="27" t="s">
        <v>50</v>
      </c>
      <c r="D2" s="27" t="s">
        <v>51</v>
      </c>
      <c r="E2" s="19" t="s">
        <v>112</v>
      </c>
      <c r="F2" s="27" t="s">
        <v>113</v>
      </c>
      <c r="G2" s="19" t="s">
        <v>114</v>
      </c>
    </row>
    <row r="3" spans="1:7">
      <c r="A3" s="13">
        <v>38717</v>
      </c>
      <c r="B3" s="28">
        <v>32.56</v>
      </c>
      <c r="C3" s="28">
        <v>78.5</v>
      </c>
      <c r="D3" s="28">
        <v>0</v>
      </c>
      <c r="F3" s="61">
        <f>C3-SUM(D3:$D$12)</f>
        <v>70.5</v>
      </c>
    </row>
    <row r="4" spans="1:7">
      <c r="A4" s="13">
        <v>39082</v>
      </c>
      <c r="B4" s="28">
        <v>34.5</v>
      </c>
      <c r="C4" s="28">
        <v>82.5</v>
      </c>
      <c r="D4" s="28">
        <v>0</v>
      </c>
      <c r="E4" s="60">
        <f>B4/B3-1</f>
        <v>5.9582309582309589E-2</v>
      </c>
      <c r="F4" s="61">
        <f>C4-SUM(D4:$D$12)</f>
        <v>74.5</v>
      </c>
      <c r="G4" s="60">
        <f>F4/F3-1</f>
        <v>5.6737588652482351E-2</v>
      </c>
    </row>
    <row r="5" spans="1:7">
      <c r="A5" s="13">
        <v>39447</v>
      </c>
      <c r="B5" s="28">
        <v>38.979999999999997</v>
      </c>
      <c r="C5" s="28">
        <v>84.5</v>
      </c>
      <c r="D5" s="28">
        <v>1</v>
      </c>
      <c r="E5" s="60">
        <f t="shared" ref="E5:E12" si="0">B5/B4-1</f>
        <v>0.12985507246376793</v>
      </c>
      <c r="F5" s="61">
        <f>C5-SUM(D5:$D$12)</f>
        <v>76.5</v>
      </c>
      <c r="G5" s="60">
        <f t="shared" ref="G5:G12" si="1">F5/F4-1</f>
        <v>2.6845637583892579E-2</v>
      </c>
    </row>
    <row r="6" spans="1:7">
      <c r="A6" s="13">
        <v>39813</v>
      </c>
      <c r="B6" s="28">
        <v>44.5</v>
      </c>
      <c r="C6" s="28">
        <v>81.599999999999994</v>
      </c>
      <c r="D6" s="28">
        <v>0</v>
      </c>
      <c r="E6" s="60">
        <f t="shared" si="0"/>
        <v>0.14161108260646493</v>
      </c>
      <c r="F6" s="61">
        <f>C6-SUM(D6:$D$12)</f>
        <v>74.599999999999994</v>
      </c>
      <c r="G6" s="60">
        <f t="shared" si="1"/>
        <v>-2.4836601307189565E-2</v>
      </c>
    </row>
    <row r="7" spans="1:7">
      <c r="A7" s="13">
        <v>40178</v>
      </c>
      <c r="B7" s="28">
        <v>40.200000000000003</v>
      </c>
      <c r="C7" s="28">
        <v>79.599999999999994</v>
      </c>
      <c r="D7" s="28">
        <v>1.5</v>
      </c>
      <c r="E7" s="60">
        <f t="shared" si="0"/>
        <v>-9.6629213483146015E-2</v>
      </c>
      <c r="F7" s="61">
        <f>C7-SUM(D7:$D$12)</f>
        <v>72.599999999999994</v>
      </c>
      <c r="G7" s="60">
        <f t="shared" si="1"/>
        <v>-2.6809651474530849E-2</v>
      </c>
    </row>
    <row r="8" spans="1:7">
      <c r="A8" s="13">
        <v>40543</v>
      </c>
      <c r="B8" s="28">
        <v>39.5</v>
      </c>
      <c r="C8" s="28">
        <v>80.959999999999994</v>
      </c>
      <c r="D8" s="28">
        <v>1.5</v>
      </c>
      <c r="E8" s="60">
        <f t="shared" si="0"/>
        <v>-1.7412935323383172E-2</v>
      </c>
      <c r="F8" s="61">
        <f>C8-SUM(D8:$D$12)</f>
        <v>75.459999999999994</v>
      </c>
      <c r="G8" s="60">
        <f t="shared" si="1"/>
        <v>3.9393939393939315E-2</v>
      </c>
    </row>
    <row r="9" spans="1:7">
      <c r="A9" s="13">
        <v>40908</v>
      </c>
      <c r="B9" s="28">
        <v>38.450000000000003</v>
      </c>
      <c r="C9" s="28">
        <v>82.65</v>
      </c>
      <c r="D9" s="28">
        <v>0</v>
      </c>
      <c r="E9" s="60">
        <f t="shared" si="0"/>
        <v>-2.6582278481012578E-2</v>
      </c>
      <c r="F9" s="61">
        <f>C9-SUM(D9:$D$12)</f>
        <v>78.650000000000006</v>
      </c>
      <c r="G9" s="60">
        <f t="shared" si="1"/>
        <v>4.2274052478134205E-2</v>
      </c>
    </row>
    <row r="10" spans="1:7">
      <c r="A10" s="13">
        <v>41274</v>
      </c>
      <c r="B10" s="28">
        <v>37.5</v>
      </c>
      <c r="C10" s="28">
        <v>83.69</v>
      </c>
      <c r="D10" s="28">
        <v>2</v>
      </c>
      <c r="E10" s="60">
        <f t="shared" si="0"/>
        <v>-2.4707412223667125E-2</v>
      </c>
      <c r="F10" s="61">
        <f>C10-SUM(D10:$D$12)</f>
        <v>79.69</v>
      </c>
      <c r="G10" s="60">
        <f t="shared" si="1"/>
        <v>1.3223140495867591E-2</v>
      </c>
    </row>
    <row r="11" spans="1:7">
      <c r="A11" s="13">
        <v>41639</v>
      </c>
      <c r="B11" s="28">
        <v>43.58</v>
      </c>
      <c r="C11" s="28">
        <v>82.79</v>
      </c>
      <c r="D11" s="28">
        <v>2</v>
      </c>
      <c r="E11" s="60">
        <f t="shared" si="0"/>
        <v>0.16213333333333324</v>
      </c>
      <c r="F11" s="61">
        <f>C11-SUM(D11:$D$12)</f>
        <v>80.790000000000006</v>
      </c>
      <c r="G11" s="60">
        <f t="shared" si="1"/>
        <v>1.380348851800739E-2</v>
      </c>
    </row>
    <row r="12" spans="1:7">
      <c r="A12" s="13">
        <v>42004</v>
      </c>
      <c r="B12" s="28">
        <v>50.3</v>
      </c>
      <c r="C12" s="28">
        <v>81.97</v>
      </c>
      <c r="D12" s="28">
        <v>0</v>
      </c>
      <c r="E12" s="60">
        <f t="shared" si="0"/>
        <v>0.15419917393299687</v>
      </c>
      <c r="F12" s="61">
        <f>C12-SUM(D12:$D$12)</f>
        <v>81.97</v>
      </c>
      <c r="G12" s="60">
        <f t="shared" si="1"/>
        <v>1.4605768040599099E-2</v>
      </c>
    </row>
    <row r="14" spans="1:7">
      <c r="A14" s="19" t="s">
        <v>87</v>
      </c>
      <c r="B14" s="19" t="s">
        <v>116</v>
      </c>
      <c r="C14" s="19" t="s">
        <v>117</v>
      </c>
    </row>
    <row r="15" spans="1:7">
      <c r="A15" s="19" t="s">
        <v>94</v>
      </c>
      <c r="B15" s="62">
        <f>AVERAGE(E4:E12)</f>
        <v>5.3561014711962632E-2</v>
      </c>
      <c r="C15" s="62">
        <f>AVERAGE(G4:G12)</f>
        <v>1.7248595820133567E-2</v>
      </c>
    </row>
    <row r="16" spans="1:7">
      <c r="A16" s="55" t="s">
        <v>115</v>
      </c>
      <c r="B16" s="62">
        <f>_xlfn.STDEV.S(E4:E12)</f>
        <v>9.7255553495872643E-2</v>
      </c>
      <c r="C16" s="62">
        <f>_xlfn.STDEV.S(G4:G12)</f>
        <v>2.8538404067936576E-2</v>
      </c>
    </row>
    <row r="17" spans="1:1">
      <c r="A17" s="55" t="s">
        <v>118</v>
      </c>
    </row>
    <row r="18" spans="1:1">
      <c r="A18" s="55"/>
    </row>
    <row r="19" spans="1:1">
      <c r="A19" s="55"/>
    </row>
    <row r="20" spans="1:1">
      <c r="A20" s="55"/>
    </row>
    <row r="21" spans="1:1">
      <c r="A21" s="55"/>
    </row>
    <row r="22" spans="1:1">
      <c r="A22" s="55"/>
    </row>
    <row r="23" spans="1:1">
      <c r="A23" s="55"/>
    </row>
    <row r="24" spans="1:1">
      <c r="A24" s="55"/>
    </row>
    <row r="25" spans="1:1">
      <c r="A25" s="55"/>
    </row>
    <row r="26" spans="1:1">
      <c r="A26" s="55"/>
    </row>
  </sheetData>
  <mergeCells count="2">
    <mergeCell ref="A1:A2"/>
    <mergeCell ref="C1:D1"/>
  </mergeCells>
  <phoneticPr fontId="1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14"/>
  <sheetViews>
    <sheetView workbookViewId="0">
      <selection activeCell="C15" sqref="C15"/>
    </sheetView>
  </sheetViews>
  <sheetFormatPr baseColWidth="10" defaultColWidth="9.1640625" defaultRowHeight="13"/>
  <cols>
    <col min="1" max="1" width="9.5" style="31" bestFit="1" customWidth="1"/>
    <col min="2" max="2" width="14.1640625" style="31" bestFit="1" customWidth="1"/>
    <col min="3" max="3" width="13.1640625" style="31" bestFit="1" customWidth="1"/>
    <col min="4" max="4" width="27.1640625" style="31" bestFit="1" customWidth="1"/>
    <col min="5" max="16384" width="9.1640625" style="31"/>
  </cols>
  <sheetData>
    <row r="1" spans="1:5" ht="18" customHeight="1">
      <c r="A1" s="50" t="s">
        <v>52</v>
      </c>
      <c r="B1" s="50"/>
      <c r="C1" s="50"/>
      <c r="D1" s="50"/>
    </row>
    <row r="2" spans="1:5" ht="28">
      <c r="A2" s="29" t="s">
        <v>1</v>
      </c>
      <c r="B2" s="30" t="s">
        <v>53</v>
      </c>
      <c r="C2" s="30" t="s">
        <v>54</v>
      </c>
    </row>
    <row r="3" spans="1:5">
      <c r="A3" s="32">
        <v>2006</v>
      </c>
      <c r="B3" s="5">
        <v>0.30730000000000002</v>
      </c>
      <c r="C3" s="33">
        <f>50%-0.8*B3</f>
        <v>0.25415999999999994</v>
      </c>
      <c r="E3" s="33"/>
    </row>
    <row r="4" spans="1:5">
      <c r="A4" s="32">
        <f>1+A3</f>
        <v>2007</v>
      </c>
      <c r="B4" s="5">
        <v>0.55210000000000004</v>
      </c>
      <c r="C4" s="33">
        <f t="shared" ref="C4:C12" si="0">50%-0.8*B4</f>
        <v>5.8319999999999927E-2</v>
      </c>
      <c r="E4" s="33"/>
    </row>
    <row r="5" spans="1:5">
      <c r="A5" s="32">
        <f t="shared" ref="A5:A12" si="1">1+A4</f>
        <v>2008</v>
      </c>
      <c r="B5" s="5">
        <v>0.15820000000000001</v>
      </c>
      <c r="C5" s="33">
        <f t="shared" si="0"/>
        <v>0.37343999999999999</v>
      </c>
      <c r="E5" s="33"/>
    </row>
    <row r="6" spans="1:5">
      <c r="A6" s="32">
        <f t="shared" si="1"/>
        <v>2009</v>
      </c>
      <c r="B6" s="5">
        <v>0.33539999999999998</v>
      </c>
      <c r="C6" s="33">
        <f t="shared" si="0"/>
        <v>0.23168</v>
      </c>
      <c r="E6" s="33"/>
    </row>
    <row r="7" spans="1:5">
      <c r="A7" s="32">
        <f t="shared" si="1"/>
        <v>2010</v>
      </c>
      <c r="B7" s="5">
        <v>0.14929999999999999</v>
      </c>
      <c r="C7" s="33">
        <f t="shared" si="0"/>
        <v>0.38056000000000001</v>
      </c>
      <c r="E7" s="33"/>
    </row>
    <row r="8" spans="1:5">
      <c r="A8" s="32">
        <f t="shared" si="1"/>
        <v>2011</v>
      </c>
      <c r="B8" s="5">
        <v>0.3584</v>
      </c>
      <c r="C8" s="33">
        <f t="shared" si="0"/>
        <v>0.21327999999999997</v>
      </c>
      <c r="E8" s="33"/>
    </row>
    <row r="9" spans="1:5">
      <c r="A9" s="32">
        <f t="shared" si="1"/>
        <v>2012</v>
      </c>
      <c r="B9" s="5">
        <v>0.4839</v>
      </c>
      <c r="C9" s="33">
        <f t="shared" si="0"/>
        <v>0.11287999999999998</v>
      </c>
      <c r="E9" s="33"/>
    </row>
    <row r="10" spans="1:5">
      <c r="A10" s="32">
        <f t="shared" si="1"/>
        <v>2013</v>
      </c>
      <c r="B10" s="5">
        <v>0.37709999999999999</v>
      </c>
      <c r="C10" s="33">
        <f t="shared" si="0"/>
        <v>0.19832</v>
      </c>
      <c r="E10" s="33"/>
    </row>
    <row r="11" spans="1:5">
      <c r="A11" s="32">
        <f t="shared" si="1"/>
        <v>2014</v>
      </c>
      <c r="B11" s="5">
        <v>0.67849999999999999</v>
      </c>
      <c r="C11" s="33">
        <f t="shared" si="0"/>
        <v>-4.280000000000006E-2</v>
      </c>
      <c r="E11" s="33"/>
    </row>
    <row r="12" spans="1:5">
      <c r="A12" s="32">
        <f t="shared" si="1"/>
        <v>2015</v>
      </c>
      <c r="B12" s="5">
        <v>0.44850000000000001</v>
      </c>
      <c r="C12" s="33">
        <f t="shared" si="0"/>
        <v>0.14119999999999999</v>
      </c>
      <c r="E12" s="33"/>
    </row>
    <row r="14" spans="1:5">
      <c r="A14" s="31" t="s">
        <v>3</v>
      </c>
      <c r="C14" s="34">
        <f>CORREL(B3:B12,C3:C12)</f>
        <v>-0.99999999999999978</v>
      </c>
    </row>
  </sheetData>
  <mergeCells count="1">
    <mergeCell ref="A1:D1"/>
  </mergeCells>
  <phoneticPr fontId="1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N31"/>
  <sheetViews>
    <sheetView workbookViewId="0">
      <selection activeCell="B2" sqref="B2"/>
    </sheetView>
  </sheetViews>
  <sheetFormatPr baseColWidth="10" defaultColWidth="8.83203125" defaultRowHeight="13"/>
  <cols>
    <col min="1" max="1" width="13.5" bestFit="1" customWidth="1"/>
    <col min="2" max="2" width="9" bestFit="1" customWidth="1"/>
  </cols>
  <sheetData>
    <row r="1" spans="1:3" ht="14">
      <c r="A1" s="35"/>
      <c r="B1" s="36" t="s">
        <v>55</v>
      </c>
      <c r="C1" s="36" t="s">
        <v>56</v>
      </c>
    </row>
    <row r="2" spans="1:3">
      <c r="A2" s="13">
        <v>39082</v>
      </c>
      <c r="B2" s="37">
        <v>0.12559999999999999</v>
      </c>
      <c r="C2" s="37">
        <v>7.5600000000000001E-2</v>
      </c>
    </row>
    <row r="3" spans="1:3">
      <c r="A3" s="13">
        <v>39447</v>
      </c>
      <c r="B3" s="37">
        <v>0.13500000000000001</v>
      </c>
      <c r="C3" s="37">
        <v>8.5599999999999996E-2</v>
      </c>
    </row>
    <row r="4" spans="1:3">
      <c r="A4" s="13">
        <v>39813</v>
      </c>
      <c r="B4" s="37">
        <v>0.14230000000000001</v>
      </c>
      <c r="C4" s="37">
        <v>4.5600000000000002E-2</v>
      </c>
    </row>
    <row r="5" spans="1:3">
      <c r="A5" s="13">
        <v>40178</v>
      </c>
      <c r="B5" s="37">
        <v>0.15229999999999999</v>
      </c>
      <c r="C5" s="37">
        <v>2.12E-2</v>
      </c>
    </row>
    <row r="6" spans="1:3">
      <c r="A6" s="13">
        <v>40543</v>
      </c>
      <c r="B6" s="37">
        <v>0.14230000000000001</v>
      </c>
      <c r="C6" s="37">
        <v>1.23E-2</v>
      </c>
    </row>
    <row r="7" spans="1:3">
      <c r="A7" s="13">
        <v>40908</v>
      </c>
      <c r="B7" s="37">
        <v>0.12230000000000001</v>
      </c>
      <c r="C7" s="37">
        <v>2.5999999999999999E-3</v>
      </c>
    </row>
    <row r="8" spans="1:3">
      <c r="A8" s="13">
        <v>41274</v>
      </c>
      <c r="B8" s="37">
        <v>0.1023</v>
      </c>
      <c r="C8" s="37">
        <v>3.2500000000000001E-2</v>
      </c>
    </row>
    <row r="9" spans="1:3">
      <c r="A9" s="13">
        <v>41639</v>
      </c>
      <c r="B9" s="37">
        <v>5.2600000000000001E-2</v>
      </c>
      <c r="C9" s="37">
        <v>4.8899999999999999E-2</v>
      </c>
    </row>
    <row r="10" spans="1:3">
      <c r="A10" s="13">
        <v>42004</v>
      </c>
      <c r="B10" s="37">
        <v>4.2500000000000003E-2</v>
      </c>
      <c r="C10" s="37">
        <v>5.5599999999999997E-2</v>
      </c>
    </row>
    <row r="11" spans="1:3">
      <c r="A11" s="13">
        <v>42369</v>
      </c>
      <c r="B11" s="37">
        <v>2.23E-2</v>
      </c>
      <c r="C11" s="37">
        <v>6.4500000000000002E-2</v>
      </c>
    </row>
    <row r="12" spans="1:3">
      <c r="A12" s="19"/>
      <c r="B12" s="19"/>
      <c r="C12" s="19"/>
    </row>
    <row r="13" spans="1:3">
      <c r="A13" s="19" t="s">
        <v>57</v>
      </c>
      <c r="B13" s="63">
        <f>AVERAGE(B2:B11)</f>
        <v>0.10394999999999999</v>
      </c>
      <c r="C13" s="63">
        <f>AVERAGE(C2:C11)</f>
        <v>4.4439999999999993E-2</v>
      </c>
    </row>
    <row r="14" spans="1:3">
      <c r="A14" t="s">
        <v>58</v>
      </c>
      <c r="B14" s="2">
        <f>_xlfn.VAR.S(B2:B11)</f>
        <v>2.2367872222222277E-3</v>
      </c>
      <c r="C14" s="2">
        <f>_xlfn.VAR.S(C2:C11)</f>
        <v>7.4216711111111224E-4</v>
      </c>
    </row>
    <row r="15" spans="1:3">
      <c r="A15" t="s">
        <v>4</v>
      </c>
      <c r="B15" s="2">
        <f>_xlfn.COVARIANCE.S(B2:B11,C2:C11)</f>
        <v>-4.0665222222222225E-4</v>
      </c>
    </row>
    <row r="17" spans="1:14" s="3" customFormat="1" ht="42">
      <c r="A17" s="10" t="s">
        <v>59</v>
      </c>
      <c r="B17" s="10" t="s">
        <v>60</v>
      </c>
      <c r="C17" s="10" t="s">
        <v>61</v>
      </c>
    </row>
    <row r="18" spans="1:14">
      <c r="A18" s="3">
        <v>0</v>
      </c>
      <c r="B18">
        <f>A18*A18*$B$14+(1-A18)*(1-A18)*$C$14+2*A18*(1-A18)*$B$15</f>
        <v>7.4216711111111224E-4</v>
      </c>
      <c r="C18" s="52">
        <f>A18*$B$13+(1-A18)*$C$13</f>
        <v>4.4439999999999993E-2</v>
      </c>
    </row>
    <row r="19" spans="1:14">
      <c r="A19" s="3">
        <v>0.1</v>
      </c>
      <c r="B19">
        <f t="shared" ref="B19:B29" si="0">A19*A19*$B$14+(1-A19)*(1-A19)*$C$14+2*A19*(1-A19)*$B$15</f>
        <v>5.5032583222222326E-4</v>
      </c>
      <c r="C19" s="52">
        <f t="shared" ref="C19:C29" si="1">A19*$B$13+(1-A19)*$C$13</f>
        <v>5.0390999999999998E-2</v>
      </c>
    </row>
    <row r="20" spans="1:14">
      <c r="A20" s="3">
        <v>0.2</v>
      </c>
      <c r="B20">
        <f t="shared" si="0"/>
        <v>4.343297288888899E-4</v>
      </c>
      <c r="C20" s="52">
        <f t="shared" si="1"/>
        <v>5.6341999999999989E-2</v>
      </c>
    </row>
    <row r="21" spans="1:14">
      <c r="A21" s="3">
        <v>0.3</v>
      </c>
      <c r="B21">
        <f t="shared" si="0"/>
        <v>3.9417880111111209E-4</v>
      </c>
      <c r="C21" s="52">
        <f t="shared" si="1"/>
        <v>6.2292999999999987E-2</v>
      </c>
    </row>
    <row r="22" spans="1:14">
      <c r="A22" s="3">
        <v>0.4</v>
      </c>
      <c r="B22">
        <f t="shared" si="0"/>
        <v>4.2987304888889027E-4</v>
      </c>
      <c r="C22" s="52">
        <f t="shared" si="1"/>
        <v>6.8243999999999999E-2</v>
      </c>
    </row>
    <row r="23" spans="1:14">
      <c r="A23" s="3">
        <v>0.5</v>
      </c>
      <c r="B23">
        <f t="shared" si="0"/>
        <v>5.4141247222222379E-4</v>
      </c>
      <c r="C23" s="52">
        <f t="shared" si="1"/>
        <v>7.4194999999999983E-2</v>
      </c>
    </row>
    <row r="24" spans="1:14">
      <c r="A24" s="3">
        <v>0.6</v>
      </c>
      <c r="B24">
        <f t="shared" si="0"/>
        <v>7.287970711111133E-4</v>
      </c>
      <c r="C24" s="52">
        <f t="shared" si="1"/>
        <v>8.0145999999999981E-2</v>
      </c>
    </row>
    <row r="25" spans="1:14">
      <c r="A25" s="3">
        <v>0.7</v>
      </c>
      <c r="B25">
        <f t="shared" si="0"/>
        <v>9.9202684555555832E-4</v>
      </c>
      <c r="C25" s="52">
        <f t="shared" si="1"/>
        <v>8.6096999999999979E-2</v>
      </c>
    </row>
    <row r="26" spans="1:14">
      <c r="A26" s="3">
        <v>0.8</v>
      </c>
      <c r="B26">
        <f t="shared" si="0"/>
        <v>1.3311017955555593E-3</v>
      </c>
      <c r="C26" s="52">
        <f t="shared" si="1"/>
        <v>9.2047999999999991E-2</v>
      </c>
    </row>
    <row r="27" spans="1:14">
      <c r="A27" s="3">
        <v>0.9</v>
      </c>
      <c r="B27">
        <f t="shared" si="0"/>
        <v>1.7460219211111157E-3</v>
      </c>
      <c r="C27" s="52">
        <f t="shared" si="1"/>
        <v>9.7998999999999989E-2</v>
      </c>
    </row>
    <row r="28" spans="1:14">
      <c r="A28" s="3">
        <v>1</v>
      </c>
      <c r="B28">
        <f t="shared" si="0"/>
        <v>2.2367872222222277E-3</v>
      </c>
      <c r="C28" s="52">
        <f t="shared" si="1"/>
        <v>0.10394999999999999</v>
      </c>
    </row>
    <row r="31" spans="1:14">
      <c r="N31" s="13"/>
    </row>
  </sheetData>
  <phoneticPr fontId="18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42"/>
  <sheetViews>
    <sheetView workbookViewId="0">
      <selection activeCell="B41" sqref="B41"/>
    </sheetView>
  </sheetViews>
  <sheetFormatPr baseColWidth="10" defaultColWidth="8.83203125" defaultRowHeight="13"/>
  <cols>
    <col min="1" max="1" width="24.1640625" customWidth="1"/>
    <col min="2" max="4" width="11.33203125" customWidth="1"/>
    <col min="5" max="5" width="21.83203125" bestFit="1" customWidth="1"/>
  </cols>
  <sheetData>
    <row r="1" spans="1:4" ht="18">
      <c r="A1" s="47" t="s">
        <v>62</v>
      </c>
      <c r="B1" s="47"/>
      <c r="C1" s="47"/>
      <c r="D1" s="47"/>
    </row>
    <row r="2" spans="1:4" s="3" customFormat="1" ht="14">
      <c r="A2" s="10" t="s">
        <v>63</v>
      </c>
      <c r="B2" s="11" t="s">
        <v>64</v>
      </c>
      <c r="C2" s="11" t="s">
        <v>65</v>
      </c>
      <c r="D2" s="11" t="s">
        <v>66</v>
      </c>
    </row>
    <row r="3" spans="1:4">
      <c r="A3" s="9">
        <v>41579</v>
      </c>
      <c r="B3" s="4">
        <v>3.2467532467532312E-2</v>
      </c>
      <c r="C3" s="4">
        <v>1.9742143432715409E-2</v>
      </c>
      <c r="D3" s="4">
        <v>5.5405405405405395E-2</v>
      </c>
    </row>
    <row r="4" spans="1:4">
      <c r="A4" s="9">
        <v>41610</v>
      </c>
      <c r="B4" s="4">
        <v>1.6720355882804183E-2</v>
      </c>
      <c r="C4" s="4">
        <v>6.0055314105096791E-2</v>
      </c>
      <c r="D4" s="4">
        <v>-2.2919334186939699E-2</v>
      </c>
    </row>
    <row r="5" spans="1:4">
      <c r="A5" s="9">
        <v>41641</v>
      </c>
      <c r="B5" s="4">
        <v>-8.2302353651176774E-2</v>
      </c>
      <c r="C5" s="4">
        <v>-0.10361535594483784</v>
      </c>
      <c r="D5" s="4">
        <v>-5.0976280959245224E-2</v>
      </c>
    </row>
    <row r="6" spans="1:4">
      <c r="A6" s="9">
        <v>41673</v>
      </c>
      <c r="B6" s="4">
        <v>3.5018495684340234E-2</v>
      </c>
      <c r="C6" s="4">
        <v>2.2453222453222343E-2</v>
      </c>
      <c r="D6" s="4">
        <v>2.7616680474995547E-4</v>
      </c>
    </row>
    <row r="7" spans="1:4">
      <c r="A7" s="9">
        <v>41701</v>
      </c>
      <c r="B7" s="4">
        <v>-2.6606306091652709E-2</v>
      </c>
      <c r="C7" s="4">
        <v>1.6673444489629929E-2</v>
      </c>
      <c r="D7" s="4">
        <v>2.9817780231915947E-2</v>
      </c>
    </row>
    <row r="8" spans="1:4">
      <c r="A8" s="9">
        <v>41730</v>
      </c>
      <c r="B8" s="4">
        <v>2.8149477806788559E-2</v>
      </c>
      <c r="C8" s="4">
        <v>3.839999999999999E-2</v>
      </c>
      <c r="D8" s="4">
        <v>4.2895442359249358E-2</v>
      </c>
    </row>
    <row r="9" spans="1:4">
      <c r="A9" s="9">
        <v>41760</v>
      </c>
      <c r="B9" s="4">
        <v>5.4122688675501962E-2</v>
      </c>
      <c r="C9" s="4">
        <v>-3.8520801232666546E-3</v>
      </c>
      <c r="D9" s="4">
        <v>-3.0976863753213291E-2</v>
      </c>
    </row>
    <row r="10" spans="1:4">
      <c r="A10" s="9">
        <v>41792</v>
      </c>
      <c r="B10" s="4">
        <v>-5.9248663705488314E-2</v>
      </c>
      <c r="C10" s="4">
        <v>-1.0827532869296275E-2</v>
      </c>
      <c r="D10" s="4">
        <v>-2.2151478975991568E-2</v>
      </c>
    </row>
    <row r="11" spans="1:4">
      <c r="A11" s="9">
        <v>41821</v>
      </c>
      <c r="B11" s="4">
        <v>-5.3056978233034569E-2</v>
      </c>
      <c r="C11" s="4">
        <v>-4.3002345582486279E-2</v>
      </c>
      <c r="D11" s="4">
        <v>-1.980466630493749E-2</v>
      </c>
    </row>
    <row r="12" spans="1:4">
      <c r="A12" s="9">
        <v>41852</v>
      </c>
      <c r="B12" s="4">
        <v>5.881855826924709E-2</v>
      </c>
      <c r="C12" s="4">
        <v>3.308823529411753E-2</v>
      </c>
      <c r="D12" s="4">
        <v>3.2798228618876157E-2</v>
      </c>
    </row>
    <row r="13" spans="1:4">
      <c r="A13" s="9">
        <v>41884</v>
      </c>
      <c r="B13" s="4">
        <v>4.5494452869343505E-3</v>
      </c>
      <c r="C13" s="4">
        <v>-5.5357848952155564E-3</v>
      </c>
      <c r="D13" s="4">
        <v>1.2863459734691274E-2</v>
      </c>
    </row>
    <row r="14" spans="1:4">
      <c r="A14" s="9">
        <v>41913</v>
      </c>
      <c r="B14" s="4">
        <v>-1.9386620054028247E-2</v>
      </c>
      <c r="C14" s="4">
        <v>7.5546719681909291E-3</v>
      </c>
      <c r="D14" s="4">
        <v>-2.6458526260088044E-3</v>
      </c>
    </row>
    <row r="15" spans="1:4">
      <c r="A15" s="9">
        <v>41946</v>
      </c>
      <c r="B15" s="4">
        <v>8.1915410792416044E-2</v>
      </c>
      <c r="C15" s="4">
        <v>2.6045777426992878E-2</v>
      </c>
      <c r="D15" s="4">
        <v>0.1477649555643985</v>
      </c>
    </row>
    <row r="16" spans="1:4">
      <c r="A16" s="9">
        <v>41974</v>
      </c>
      <c r="B16" s="4">
        <v>-3.2576949000224675E-2</v>
      </c>
      <c r="C16" s="4">
        <v>-3.6923076923076947E-2</v>
      </c>
      <c r="D16" s="4">
        <v>-1.3405755229400129E-2</v>
      </c>
    </row>
    <row r="17" spans="1:4">
      <c r="A17" s="9">
        <v>42006</v>
      </c>
      <c r="B17" s="4">
        <v>0.11843938690199707</v>
      </c>
      <c r="C17" s="4">
        <v>-5.4712460063897628E-2</v>
      </c>
      <c r="D17" s="4">
        <v>-1.0542345086095861E-2</v>
      </c>
    </row>
    <row r="18" spans="1:4">
      <c r="A18" s="9">
        <v>42037</v>
      </c>
      <c r="B18" s="4">
        <v>4.4089147286821673E-2</v>
      </c>
      <c r="C18" s="4">
        <v>9.8014364174059843E-2</v>
      </c>
      <c r="D18" s="4">
        <v>-1.2312063454480771E-2</v>
      </c>
    </row>
    <row r="19" spans="1:4">
      <c r="A19" s="9">
        <v>42065</v>
      </c>
      <c r="B19" s="4">
        <v>-5.1044083526681217E-3</v>
      </c>
      <c r="C19" s="4">
        <v>-4.540207772220084E-2</v>
      </c>
      <c r="D19" s="4">
        <v>-1.4143593431619417E-2</v>
      </c>
    </row>
    <row r="20" spans="1:4">
      <c r="A20" s="9">
        <v>42095</v>
      </c>
      <c r="B20" s="4">
        <v>-9.5948827292112737E-3</v>
      </c>
      <c r="C20" s="4">
        <v>1.2091898428052694E-3</v>
      </c>
      <c r="D20" s="4">
        <v>-1.8723404255319265E-2</v>
      </c>
    </row>
    <row r="22" spans="1:4">
      <c r="A22" s="19" t="s">
        <v>119</v>
      </c>
      <c r="B22" s="23">
        <f>AVERAGE(B3:B20)</f>
        <v>1.0356296513161044E-2</v>
      </c>
      <c r="C22" s="23">
        <f t="shared" ref="C22:D22" si="0">AVERAGE(C3:C20)</f>
        <v>1.0758693923640496E-3</v>
      </c>
      <c r="D22" s="23">
        <f t="shared" si="0"/>
        <v>5.7344333586686154E-3</v>
      </c>
    </row>
    <row r="23" spans="1:4">
      <c r="A23" s="64" t="s">
        <v>120</v>
      </c>
      <c r="B23" s="23">
        <f>_xlfn.VAR.S(B3:B20)</f>
        <v>2.6985614251149627E-3</v>
      </c>
      <c r="C23" s="23">
        <f t="shared" ref="C23:D23" si="1">_xlfn.VAR.S(C3:C20)</f>
        <v>2.1668830484699356E-3</v>
      </c>
      <c r="D23" s="23">
        <f t="shared" si="1"/>
        <v>2.0146545591977374E-3</v>
      </c>
    </row>
    <row r="24" spans="1:4">
      <c r="A24" t="s">
        <v>5</v>
      </c>
      <c r="B24" s="38">
        <f>_xlfn.STDEV.S(B3:B20)</f>
        <v>5.1947679689423688E-2</v>
      </c>
      <c r="C24" s="38">
        <f>_xlfn.STDEV.S(C3:C20)</f>
        <v>4.6549791067951485E-2</v>
      </c>
      <c r="D24" s="38">
        <f>_xlfn.STDEV.S(D3:D20)</f>
        <v>4.4884903466507947E-2</v>
      </c>
    </row>
    <row r="25" spans="1:4">
      <c r="A25" t="s">
        <v>8</v>
      </c>
    </row>
    <row r="26" spans="1:4">
      <c r="A26" s="39" t="s">
        <v>67</v>
      </c>
      <c r="B26" s="7">
        <f>_xlfn.COVARIANCE.S(B3:B20,C3:C20)</f>
        <v>1.0166423425632251E-3</v>
      </c>
    </row>
    <row r="27" spans="1:4">
      <c r="A27" s="39" t="s">
        <v>68</v>
      </c>
      <c r="B27" s="7">
        <f>_xlfn.COVARIANCE.S(B3:B20,D3:D20)</f>
        <v>1.0995839404716792E-3</v>
      </c>
    </row>
    <row r="28" spans="1:4">
      <c r="A28" s="39" t="s">
        <v>69</v>
      </c>
      <c r="B28" s="7">
        <f>_xlfn.COVARIANCE.S(C3:C20,D3:D20)</f>
        <v>7.9863863555373286E-4</v>
      </c>
    </row>
    <row r="30" spans="1:4">
      <c r="A30" t="s">
        <v>70</v>
      </c>
    </row>
    <row r="31" spans="1:4">
      <c r="A31" s="39" t="s">
        <v>71</v>
      </c>
      <c r="B31" s="7">
        <f>CORREL(B3:B20,C3:C20)</f>
        <v>0.42042090602718646</v>
      </c>
    </row>
    <row r="32" spans="1:4">
      <c r="A32" s="39" t="s">
        <v>72</v>
      </c>
      <c r="B32" s="7">
        <f>CORREL(B3:B20,D3:D20)</f>
        <v>0.4715871240129671</v>
      </c>
    </row>
    <row r="33" spans="1:2">
      <c r="A33" s="39" t="s">
        <v>73</v>
      </c>
      <c r="B33" s="7">
        <f>CORREL(C3:C20,D3:D20)</f>
        <v>0.38223661339568754</v>
      </c>
    </row>
    <row r="35" spans="1:2">
      <c r="A35" t="s">
        <v>74</v>
      </c>
    </row>
    <row r="36" spans="1:2">
      <c r="A36" s="39" t="s">
        <v>64</v>
      </c>
      <c r="B36">
        <v>0.5</v>
      </c>
    </row>
    <row r="37" spans="1:2">
      <c r="A37" s="39" t="s">
        <v>65</v>
      </c>
      <c r="B37">
        <v>0.3</v>
      </c>
    </row>
    <row r="38" spans="1:2">
      <c r="A38" s="39" t="s">
        <v>66</v>
      </c>
      <c r="B38">
        <f>1-B36-B37</f>
        <v>0.2</v>
      </c>
    </row>
    <row r="40" spans="1:2">
      <c r="A40" t="s">
        <v>75</v>
      </c>
      <c r="B40" s="38">
        <f>B36*B22+B37*C22+B38*D22</f>
        <v>6.6477957460234598E-3</v>
      </c>
    </row>
    <row r="41" spans="1:2">
      <c r="A41" s="39" t="s">
        <v>76</v>
      </c>
      <c r="B41" s="40">
        <f>B36*B36*B23+B37*B37*C23+B38*B38*D23+2*B36*B37*B26+2*B37*B38*B28+2*B36*B38*B27</f>
        <v>1.5709921401386956E-3</v>
      </c>
    </row>
    <row r="42" spans="1:2">
      <c r="A42" t="s">
        <v>60</v>
      </c>
      <c r="B42" s="38">
        <f>SQRT(B41)</f>
        <v>3.9635743214158296E-2</v>
      </c>
    </row>
  </sheetData>
  <mergeCells count="1">
    <mergeCell ref="A1:D1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18100-BD3B-7D4E-9A22-54F94E630FE9}">
  <dimension ref="A2:E41"/>
  <sheetViews>
    <sheetView workbookViewId="0">
      <selection activeCell="B38" sqref="B38"/>
    </sheetView>
  </sheetViews>
  <sheetFormatPr baseColWidth="10" defaultRowHeight="13"/>
  <cols>
    <col min="1" max="1" width="21.33203125" bestFit="1" customWidth="1"/>
  </cols>
  <sheetData>
    <row r="2" spans="1:5">
      <c r="B2" s="19" t="s">
        <v>121</v>
      </c>
      <c r="C2" s="19" t="s">
        <v>122</v>
      </c>
      <c r="D2" s="19" t="s">
        <v>123</v>
      </c>
      <c r="E2" s="19" t="s">
        <v>124</v>
      </c>
    </row>
    <row r="3" spans="1:5">
      <c r="A3" s="66">
        <f>ORCL!A3</f>
        <v>41306</v>
      </c>
      <c r="B3" s="52">
        <f>ORCL!F3/ORCL!F2-1</f>
        <v>-3.5764488176366904E-2</v>
      </c>
      <c r="C3" s="52">
        <f>IBM!F3/IBM!F2-1</f>
        <v>-1.1030559903942638E-2</v>
      </c>
      <c r="D3" s="57">
        <f>MSFT!F3/MSFT!F2-1</f>
        <v>1.2750439168745631E-2</v>
      </c>
      <c r="E3" s="57">
        <f>FVINX!F3/FVINX!F2-1</f>
        <v>1.3389383422029777E-2</v>
      </c>
    </row>
    <row r="4" spans="1:5">
      <c r="A4" s="66">
        <f>ORCL!A4</f>
        <v>41334</v>
      </c>
      <c r="B4" s="52">
        <f>ORCL!F4/ORCL!F3-1</f>
        <v>-5.5782830623197222E-2</v>
      </c>
      <c r="C4" s="52">
        <f>IBM!F4/IBM!F3-1</f>
        <v>6.6562596803133811E-2</v>
      </c>
      <c r="D4" s="57">
        <f>MSFT!F4/MSFT!F3-1</f>
        <v>3.7657384883672318E-2</v>
      </c>
      <c r="E4" s="57">
        <f>FVINX!F4/FVINX!F3-1</f>
        <v>3.2780923957264507E-2</v>
      </c>
    </row>
    <row r="5" spans="1:5">
      <c r="A5" s="66">
        <f>ORCL!A5</f>
        <v>41365</v>
      </c>
      <c r="B5" s="52">
        <f>ORCL!F5/ORCL!F4-1</f>
        <v>1.3919185158779435E-2</v>
      </c>
      <c r="C5" s="52">
        <f>IBM!F5/IBM!F4-1</f>
        <v>-5.0445235758316276E-2</v>
      </c>
      <c r="D5" s="57">
        <f>MSFT!F5/MSFT!F4-1</f>
        <v>0.15693774500927526</v>
      </c>
      <c r="E5" s="57">
        <f>FVINX!F5/FVINX!F4-1</f>
        <v>2.3591910771122437E-2</v>
      </c>
    </row>
    <row r="6" spans="1:5">
      <c r="A6" s="66">
        <f>ORCL!A6</f>
        <v>41395</v>
      </c>
      <c r="B6" s="52">
        <f>ORCL!F6/ORCL!F5-1</f>
        <v>3.0506592385938225E-2</v>
      </c>
      <c r="C6" s="52">
        <f>IBM!F6/IBM!F5-1</f>
        <v>2.705659152125528E-2</v>
      </c>
      <c r="D6" s="57">
        <f>MSFT!F6/MSFT!F5-1</f>
        <v>5.4381000117075473E-2</v>
      </c>
      <c r="E6" s="57">
        <f>FVINX!F6/FVINX!F5-1</f>
        <v>2.3275450075486814E-2</v>
      </c>
    </row>
    <row r="7" spans="1:5">
      <c r="A7" s="66">
        <f>ORCL!A7</f>
        <v>41426</v>
      </c>
      <c r="B7" s="52">
        <f>ORCL!F7/ORCL!F6-1</f>
        <v>-9.0882181969591191E-2</v>
      </c>
      <c r="C7" s="52">
        <f>IBM!F7/IBM!F6-1</f>
        <v>-7.6984339351133579E-2</v>
      </c>
      <c r="D7" s="57">
        <f>MSFT!F7/MSFT!F6-1</f>
        <v>-3.3753903866470258E-3</v>
      </c>
      <c r="E7" s="57">
        <f>FVINX!F7/FVINX!F6-1</f>
        <v>-1.8170393996434386E-2</v>
      </c>
    </row>
    <row r="8" spans="1:5">
      <c r="A8" s="66">
        <f>ORCL!A8</f>
        <v>41456</v>
      </c>
      <c r="B8" s="52">
        <f>ORCL!F8/ORCL!F7-1</f>
        <v>5.3402610869063061E-2</v>
      </c>
      <c r="C8" s="52">
        <f>IBM!F8/IBM!F7-1</f>
        <v>2.0564011026707796E-2</v>
      </c>
      <c r="D8" s="57">
        <f>MSFT!F8/MSFT!F7-1</f>
        <v>-7.8170082636220384E-2</v>
      </c>
      <c r="E8" s="57">
        <f>FVINX!F8/FVINX!F7-1</f>
        <v>5.5727849250232886E-2</v>
      </c>
    </row>
    <row r="9" spans="1:5">
      <c r="A9" s="66">
        <f>ORCL!A9</f>
        <v>41487</v>
      </c>
      <c r="B9" s="52">
        <f>ORCL!F9/ORCL!F8-1</f>
        <v>-1.1382958165921053E-2</v>
      </c>
      <c r="C9" s="52">
        <f>IBM!F9/IBM!F8-1</f>
        <v>-6.5473253864748338E-2</v>
      </c>
      <c r="D9" s="57">
        <f>MSFT!F9/MSFT!F8-1</f>
        <v>4.8994824320162111E-2</v>
      </c>
      <c r="E9" s="57">
        <f>FVINX!F9/FVINX!F8-1</f>
        <v>-2.9118611576709585E-2</v>
      </c>
    </row>
    <row r="10" spans="1:5">
      <c r="A10" s="66">
        <f>ORCL!A10</f>
        <v>41518</v>
      </c>
      <c r="B10" s="52">
        <f>ORCL!F10/ORCL!F9-1</f>
        <v>4.1117286068767855E-2</v>
      </c>
      <c r="C10" s="52">
        <f>IBM!F10/IBM!F9-1</f>
        <v>2.1043592809949718E-2</v>
      </c>
      <c r="D10" s="57">
        <f>MSFT!F10/MSFT!F9-1</f>
        <v>3.4285020521218623E-3</v>
      </c>
      <c r="E10" s="57">
        <f>FVINX!F10/FVINX!F9-1</f>
        <v>2.6350537293581278E-2</v>
      </c>
    </row>
    <row r="11" spans="1:5">
      <c r="A11" s="66">
        <f>ORCL!A11</f>
        <v>41548</v>
      </c>
      <c r="B11" s="52">
        <f>ORCL!F11/ORCL!F10-1</f>
        <v>9.9490743708399165E-3</v>
      </c>
      <c r="C11" s="52">
        <f>IBM!F11/IBM!F10-1</f>
        <v>-3.2238474155254715E-2</v>
      </c>
      <c r="D11" s="57">
        <f>MSFT!F11/MSFT!F10-1</f>
        <v>6.4002251951619682E-2</v>
      </c>
      <c r="E11" s="57">
        <f>FVINX!F11/FVINX!F10-1</f>
        <v>5.0787167836813252E-2</v>
      </c>
    </row>
    <row r="12" spans="1:5">
      <c r="A12" s="66">
        <f>ORCL!A12</f>
        <v>41579</v>
      </c>
      <c r="B12" s="52">
        <f>ORCL!F12/ORCL!F11-1</f>
        <v>5.7249494427346947E-2</v>
      </c>
      <c r="C12" s="52">
        <f>IBM!F12/IBM!F11-1</f>
        <v>2.6221791193807853E-3</v>
      </c>
      <c r="D12" s="57">
        <f>MSFT!F12/MSFT!F11-1</f>
        <v>7.6814440325784661E-2</v>
      </c>
      <c r="E12" s="57">
        <f>FVINX!F12/FVINX!F11-1</f>
        <v>3.0284555390228229E-2</v>
      </c>
    </row>
    <row r="13" spans="1:5">
      <c r="A13" s="66">
        <f>ORCL!A13</f>
        <v>41609</v>
      </c>
      <c r="B13" s="52">
        <f>ORCL!F13/ORCL!F12-1</f>
        <v>8.4159678831680962E-2</v>
      </c>
      <c r="C13" s="52">
        <f>IBM!F13/IBM!F12-1</f>
        <v>4.9517839653681284E-2</v>
      </c>
      <c r="D13" s="57">
        <f>MSFT!F13/MSFT!F12-1</f>
        <v>-1.1441840019622562E-2</v>
      </c>
      <c r="E13" s="57">
        <f>FVINX!F13/FVINX!F12-1</f>
        <v>1.9875271918376791E-2</v>
      </c>
    </row>
    <row r="14" spans="1:5">
      <c r="A14" s="66">
        <f>ORCL!A14</f>
        <v>41640</v>
      </c>
      <c r="B14" s="52">
        <f>ORCL!F14/ORCL!F13-1</f>
        <v>-3.5546351836806656E-2</v>
      </c>
      <c r="C14" s="52">
        <f>IBM!F14/IBM!F13-1</f>
        <v>-5.8058433281066746E-2</v>
      </c>
      <c r="D14" s="57">
        <f>MSFT!F14/MSFT!F13-1</f>
        <v>1.149399287590458E-2</v>
      </c>
      <c r="E14" s="57">
        <f>FVINX!F14/FVINX!F13-1</f>
        <v>-2.9683482319370347E-2</v>
      </c>
    </row>
    <row r="15" spans="1:5">
      <c r="A15" s="66">
        <f>ORCL!A15</f>
        <v>41671</v>
      </c>
      <c r="B15" s="52">
        <f>ORCL!F15/ORCL!F14-1</f>
        <v>6.3263088207306861E-2</v>
      </c>
      <c r="C15" s="52">
        <f>IBM!F15/IBM!F14-1</f>
        <v>4.805272337618649E-2</v>
      </c>
      <c r="D15" s="57">
        <f>MSFT!F15/MSFT!F14-1</f>
        <v>1.2420664667548653E-2</v>
      </c>
      <c r="E15" s="57">
        <f>FVINX!F15/FVINX!F14-1</f>
        <v>4.5606471462551701E-2</v>
      </c>
    </row>
    <row r="16" spans="1:5">
      <c r="A16" s="66">
        <f>ORCL!A16</f>
        <v>41699</v>
      </c>
      <c r="B16" s="52">
        <f>ORCL!F16/ORCL!F15-1</f>
        <v>4.6024460061770522E-2</v>
      </c>
      <c r="C16" s="52">
        <f>IBM!F16/IBM!F15-1</f>
        <v>4.5230302548399104E-2</v>
      </c>
      <c r="D16" s="57">
        <f>MSFT!F16/MSFT!F15-1</f>
        <v>7.797915832035307E-2</v>
      </c>
      <c r="E16" s="57">
        <f>FVINX!F16/FVINX!F15-1</f>
        <v>3.954587204811455E-3</v>
      </c>
    </row>
    <row r="17" spans="1:5">
      <c r="A17" s="66">
        <f>ORCL!A17</f>
        <v>41730</v>
      </c>
      <c r="B17" s="52">
        <f>ORCL!F17/ORCL!F16-1</f>
        <v>-7.3329173801783831E-4</v>
      </c>
      <c r="C17" s="52">
        <f>IBM!F17/IBM!F16-1</f>
        <v>2.0676355211263653E-2</v>
      </c>
      <c r="D17" s="57">
        <f>MSFT!F17/MSFT!F16-1</f>
        <v>-1.4393821100516235E-2</v>
      </c>
      <c r="E17" s="57">
        <f>FVINX!F17/FVINX!F16-1</f>
        <v>1.1525485641549427E-2</v>
      </c>
    </row>
    <row r="18" spans="1:5">
      <c r="A18" s="66">
        <f>ORCL!A18</f>
        <v>41760</v>
      </c>
      <c r="B18" s="52">
        <f>ORCL!F18/ORCL!F17-1</f>
        <v>3.0950999685115166E-2</v>
      </c>
      <c r="C18" s="52">
        <f>IBM!F18/IBM!F17-1</f>
        <v>-6.163768648768897E-2</v>
      </c>
      <c r="D18" s="57">
        <f>MSFT!F18/MSFT!F17-1</f>
        <v>1.3366423495727586E-2</v>
      </c>
      <c r="E18" s="57">
        <f>FVINX!F18/FVINX!F17-1</f>
        <v>2.3349752332396445E-2</v>
      </c>
    </row>
    <row r="19" spans="1:5">
      <c r="A19" s="66">
        <f>ORCL!A19</f>
        <v>41791</v>
      </c>
      <c r="B19" s="52">
        <f>ORCL!F19/ORCL!F18-1</f>
        <v>-3.5459565700428075E-2</v>
      </c>
      <c r="C19" s="52">
        <f>IBM!F19/IBM!F18-1</f>
        <v>-1.1036156788095108E-2</v>
      </c>
      <c r="D19" s="57">
        <f>MSFT!F19/MSFT!F18-1</f>
        <v>2.5749225026323153E-2</v>
      </c>
      <c r="E19" s="57">
        <f>FVINX!F19/FVINX!F18-1</f>
        <v>1.6241438733990865E-2</v>
      </c>
    </row>
    <row r="20" spans="1:5">
      <c r="A20" s="66">
        <f>ORCL!A20</f>
        <v>41821</v>
      </c>
      <c r="B20" s="52">
        <f>ORCL!F20/ORCL!F19-1</f>
        <v>-3.4540221074482735E-3</v>
      </c>
      <c r="C20" s="52">
        <f>IBM!F20/IBM!F19-1</f>
        <v>5.7372960818581786E-2</v>
      </c>
      <c r="D20" s="57">
        <f>MSFT!F20/MSFT!F19-1</f>
        <v>3.5012272073064343E-2</v>
      </c>
      <c r="E20" s="57">
        <f>FVINX!F20/FVINX!F19-1</f>
        <v>-9.7219779704104115E-3</v>
      </c>
    </row>
    <row r="21" spans="1:5">
      <c r="A21" s="66">
        <f>ORCL!A21</f>
        <v>41852</v>
      </c>
      <c r="B21" s="52">
        <f>ORCL!F21/ORCL!F20-1</f>
        <v>3.1218054848317411E-2</v>
      </c>
      <c r="C21" s="52">
        <f>IBM!F21/IBM!F20-1</f>
        <v>3.2867355921049057E-3</v>
      </c>
      <c r="D21" s="57">
        <f>MSFT!F21/MSFT!F20-1</f>
        <v>5.2595019150939004E-2</v>
      </c>
      <c r="E21" s="57">
        <f>FVINX!F21/FVINX!F20-1</f>
        <v>3.9871685519951683E-2</v>
      </c>
    </row>
    <row r="22" spans="1:5">
      <c r="A22" s="66">
        <f>ORCL!A22</f>
        <v>41883</v>
      </c>
      <c r="B22" s="52">
        <f>ORCL!F22/ORCL!F21-1</f>
        <v>-7.8256227698502157E-2</v>
      </c>
      <c r="C22" s="52">
        <f>IBM!F22/IBM!F21-1</f>
        <v>-7.006255733152944E-3</v>
      </c>
      <c r="D22" s="57">
        <f>MSFT!F22/MSFT!F21-1</f>
        <v>2.684450642322167E-2</v>
      </c>
      <c r="E22" s="57">
        <f>FVINX!F22/FVINX!F21-1</f>
        <v>-1.8551098189235504E-2</v>
      </c>
    </row>
    <row r="23" spans="1:5">
      <c r="A23" s="66">
        <f>ORCL!A23</f>
        <v>41913</v>
      </c>
      <c r="B23" s="52">
        <f>ORCL!F23/ORCL!F22-1</f>
        <v>2.011440430827327E-2</v>
      </c>
      <c r="C23" s="52">
        <f>IBM!F23/IBM!F22-1</f>
        <v>-0.13396200335278441</v>
      </c>
      <c r="D23" s="57">
        <f>MSFT!F23/MSFT!F22-1</f>
        <v>1.2726471494901803E-2</v>
      </c>
      <c r="E23" s="57">
        <f>FVINX!F23/FVINX!F22-1</f>
        <v>2.8791789225128817E-2</v>
      </c>
    </row>
    <row r="24" spans="1:5">
      <c r="A24" s="66">
        <f>ORCL!A24</f>
        <v>41944</v>
      </c>
      <c r="B24" s="52">
        <f>ORCL!F24/ORCL!F23-1</f>
        <v>8.9405206334001619E-2</v>
      </c>
      <c r="C24" s="52">
        <f>IBM!F24/IBM!F23-1</f>
        <v>-1.3564485519029446E-2</v>
      </c>
      <c r="D24" s="57">
        <f>MSFT!F24/MSFT!F23-1</f>
        <v>1.8317591826063406E-2</v>
      </c>
      <c r="E24" s="57">
        <f>FVINX!F24/FVINX!F23-1</f>
        <v>2.6824225176476313E-2</v>
      </c>
    </row>
    <row r="25" spans="1:5">
      <c r="A25" s="66">
        <f>ORCL!A25</f>
        <v>41974</v>
      </c>
      <c r="B25" s="52">
        <f>ORCL!F25/ORCL!F24-1</f>
        <v>6.0363259678541281E-2</v>
      </c>
      <c r="C25" s="52">
        <f>IBM!F25/IBM!F24-1</f>
        <v>-3.8966447138094606E-3</v>
      </c>
      <c r="D25" s="57">
        <f>MSFT!F25/MSFT!F24-1</f>
        <v>-2.2318400553556716E-2</v>
      </c>
      <c r="E25" s="57">
        <f>FVINX!F25/FVINX!F24-1</f>
        <v>-7.8890533506399407E-3</v>
      </c>
    </row>
    <row r="26" spans="1:5">
      <c r="A26" s="66"/>
    </row>
    <row r="27" spans="1:5">
      <c r="A27" s="68" t="s">
        <v>94</v>
      </c>
      <c r="B27" s="54">
        <f>AVERAGE(B3:B25)</f>
        <v>1.2364412053020137E-2</v>
      </c>
      <c r="C27" s="54">
        <f t="shared" ref="C27:E27" si="0">AVERAGE(C3:C25)</f>
        <v>-7.1020713229729571E-3</v>
      </c>
      <c r="D27" s="54">
        <f t="shared" si="0"/>
        <v>2.6598799064606146E-2</v>
      </c>
      <c r="E27" s="54">
        <f t="shared" si="0"/>
        <v>1.561277686126924E-2</v>
      </c>
    </row>
    <row r="28" spans="1:5">
      <c r="A28" s="69" t="s">
        <v>80</v>
      </c>
      <c r="B28">
        <f>_xlfn.VAR.S(B3:B25)</f>
        <v>2.4609997699448507E-3</v>
      </c>
      <c r="C28">
        <f t="shared" ref="C28:E28" si="1">_xlfn.VAR.S(C3:C25)</f>
        <v>2.4916758424217708E-3</v>
      </c>
      <c r="D28">
        <f t="shared" si="1"/>
        <v>2.0309630156326031E-3</v>
      </c>
      <c r="E28">
        <f t="shared" si="1"/>
        <v>5.9876999201630534E-4</v>
      </c>
    </row>
    <row r="29" spans="1:5">
      <c r="A29" s="69" t="s">
        <v>82</v>
      </c>
      <c r="B29">
        <f>_xlfn.STDEV.S(B3:B25)</f>
        <v>4.9608464700541283E-2</v>
      </c>
      <c r="C29">
        <f t="shared" ref="C29:E29" si="2">_xlfn.STDEV.S(C3:C25)</f>
        <v>4.9916689017018859E-2</v>
      </c>
      <c r="D29">
        <f t="shared" si="2"/>
        <v>4.5066207025138062E-2</v>
      </c>
      <c r="E29">
        <f t="shared" si="2"/>
        <v>2.4469777114152578E-2</v>
      </c>
    </row>
    <row r="30" spans="1:5">
      <c r="A30" s="68" t="s">
        <v>125</v>
      </c>
      <c r="B30" s="70">
        <v>0.33333333333333331</v>
      </c>
      <c r="C30" s="70">
        <v>0.33333333333333331</v>
      </c>
      <c r="D30" s="70">
        <v>0.33333333333333331</v>
      </c>
    </row>
    <row r="31" spans="1:5">
      <c r="A31" s="68" t="s">
        <v>127</v>
      </c>
      <c r="B31" s="71">
        <f>_xlfn.COVARIANCE.S(B3:B25,C3:C25)</f>
        <v>6.5865692345470775E-4</v>
      </c>
      <c r="C31" s="70"/>
      <c r="D31" s="70"/>
    </row>
    <row r="32" spans="1:5">
      <c r="A32" s="68" t="s">
        <v>128</v>
      </c>
      <c r="B32" s="71">
        <f>_xlfn.COVARIANCE.S(C3:C25,D3:D25)</f>
        <v>-2.0310833416098425E-4</v>
      </c>
      <c r="C32" s="70"/>
      <c r="D32" s="70"/>
    </row>
    <row r="33" spans="1:4">
      <c r="A33" s="68" t="s">
        <v>129</v>
      </c>
      <c r="B33" s="71">
        <f>_xlfn.COVARIANCE.S(D3:D25,B3:B25)</f>
        <v>-1.3847429515417609E-4</v>
      </c>
      <c r="C33" s="70"/>
      <c r="D33" s="70"/>
    </row>
    <row r="35" spans="1:4">
      <c r="A35" s="19" t="s">
        <v>126</v>
      </c>
    </row>
    <row r="36" spans="1:4">
      <c r="A36" s="19" t="s">
        <v>94</v>
      </c>
      <c r="B36" s="57">
        <f>B30*B27+C30*C27+D30*D27</f>
        <v>1.0620379931551108E-2</v>
      </c>
    </row>
    <row r="37" spans="1:4">
      <c r="A37" s="69" t="s">
        <v>80</v>
      </c>
      <c r="B37">
        <f>B30*B30*B28+C30*C30*C28+D30*D30*D28+2*B30*C30*B31+2*C30*D30*B32+2*D30*B30*B33</f>
        <v>8.4642080180870219E-4</v>
      </c>
    </row>
    <row r="38" spans="1:4">
      <c r="A38" s="69" t="s">
        <v>82</v>
      </c>
      <c r="B38">
        <f>SQRT(B37)</f>
        <v>2.9093311977303343E-2</v>
      </c>
    </row>
    <row r="40" spans="1:4">
      <c r="A40" s="19" t="s">
        <v>86</v>
      </c>
    </row>
    <row r="41" spans="1:4">
      <c r="A41" s="19" t="s">
        <v>130</v>
      </c>
    </row>
  </sheetData>
  <phoneticPr fontId="18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B7827-D93D-6742-9B48-D7AAF58065FE}">
  <dimension ref="A1:C26"/>
  <sheetViews>
    <sheetView workbookViewId="0">
      <selection activeCell="A26" sqref="A26"/>
    </sheetView>
  </sheetViews>
  <sheetFormatPr baseColWidth="10" defaultRowHeight="13"/>
  <sheetData>
    <row r="1" spans="1:3">
      <c r="B1" s="19" t="s">
        <v>131</v>
      </c>
      <c r="C1" s="19" t="s">
        <v>124</v>
      </c>
    </row>
    <row r="2" spans="1:3">
      <c r="A2" s="66">
        <f>ORCL!A3</f>
        <v>41306</v>
      </c>
      <c r="B2" s="52">
        <f>'EoC Exercise 14'!$B$30*'EoC Exercise 14'!B3+'EoC Exercise 14'!$C$30*'EoC Exercise 14'!C3+'EoC Exercise 14'!$D$30*'EoC Exercise 14'!D3</f>
        <v>-1.1348202970521302E-2</v>
      </c>
      <c r="C2" s="57">
        <f>'EoC Exercise 14'!E3</f>
        <v>1.3389383422029777E-2</v>
      </c>
    </row>
    <row r="3" spans="1:3">
      <c r="A3" s="66">
        <f>ORCL!A4</f>
        <v>41334</v>
      </c>
      <c r="B3" s="52">
        <f>'EoC Exercise 14'!$B$30*'EoC Exercise 14'!B4+'EoC Exercise 14'!$C$30*'EoC Exercise 14'!C4+'EoC Exercise 14'!$D$30*'EoC Exercise 14'!D4</f>
        <v>1.6145717021202967E-2</v>
      </c>
      <c r="C3" s="57">
        <f>'EoC Exercise 14'!E4</f>
        <v>3.2780923957264507E-2</v>
      </c>
    </row>
    <row r="4" spans="1:3">
      <c r="A4" s="66">
        <f>ORCL!A5</f>
        <v>41365</v>
      </c>
      <c r="B4" s="52">
        <f>'EoC Exercise 14'!$B$30*'EoC Exercise 14'!B5+'EoC Exercise 14'!$C$30*'EoC Exercise 14'!C5+'EoC Exercise 14'!$D$30*'EoC Exercise 14'!D5</f>
        <v>4.0137231469912805E-2</v>
      </c>
      <c r="C4" s="57">
        <f>'EoC Exercise 14'!E5</f>
        <v>2.3591910771122437E-2</v>
      </c>
    </row>
    <row r="5" spans="1:3">
      <c r="A5" s="66">
        <f>ORCL!A6</f>
        <v>41395</v>
      </c>
      <c r="B5" s="52">
        <f>'EoC Exercise 14'!$B$30*'EoC Exercise 14'!B6+'EoC Exercise 14'!$C$30*'EoC Exercise 14'!C6+'EoC Exercise 14'!$D$30*'EoC Exercise 14'!D6</f>
        <v>3.7314728008089659E-2</v>
      </c>
      <c r="C5" s="57">
        <f>'EoC Exercise 14'!E6</f>
        <v>2.3275450075486814E-2</v>
      </c>
    </row>
    <row r="6" spans="1:3">
      <c r="A6" s="66">
        <f>ORCL!A7</f>
        <v>41426</v>
      </c>
      <c r="B6" s="52">
        <f>'EoC Exercise 14'!$B$30*'EoC Exercise 14'!B7+'EoC Exercise 14'!$C$30*'EoC Exercise 14'!C7+'EoC Exercise 14'!$D$30*'EoC Exercise 14'!D7</f>
        <v>-5.7080637235790599E-2</v>
      </c>
      <c r="C6" s="57">
        <f>'EoC Exercise 14'!E7</f>
        <v>-1.8170393996434386E-2</v>
      </c>
    </row>
    <row r="7" spans="1:3">
      <c r="A7" s="66">
        <f>ORCL!A8</f>
        <v>41456</v>
      </c>
      <c r="B7" s="52">
        <f>'EoC Exercise 14'!$B$30*'EoC Exercise 14'!B8+'EoC Exercise 14'!$C$30*'EoC Exercise 14'!C8+'EoC Exercise 14'!$D$30*'EoC Exercise 14'!D8</f>
        <v>-1.4011535801498436E-3</v>
      </c>
      <c r="C7" s="57">
        <f>'EoC Exercise 14'!E8</f>
        <v>5.5727849250232886E-2</v>
      </c>
    </row>
    <row r="8" spans="1:3">
      <c r="A8" s="66">
        <f>ORCL!A9</f>
        <v>41487</v>
      </c>
      <c r="B8" s="52">
        <f>'EoC Exercise 14'!$B$30*'EoC Exercise 14'!B9+'EoC Exercise 14'!$C$30*'EoC Exercise 14'!C9+'EoC Exercise 14'!$D$30*'EoC Exercise 14'!D9</f>
        <v>-9.2871292368357575E-3</v>
      </c>
      <c r="C8" s="57">
        <f>'EoC Exercise 14'!E9</f>
        <v>-2.9118611576709585E-2</v>
      </c>
    </row>
    <row r="9" spans="1:3">
      <c r="A9" s="66">
        <f>ORCL!A10</f>
        <v>41518</v>
      </c>
      <c r="B9" s="52">
        <f>'EoC Exercise 14'!$B$30*'EoC Exercise 14'!B10+'EoC Exercise 14'!$C$30*'EoC Exercise 14'!C10+'EoC Exercise 14'!$D$30*'EoC Exercise 14'!D10</f>
        <v>2.1863126976946479E-2</v>
      </c>
      <c r="C9" s="57">
        <f>'EoC Exercise 14'!E10</f>
        <v>2.6350537293581278E-2</v>
      </c>
    </row>
    <row r="10" spans="1:3">
      <c r="A10" s="66">
        <f>ORCL!A11</f>
        <v>41548</v>
      </c>
      <c r="B10" s="52">
        <f>'EoC Exercise 14'!$B$30*'EoC Exercise 14'!B11+'EoC Exercise 14'!$C$30*'EoC Exercise 14'!C11+'EoC Exercise 14'!$D$30*'EoC Exercise 14'!D11</f>
        <v>1.3904284055734961E-2</v>
      </c>
      <c r="C10" s="57">
        <f>'EoC Exercise 14'!E11</f>
        <v>5.0787167836813252E-2</v>
      </c>
    </row>
    <row r="11" spans="1:3">
      <c r="A11" s="66">
        <f>ORCL!A12</f>
        <v>41579</v>
      </c>
      <c r="B11" s="52">
        <f>'EoC Exercise 14'!$B$30*'EoC Exercise 14'!B12+'EoC Exercise 14'!$C$30*'EoC Exercise 14'!C12+'EoC Exercise 14'!$D$30*'EoC Exercise 14'!D12</f>
        <v>4.5562037957504131E-2</v>
      </c>
      <c r="C11" s="57">
        <f>'EoC Exercise 14'!E12</f>
        <v>3.0284555390228229E-2</v>
      </c>
    </row>
    <row r="12" spans="1:3">
      <c r="A12" s="66">
        <f>ORCL!A13</f>
        <v>41609</v>
      </c>
      <c r="B12" s="52">
        <f>'EoC Exercise 14'!$B$30*'EoC Exercise 14'!B13+'EoC Exercise 14'!$C$30*'EoC Exercise 14'!C13+'EoC Exercise 14'!$D$30*'EoC Exercise 14'!D13</f>
        <v>4.0745226155246554E-2</v>
      </c>
      <c r="C12" s="57">
        <f>'EoC Exercise 14'!E13</f>
        <v>1.9875271918376791E-2</v>
      </c>
    </row>
    <row r="13" spans="1:3">
      <c r="A13" s="66">
        <f>ORCL!A14</f>
        <v>41640</v>
      </c>
      <c r="B13" s="52">
        <f>'EoC Exercise 14'!$B$30*'EoC Exercise 14'!B14+'EoC Exercise 14'!$C$30*'EoC Exercise 14'!C14+'EoC Exercise 14'!$D$30*'EoC Exercise 14'!D14</f>
        <v>-2.7370264080656272E-2</v>
      </c>
      <c r="C13" s="57">
        <f>'EoC Exercise 14'!E14</f>
        <v>-2.9683482319370347E-2</v>
      </c>
    </row>
    <row r="14" spans="1:3">
      <c r="A14" s="66">
        <f>ORCL!A15</f>
        <v>41671</v>
      </c>
      <c r="B14" s="52">
        <f>'EoC Exercise 14'!$B$30*'EoC Exercise 14'!B15+'EoC Exercise 14'!$C$30*'EoC Exercise 14'!C15+'EoC Exercise 14'!$D$30*'EoC Exercise 14'!D15</f>
        <v>4.1245492083680668E-2</v>
      </c>
      <c r="C14" s="57">
        <f>'EoC Exercise 14'!E15</f>
        <v>4.5606471462551701E-2</v>
      </c>
    </row>
    <row r="15" spans="1:3">
      <c r="A15" s="66">
        <f>ORCL!A16</f>
        <v>41699</v>
      </c>
      <c r="B15" s="52">
        <f>'EoC Exercise 14'!$B$30*'EoC Exercise 14'!B16+'EoC Exercise 14'!$C$30*'EoC Exercise 14'!C16+'EoC Exercise 14'!$D$30*'EoC Exercise 14'!D16</f>
        <v>5.6411306976840894E-2</v>
      </c>
      <c r="C15" s="57">
        <f>'EoC Exercise 14'!E16</f>
        <v>3.954587204811455E-3</v>
      </c>
    </row>
    <row r="16" spans="1:3">
      <c r="A16" s="66">
        <f>ORCL!A17</f>
        <v>41730</v>
      </c>
      <c r="B16" s="52">
        <f>'EoC Exercise 14'!$B$30*'EoC Exercise 14'!B17+'EoC Exercise 14'!$C$30*'EoC Exercise 14'!C17+'EoC Exercise 14'!$D$30*'EoC Exercise 14'!D17</f>
        <v>1.8497474575765267E-3</v>
      </c>
      <c r="C16" s="57">
        <f>'EoC Exercise 14'!E17</f>
        <v>1.1525485641549427E-2</v>
      </c>
    </row>
    <row r="17" spans="1:3">
      <c r="A17" s="66">
        <f>ORCL!A18</f>
        <v>41760</v>
      </c>
      <c r="B17" s="52">
        <f>'EoC Exercise 14'!$B$30*'EoC Exercise 14'!B18+'EoC Exercise 14'!$C$30*'EoC Exercise 14'!C18+'EoC Exercise 14'!$D$30*'EoC Exercise 14'!D18</f>
        <v>-5.7734211022820725E-3</v>
      </c>
      <c r="C17" s="57">
        <f>'EoC Exercise 14'!E18</f>
        <v>2.3349752332396445E-2</v>
      </c>
    </row>
    <row r="18" spans="1:3">
      <c r="A18" s="66">
        <f>ORCL!A19</f>
        <v>41791</v>
      </c>
      <c r="B18" s="52">
        <f>'EoC Exercise 14'!$B$30*'EoC Exercise 14'!B19+'EoC Exercise 14'!$C$30*'EoC Exercise 14'!C19+'EoC Exercise 14'!$D$30*'EoC Exercise 14'!D19</f>
        <v>-6.9154991540666764E-3</v>
      </c>
      <c r="C18" s="57">
        <f>'EoC Exercise 14'!E19</f>
        <v>1.6241438733990865E-2</v>
      </c>
    </row>
    <row r="19" spans="1:3">
      <c r="A19" s="66">
        <f>ORCL!A20</f>
        <v>41821</v>
      </c>
      <c r="B19" s="52">
        <f>'EoC Exercise 14'!$B$30*'EoC Exercise 14'!B20+'EoC Exercise 14'!$C$30*'EoC Exercise 14'!C20+'EoC Exercise 14'!$D$30*'EoC Exercise 14'!D20</f>
        <v>2.9643736928065954E-2</v>
      </c>
      <c r="C19" s="57">
        <f>'EoC Exercise 14'!E20</f>
        <v>-9.7219779704104115E-3</v>
      </c>
    </row>
    <row r="20" spans="1:3">
      <c r="A20" s="66">
        <f>ORCL!A21</f>
        <v>41852</v>
      </c>
      <c r="B20" s="52">
        <f>'EoC Exercise 14'!$B$30*'EoC Exercise 14'!B21+'EoC Exercise 14'!$C$30*'EoC Exercise 14'!C21+'EoC Exercise 14'!$D$30*'EoC Exercise 14'!D21</f>
        <v>2.9033269863787105E-2</v>
      </c>
      <c r="C20" s="57">
        <f>'EoC Exercise 14'!E21</f>
        <v>3.9871685519951683E-2</v>
      </c>
    </row>
    <row r="21" spans="1:3">
      <c r="A21" s="66">
        <f>ORCL!A22</f>
        <v>41883</v>
      </c>
      <c r="B21" s="52">
        <f>'EoC Exercise 14'!$B$30*'EoC Exercise 14'!B22+'EoC Exercise 14'!$C$30*'EoC Exercise 14'!C22+'EoC Exercise 14'!$D$30*'EoC Exercise 14'!D22</f>
        <v>-1.9472659002811143E-2</v>
      </c>
      <c r="C21" s="57">
        <f>'EoC Exercise 14'!E22</f>
        <v>-1.8551098189235504E-2</v>
      </c>
    </row>
    <row r="22" spans="1:3">
      <c r="A22" s="66">
        <f>ORCL!A23</f>
        <v>41913</v>
      </c>
      <c r="B22" s="52">
        <f>'EoC Exercise 14'!$B$30*'EoC Exercise 14'!B23+'EoC Exercise 14'!$C$30*'EoC Exercise 14'!C23+'EoC Exercise 14'!$D$30*'EoC Exercise 14'!D23</f>
        <v>-3.3707042516536445E-2</v>
      </c>
      <c r="C22" s="57">
        <f>'EoC Exercise 14'!E23</f>
        <v>2.8791789225128817E-2</v>
      </c>
    </row>
    <row r="23" spans="1:3">
      <c r="A23" s="66">
        <f>ORCL!A24</f>
        <v>41944</v>
      </c>
      <c r="B23" s="52">
        <f>'EoC Exercise 14'!$B$30*'EoC Exercise 14'!B24+'EoC Exercise 14'!$C$30*'EoC Exercise 14'!C24+'EoC Exercise 14'!$D$30*'EoC Exercise 14'!D24</f>
        <v>3.1386104213678524E-2</v>
      </c>
      <c r="C23" s="57">
        <f>'EoC Exercise 14'!E24</f>
        <v>2.6824225176476313E-2</v>
      </c>
    </row>
    <row r="24" spans="1:3">
      <c r="A24" s="66">
        <f>ORCL!A25</f>
        <v>41974</v>
      </c>
      <c r="B24" s="52">
        <f>'EoC Exercise 14'!$B$30*'EoC Exercise 14'!B25+'EoC Exercise 14'!$C$30*'EoC Exercise 14'!C25+'EoC Exercise 14'!$D$30*'EoC Exercise 14'!D25</f>
        <v>1.1382738137058365E-2</v>
      </c>
      <c r="C24" s="57">
        <f>'EoC Exercise 14'!E25</f>
        <v>-7.8890533506399407E-3</v>
      </c>
    </row>
    <row r="25" spans="1:3">
      <c r="A25" s="66"/>
    </row>
    <row r="26" spans="1:3">
      <c r="A26" s="66"/>
    </row>
  </sheetData>
  <phoneticPr fontId="18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0F6F5-4CB3-FA43-8184-0E17BD5E1C7E}">
  <dimension ref="A1:A8"/>
  <sheetViews>
    <sheetView workbookViewId="0">
      <selection activeCell="A9" sqref="A9"/>
    </sheetView>
  </sheetViews>
  <sheetFormatPr baseColWidth="10" defaultRowHeight="13"/>
  <sheetData>
    <row r="1" spans="1:1">
      <c r="A1" s="19" t="s">
        <v>85</v>
      </c>
    </row>
    <row r="2" spans="1:1">
      <c r="A2" s="19" t="s">
        <v>132</v>
      </c>
    </row>
    <row r="4" spans="1:1">
      <c r="A4" s="19" t="s">
        <v>86</v>
      </c>
    </row>
    <row r="5" spans="1:1">
      <c r="A5" s="19" t="s">
        <v>132</v>
      </c>
    </row>
    <row r="7" spans="1:1">
      <c r="A7" s="19" t="s">
        <v>87</v>
      </c>
    </row>
    <row r="8" spans="1:1">
      <c r="A8" s="19" t="s">
        <v>133</v>
      </c>
    </row>
  </sheetData>
  <phoneticPr fontId="18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33710-4083-CC47-A44B-502071538A54}">
  <dimension ref="A1:C33"/>
  <sheetViews>
    <sheetView workbookViewId="0">
      <selection activeCell="B9" sqref="B9"/>
    </sheetView>
  </sheetViews>
  <sheetFormatPr baseColWidth="10" defaultRowHeight="13"/>
  <cols>
    <col min="1" max="1" width="15.5" bestFit="1" customWidth="1"/>
  </cols>
  <sheetData>
    <row r="1" spans="1:3">
      <c r="A1" s="19" t="s">
        <v>134</v>
      </c>
      <c r="B1">
        <v>0.02</v>
      </c>
    </row>
    <row r="2" spans="1:3">
      <c r="A2" s="19" t="s">
        <v>135</v>
      </c>
      <c r="B2">
        <v>0.06</v>
      </c>
    </row>
    <row r="3" spans="1:3">
      <c r="A3" s="72" t="s">
        <v>137</v>
      </c>
      <c r="B3">
        <v>0.1</v>
      </c>
    </row>
    <row r="4" spans="1:3">
      <c r="A4" s="72" t="s">
        <v>136</v>
      </c>
      <c r="B4">
        <v>0.15</v>
      </c>
    </row>
    <row r="6" spans="1:3">
      <c r="A6" s="19" t="s">
        <v>139</v>
      </c>
      <c r="B6">
        <v>0.6</v>
      </c>
    </row>
    <row r="7" spans="1:3">
      <c r="A7" s="19" t="s">
        <v>138</v>
      </c>
      <c r="B7">
        <f>B6*B1+(1-B6)*B2</f>
        <v>3.6000000000000004E-2</v>
      </c>
    </row>
    <row r="8" spans="1:3">
      <c r="A8" s="19" t="s">
        <v>140</v>
      </c>
      <c r="B8">
        <f>B6*B6*B3*B3+(1-B6)*(1-B6)*B4*B4+2*B6*(1-B6)*(-B3*B4)</f>
        <v>0</v>
      </c>
    </row>
    <row r="10" spans="1:3">
      <c r="A10" s="19" t="s">
        <v>139</v>
      </c>
      <c r="B10" s="19">
        <f>B7</f>
        <v>3.6000000000000004E-2</v>
      </c>
      <c r="C10">
        <f>B8</f>
        <v>0</v>
      </c>
    </row>
    <row r="11" spans="1:3">
      <c r="A11">
        <v>0</v>
      </c>
      <c r="B11">
        <f t="dataTable" ref="B11:C31" dt2D="0" dtr="0" r1="B6"/>
        <v>0.06</v>
      </c>
      <c r="C11">
        <v>2.2499999999999999E-2</v>
      </c>
    </row>
    <row r="12" spans="1:3">
      <c r="A12">
        <v>0.05</v>
      </c>
      <c r="B12">
        <v>5.7999999999999996E-2</v>
      </c>
      <c r="C12">
        <v>1.8906249999999999E-2</v>
      </c>
    </row>
    <row r="13" spans="1:3">
      <c r="A13">
        <v>0.1</v>
      </c>
      <c r="B13">
        <v>5.6000000000000001E-2</v>
      </c>
      <c r="C13">
        <v>1.5624999999999997E-2</v>
      </c>
    </row>
    <row r="14" spans="1:3">
      <c r="A14">
        <v>0.15</v>
      </c>
      <c r="B14">
        <v>5.3999999999999999E-2</v>
      </c>
      <c r="C14">
        <v>1.2656249999999996E-2</v>
      </c>
    </row>
    <row r="15" spans="1:3">
      <c r="A15">
        <v>0.2</v>
      </c>
      <c r="B15">
        <v>5.2000000000000005E-2</v>
      </c>
      <c r="C15">
        <v>0.01</v>
      </c>
    </row>
    <row r="16" spans="1:3">
      <c r="A16">
        <v>0.25</v>
      </c>
      <c r="B16">
        <v>4.9999999999999996E-2</v>
      </c>
      <c r="C16">
        <v>7.6562499999999999E-3</v>
      </c>
    </row>
    <row r="17" spans="1:3">
      <c r="A17">
        <v>0.3</v>
      </c>
      <c r="B17">
        <v>4.7999999999999994E-2</v>
      </c>
      <c r="C17">
        <v>5.6249999999999972E-3</v>
      </c>
    </row>
    <row r="18" spans="1:3">
      <c r="A18">
        <v>0.35</v>
      </c>
      <c r="B18">
        <v>4.5999999999999999E-2</v>
      </c>
      <c r="C18">
        <v>3.90625E-3</v>
      </c>
    </row>
    <row r="19" spans="1:3">
      <c r="A19">
        <v>0.4</v>
      </c>
      <c r="B19">
        <v>4.3999999999999997E-2</v>
      </c>
      <c r="C19">
        <v>2.5000000000000005E-3</v>
      </c>
    </row>
    <row r="20" spans="1:3">
      <c r="A20">
        <v>0.45</v>
      </c>
      <c r="B20">
        <v>4.2000000000000003E-2</v>
      </c>
      <c r="C20">
        <v>1.4062500000000004E-3</v>
      </c>
    </row>
    <row r="21" spans="1:3">
      <c r="A21">
        <v>0.5</v>
      </c>
      <c r="B21">
        <v>0.04</v>
      </c>
      <c r="C21">
        <v>6.2500000000000056E-4</v>
      </c>
    </row>
    <row r="22" spans="1:3">
      <c r="A22">
        <v>0.55000000000000004</v>
      </c>
      <c r="B22">
        <v>3.7999999999999999E-2</v>
      </c>
      <c r="C22">
        <v>1.5625000000000014E-4</v>
      </c>
    </row>
    <row r="23" spans="1:3">
      <c r="A23">
        <v>0.6</v>
      </c>
      <c r="B23">
        <v>3.6000000000000004E-2</v>
      </c>
      <c r="C23">
        <v>0</v>
      </c>
    </row>
    <row r="24" spans="1:3">
      <c r="A24">
        <v>0.65</v>
      </c>
      <c r="B24">
        <v>3.4000000000000002E-2</v>
      </c>
      <c r="C24">
        <v>1.5625000000000101E-4</v>
      </c>
    </row>
    <row r="25" spans="1:3">
      <c r="A25">
        <v>0.7</v>
      </c>
      <c r="B25">
        <v>3.2000000000000001E-2</v>
      </c>
      <c r="C25">
        <v>6.2500000000000056E-4</v>
      </c>
    </row>
    <row r="26" spans="1:3">
      <c r="A26">
        <v>0.75</v>
      </c>
      <c r="B26">
        <v>0.03</v>
      </c>
      <c r="C26">
        <v>1.4062500000000012E-3</v>
      </c>
    </row>
    <row r="27" spans="1:3">
      <c r="A27">
        <v>0.8</v>
      </c>
      <c r="B27">
        <v>2.7999999999999997E-2</v>
      </c>
      <c r="C27">
        <v>2.5000000000000031E-3</v>
      </c>
    </row>
    <row r="28" spans="1:3">
      <c r="A28">
        <v>0.85</v>
      </c>
      <c r="B28">
        <v>2.6000000000000002E-2</v>
      </c>
      <c r="C28">
        <v>3.9062499999999996E-3</v>
      </c>
    </row>
    <row r="29" spans="1:3">
      <c r="A29">
        <v>0.9</v>
      </c>
      <c r="B29">
        <v>2.4E-2</v>
      </c>
      <c r="C29">
        <v>5.6250000000000015E-3</v>
      </c>
    </row>
    <row r="30" spans="1:3">
      <c r="A30">
        <v>0.95</v>
      </c>
      <c r="B30">
        <v>2.2000000000000002E-2</v>
      </c>
      <c r="C30">
        <v>7.6562499999999999E-3</v>
      </c>
    </row>
    <row r="31" spans="1:3">
      <c r="A31">
        <v>1</v>
      </c>
      <c r="B31">
        <v>0.02</v>
      </c>
      <c r="C31">
        <v>1.0000000000000002E-2</v>
      </c>
    </row>
    <row r="33" spans="1:2">
      <c r="A33" s="19" t="s">
        <v>142</v>
      </c>
      <c r="B33" s="57">
        <f>B7</f>
        <v>3.6000000000000004E-2</v>
      </c>
    </row>
  </sheetData>
  <phoneticPr fontId="18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62BF-0DA9-194F-AA45-B4B9B5AB673D}">
  <dimension ref="A1:L32"/>
  <sheetViews>
    <sheetView workbookViewId="0">
      <selection activeCell="B32" sqref="B32"/>
    </sheetView>
  </sheetViews>
  <sheetFormatPr baseColWidth="10" defaultRowHeight="13"/>
  <cols>
    <col min="1" max="1" width="16.83203125" bestFit="1" customWidth="1"/>
  </cols>
  <sheetData>
    <row r="1" spans="1:12">
      <c r="A1" s="76" t="s">
        <v>143</v>
      </c>
      <c r="B1" s="76"/>
      <c r="D1" s="76" t="s">
        <v>144</v>
      </c>
      <c r="E1" s="76"/>
    </row>
    <row r="2" spans="1:12">
      <c r="A2" s="73" t="s">
        <v>145</v>
      </c>
      <c r="B2" s="73" t="s">
        <v>146</v>
      </c>
      <c r="D2" s="73" t="s">
        <v>145</v>
      </c>
      <c r="E2" s="73" t="s">
        <v>146</v>
      </c>
    </row>
    <row r="3" spans="1:12">
      <c r="A3" s="74">
        <v>-0.1</v>
      </c>
      <c r="B3">
        <v>0.5</v>
      </c>
      <c r="D3" s="74">
        <v>-0.2</v>
      </c>
      <c r="E3">
        <v>0.5</v>
      </c>
    </row>
    <row r="4" spans="1:12">
      <c r="A4" s="74">
        <v>0.5</v>
      </c>
      <c r="B4">
        <v>0.5</v>
      </c>
      <c r="D4" s="74">
        <v>0.6</v>
      </c>
      <c r="E4">
        <v>0.5</v>
      </c>
    </row>
    <row r="6" spans="1:12">
      <c r="B6" t="str">
        <f>A1</f>
        <v>Security A</v>
      </c>
      <c r="C6" t="str">
        <f>D1</f>
        <v>Security B</v>
      </c>
    </row>
    <row r="7" spans="1:12">
      <c r="A7" s="19" t="s">
        <v>94</v>
      </c>
      <c r="B7">
        <f>SUMPRODUCT(A3:A4,B3:B4)</f>
        <v>0.2</v>
      </c>
      <c r="C7">
        <f>SUMPRODUCT(D3:D4,E3:E4)</f>
        <v>0.19999999999999998</v>
      </c>
    </row>
    <row r="8" spans="1:12">
      <c r="A8" s="19" t="s">
        <v>81</v>
      </c>
      <c r="B8">
        <f>_xlfn.VAR.P(A3:A4)</f>
        <v>0.09</v>
      </c>
      <c r="C8">
        <f>_xlfn.VAR.P(D3:D4)</f>
        <v>0.16000000000000003</v>
      </c>
    </row>
    <row r="9" spans="1:12" ht="14">
      <c r="A9" s="77" t="s">
        <v>83</v>
      </c>
      <c r="B9">
        <f>_xlfn.STDEV.P(A3:A4)</f>
        <v>0.3</v>
      </c>
      <c r="C9">
        <f>_xlfn.STDEV.P(D3:D4)</f>
        <v>0.4</v>
      </c>
    </row>
    <row r="11" spans="1:12">
      <c r="A11" s="78" t="s">
        <v>147</v>
      </c>
      <c r="B11" s="78"/>
    </row>
    <row r="12" spans="1:12">
      <c r="A12" s="73" t="s">
        <v>145</v>
      </c>
      <c r="B12" s="73" t="s">
        <v>146</v>
      </c>
    </row>
    <row r="13" spans="1:12">
      <c r="A13" s="74">
        <v>-0.15</v>
      </c>
      <c r="B13">
        <v>0.25</v>
      </c>
    </row>
    <row r="14" spans="1:12">
      <c r="A14" s="74">
        <v>0.15</v>
      </c>
      <c r="B14">
        <v>0.25</v>
      </c>
    </row>
    <row r="15" spans="1:12">
      <c r="A15" s="74">
        <v>0.25</v>
      </c>
      <c r="B15">
        <v>0.25</v>
      </c>
    </row>
    <row r="16" spans="1:12">
      <c r="A16" s="74">
        <v>0.55000000000000004</v>
      </c>
      <c r="B16">
        <v>0.25</v>
      </c>
      <c r="E16" s="58"/>
      <c r="L16" s="74"/>
    </row>
    <row r="17" spans="1:12">
      <c r="E17" s="58"/>
      <c r="L17" s="74"/>
    </row>
    <row r="18" spans="1:12">
      <c r="A18" s="19" t="s">
        <v>94</v>
      </c>
      <c r="B18">
        <f>SUMPRODUCT(A13:A16,B13:B16)</f>
        <v>0.2</v>
      </c>
      <c r="D18" s="74"/>
      <c r="E18" s="58"/>
      <c r="H18" s="58"/>
      <c r="L18" s="74"/>
    </row>
    <row r="19" spans="1:12">
      <c r="A19" s="19" t="s">
        <v>81</v>
      </c>
      <c r="B19">
        <f>_xlfn.VAR.P(A13:A16)</f>
        <v>6.25E-2</v>
      </c>
      <c r="D19" s="74"/>
      <c r="E19" s="58"/>
      <c r="H19" s="58"/>
      <c r="L19" s="74"/>
    </row>
    <row r="20" spans="1:12" ht="14">
      <c r="A20" s="77" t="s">
        <v>83</v>
      </c>
      <c r="B20">
        <f>_xlfn.STDEV.P(A13:A16)</f>
        <v>0.25</v>
      </c>
      <c r="D20" s="74"/>
      <c r="E20" s="58"/>
      <c r="H20" s="58"/>
      <c r="L20" s="74"/>
    </row>
    <row r="21" spans="1:12">
      <c r="D21" s="74"/>
      <c r="E21" s="58"/>
      <c r="H21" s="58"/>
      <c r="L21" s="74"/>
    </row>
    <row r="22" spans="1:12">
      <c r="A22" s="75" t="str">
        <f>A1</f>
        <v>Security A</v>
      </c>
      <c r="B22" s="75" t="str">
        <f>D1</f>
        <v>Security B</v>
      </c>
      <c r="C22" s="75"/>
      <c r="L22" s="74"/>
    </row>
    <row r="23" spans="1:12">
      <c r="A23">
        <v>0.75</v>
      </c>
      <c r="B23" s="19">
        <f>1-A23</f>
        <v>0.25</v>
      </c>
      <c r="L23" s="74"/>
    </row>
    <row r="24" spans="1:12">
      <c r="A24" s="73" t="s">
        <v>145</v>
      </c>
      <c r="B24" s="73" t="s">
        <v>146</v>
      </c>
      <c r="L24" s="74"/>
    </row>
    <row r="25" spans="1:12">
      <c r="A25">
        <f>A23*A3+B23*D3</f>
        <v>-0.125</v>
      </c>
      <c r="B25">
        <v>0.25</v>
      </c>
      <c r="L25" s="74"/>
    </row>
    <row r="26" spans="1:12">
      <c r="A26">
        <f>A23*A3+B23*D4</f>
        <v>7.4999999999999983E-2</v>
      </c>
      <c r="B26">
        <v>0.25</v>
      </c>
      <c r="L26" s="74"/>
    </row>
    <row r="27" spans="1:12">
      <c r="A27">
        <f>A23*A4+B23*D3</f>
        <v>0.32500000000000001</v>
      </c>
      <c r="B27">
        <v>0.25</v>
      </c>
      <c r="L27" s="74"/>
    </row>
    <row r="28" spans="1:12">
      <c r="A28">
        <f>A23*A4+B23*D4</f>
        <v>0.52500000000000002</v>
      </c>
      <c r="B28">
        <v>0.25</v>
      </c>
    </row>
    <row r="30" spans="1:12">
      <c r="A30" s="19" t="s">
        <v>94</v>
      </c>
      <c r="B30">
        <f>SUMPRODUCT(A25:A28,B25:B28)</f>
        <v>0.2</v>
      </c>
    </row>
    <row r="31" spans="1:12">
      <c r="A31" s="19" t="s">
        <v>81</v>
      </c>
      <c r="B31">
        <f>_xlfn.VAR.P(A25:A28)</f>
        <v>6.0624999999999998E-2</v>
      </c>
    </row>
    <row r="32" spans="1:12" ht="14">
      <c r="A32" s="77" t="s">
        <v>83</v>
      </c>
      <c r="B32">
        <f>_xlfn.STDEV.P(A25:A28)</f>
        <v>0.24622144504490262</v>
      </c>
    </row>
  </sheetData>
  <mergeCells count="3">
    <mergeCell ref="A1:B1"/>
    <mergeCell ref="D1:E1"/>
    <mergeCell ref="A11:B11"/>
  </mergeCells>
  <phoneticPr fontId="18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B1BA9-49EC-1140-9AE2-223A0664557D}">
  <dimension ref="A1:D24"/>
  <sheetViews>
    <sheetView workbookViewId="0">
      <selection activeCell="B24" sqref="B24"/>
    </sheetView>
  </sheetViews>
  <sheetFormatPr baseColWidth="10" defaultRowHeight="13"/>
  <cols>
    <col min="1" max="1" width="16.83203125" bestFit="1" customWidth="1"/>
    <col min="2" max="2" width="18.6640625" bestFit="1" customWidth="1"/>
    <col min="3" max="3" width="16.83203125" bestFit="1" customWidth="1"/>
  </cols>
  <sheetData>
    <row r="1" spans="1:4">
      <c r="A1" s="73" t="s">
        <v>148</v>
      </c>
      <c r="B1" s="19" t="s">
        <v>149</v>
      </c>
      <c r="C1" s="19" t="s">
        <v>150</v>
      </c>
      <c r="D1" s="19" t="s">
        <v>151</v>
      </c>
    </row>
    <row r="2" spans="1:4">
      <c r="A2" s="19" t="s">
        <v>149</v>
      </c>
      <c r="B2" s="8">
        <v>1</v>
      </c>
      <c r="C2" s="8">
        <v>0.8</v>
      </c>
      <c r="D2" s="8">
        <v>0.1</v>
      </c>
    </row>
    <row r="3" spans="1:4">
      <c r="A3" s="19" t="s">
        <v>150</v>
      </c>
      <c r="B3" s="8"/>
      <c r="C3" s="8">
        <v>1</v>
      </c>
      <c r="D3" s="8">
        <v>0.15</v>
      </c>
    </row>
    <row r="4" spans="1:4">
      <c r="A4" s="19" t="s">
        <v>151</v>
      </c>
      <c r="B4" s="8"/>
      <c r="C4" s="8"/>
      <c r="D4" s="8">
        <v>1</v>
      </c>
    </row>
    <row r="6" spans="1:4">
      <c r="B6" s="19" t="s">
        <v>141</v>
      </c>
      <c r="C6" s="69" t="s">
        <v>82</v>
      </c>
      <c r="D6" s="19" t="s">
        <v>81</v>
      </c>
    </row>
    <row r="7" spans="1:4">
      <c r="A7" s="19" t="s">
        <v>149</v>
      </c>
      <c r="B7" s="74">
        <v>0.16</v>
      </c>
      <c r="C7" s="74">
        <v>0.25</v>
      </c>
      <c r="D7" s="58">
        <f>C7*C7</f>
        <v>6.25E-2</v>
      </c>
    </row>
    <row r="8" spans="1:4">
      <c r="A8" s="19" t="s">
        <v>150</v>
      </c>
      <c r="B8" s="74">
        <v>0.12</v>
      </c>
      <c r="C8" s="74">
        <v>0.22</v>
      </c>
      <c r="D8" s="58">
        <f t="shared" ref="D8:D9" si="0">C8*C8</f>
        <v>4.8399999999999999E-2</v>
      </c>
    </row>
    <row r="9" spans="1:4">
      <c r="A9" s="19" t="s">
        <v>151</v>
      </c>
      <c r="B9" s="74">
        <v>0.15</v>
      </c>
      <c r="C9" s="74">
        <v>0.25</v>
      </c>
      <c r="D9" s="58">
        <f t="shared" si="0"/>
        <v>6.25E-2</v>
      </c>
    </row>
    <row r="11" spans="1:4">
      <c r="A11" s="19" t="s">
        <v>85</v>
      </c>
    </row>
    <row r="12" spans="1:4">
      <c r="A12" s="19" t="s">
        <v>149</v>
      </c>
      <c r="B12" s="74">
        <v>0.25</v>
      </c>
    </row>
    <row r="13" spans="1:4">
      <c r="A13" s="19" t="s">
        <v>150</v>
      </c>
      <c r="B13" s="74">
        <v>0.25</v>
      </c>
    </row>
    <row r="14" spans="1:4">
      <c r="A14" s="19" t="s">
        <v>151</v>
      </c>
      <c r="B14" s="74">
        <v>0.5</v>
      </c>
    </row>
    <row r="15" spans="1:4">
      <c r="A15" s="69" t="s">
        <v>82</v>
      </c>
      <c r="B15" s="58">
        <f>SQRT(B12*B12*D7+B13*B13*D8+B14*B14*D9+2*B12*B13*C2*C7*C8+2*B13*B14*D3*C8*C9+2*B12*B14*D2*C7*C9)</f>
        <v>0.17799227511327564</v>
      </c>
    </row>
    <row r="16" spans="1:4">
      <c r="A16" s="19" t="s">
        <v>141</v>
      </c>
      <c r="B16" s="51">
        <f>SUMPRODUCT(B12:B14,B7:B9)</f>
        <v>0.14500000000000002</v>
      </c>
    </row>
    <row r="18" spans="1:2">
      <c r="A18" s="19" t="s">
        <v>86</v>
      </c>
    </row>
    <row r="19" spans="1:2">
      <c r="A19" s="19" t="s">
        <v>131</v>
      </c>
      <c r="B19" s="74">
        <v>0.5</v>
      </c>
    </row>
    <row r="20" spans="1:2">
      <c r="A20" s="19" t="s">
        <v>152</v>
      </c>
      <c r="B20" s="74">
        <v>0.5</v>
      </c>
    </row>
    <row r="21" spans="1:2">
      <c r="A21" s="19" t="s">
        <v>153</v>
      </c>
      <c r="B21" s="74">
        <v>0.05</v>
      </c>
    </row>
    <row r="23" spans="1:2">
      <c r="A23" s="19" t="s">
        <v>141</v>
      </c>
      <c r="B23" s="58">
        <f>B19*B16+B20*B21</f>
        <v>9.7500000000000003E-2</v>
      </c>
    </row>
    <row r="24" spans="1:2">
      <c r="A24" s="69" t="s">
        <v>82</v>
      </c>
      <c r="B24" s="79">
        <f>SQRT(B19*B19*B15*B15)</f>
        <v>8.8996137556637822E-2</v>
      </c>
    </row>
  </sheetData>
  <phoneticPr fontId="18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5E686-6CA8-7649-867E-0EB647F83E4A}">
  <dimension ref="A1:E12"/>
  <sheetViews>
    <sheetView zoomScaleNormal="100" workbookViewId="0">
      <selection activeCell="H18" sqref="H18"/>
    </sheetView>
  </sheetViews>
  <sheetFormatPr baseColWidth="10" defaultRowHeight="13"/>
  <cols>
    <col min="3" max="3" width="13" bestFit="1" customWidth="1"/>
    <col min="4" max="4" width="16.83203125" bestFit="1" customWidth="1"/>
  </cols>
  <sheetData>
    <row r="1" spans="1:5">
      <c r="A1" s="76" t="s">
        <v>154</v>
      </c>
      <c r="B1" s="76"/>
      <c r="D1" s="76" t="s">
        <v>155</v>
      </c>
      <c r="E1" s="76"/>
    </row>
    <row r="2" spans="1:5">
      <c r="A2" s="73" t="s">
        <v>145</v>
      </c>
      <c r="B2" s="73" t="s">
        <v>146</v>
      </c>
      <c r="D2" s="73" t="s">
        <v>145</v>
      </c>
      <c r="E2" s="73" t="s">
        <v>146</v>
      </c>
    </row>
    <row r="3" spans="1:5">
      <c r="A3" s="74">
        <v>-0.1</v>
      </c>
      <c r="B3" s="74">
        <v>0.15</v>
      </c>
      <c r="D3" s="74">
        <v>-0.18</v>
      </c>
      <c r="E3" s="74">
        <v>0.3</v>
      </c>
    </row>
    <row r="4" spans="1:5">
      <c r="A4" s="74">
        <v>0.15</v>
      </c>
      <c r="B4" s="74">
        <v>0.85</v>
      </c>
      <c r="D4" s="74">
        <v>0.22</v>
      </c>
      <c r="E4" s="74">
        <v>0.7</v>
      </c>
    </row>
    <row r="6" spans="1:5">
      <c r="A6" s="69" t="s">
        <v>156</v>
      </c>
      <c r="B6">
        <v>8.9999999999999993E-3</v>
      </c>
    </row>
    <row r="8" spans="1:5">
      <c r="B8" s="19" t="s">
        <v>141</v>
      </c>
      <c r="C8" s="19" t="s">
        <v>81</v>
      </c>
      <c r="D8" s="19" t="s">
        <v>83</v>
      </c>
    </row>
    <row r="9" spans="1:5">
      <c r="A9" s="19" t="s">
        <v>149</v>
      </c>
      <c r="B9">
        <f>SUMPRODUCT(B3:B4,A3:A4)</f>
        <v>0.1125</v>
      </c>
      <c r="C9" s="80">
        <f>A3*A3*B3+A4*A4*B4-B9*B9</f>
        <v>7.9687500000000001E-3</v>
      </c>
      <c r="D9">
        <f>SQRT(C9)</f>
        <v>8.9267855356785622E-2</v>
      </c>
    </row>
    <row r="10" spans="1:5">
      <c r="A10" s="19" t="s">
        <v>150</v>
      </c>
      <c r="B10">
        <f>SUMPRODUCT(E3:E4,D3:D4)</f>
        <v>0.1</v>
      </c>
      <c r="C10" s="58">
        <f>D3*D3*E3+D4*D4*E4-B10*B10</f>
        <v>3.3599999999999991E-2</v>
      </c>
      <c r="D10">
        <f>SQRT(C10)</f>
        <v>0.18330302779823357</v>
      </c>
    </row>
    <row r="12" spans="1:5">
      <c r="A12" s="69" t="s">
        <v>157</v>
      </c>
      <c r="B12">
        <f>B6/(D9*D10)</f>
        <v>0.55001909821692685</v>
      </c>
    </row>
  </sheetData>
  <mergeCells count="2">
    <mergeCell ref="A1:B1"/>
    <mergeCell ref="D1:E1"/>
  </mergeCells>
  <phoneticPr fontId="1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C92FB-E9EB-D346-8566-771AAF18E3B7}">
  <dimension ref="A1:B21"/>
  <sheetViews>
    <sheetView workbookViewId="0">
      <selection activeCell="C21" sqref="C21"/>
    </sheetView>
  </sheetViews>
  <sheetFormatPr baseColWidth="10" defaultRowHeight="13"/>
  <cols>
    <col min="1" max="1" width="16" bestFit="1" customWidth="1"/>
    <col min="2" max="2" width="11.83203125" bestFit="1" customWidth="1"/>
  </cols>
  <sheetData>
    <row r="1" spans="1:2" ht="28">
      <c r="A1" s="77" t="s">
        <v>158</v>
      </c>
      <c r="B1" s="77" t="s">
        <v>159</v>
      </c>
    </row>
    <row r="2" spans="1:2">
      <c r="A2">
        <v>20</v>
      </c>
      <c r="B2">
        <v>88.6</v>
      </c>
    </row>
    <row r="3" spans="1:2">
      <c r="A3">
        <v>16</v>
      </c>
      <c r="B3">
        <v>71.599999999999994</v>
      </c>
    </row>
    <row r="4" spans="1:2">
      <c r="A4">
        <v>19.8</v>
      </c>
      <c r="B4">
        <v>93.3</v>
      </c>
    </row>
    <row r="5" spans="1:2">
      <c r="A5">
        <v>18.399999999999999</v>
      </c>
      <c r="B5">
        <v>84.3</v>
      </c>
    </row>
    <row r="6" spans="1:2">
      <c r="A6">
        <v>17.100000000000001</v>
      </c>
      <c r="B6">
        <v>80.599999999999994</v>
      </c>
    </row>
    <row r="7" spans="1:2">
      <c r="A7">
        <v>15.5</v>
      </c>
      <c r="B7">
        <v>75.2</v>
      </c>
    </row>
    <row r="8" spans="1:2">
      <c r="A8">
        <v>14.7</v>
      </c>
      <c r="B8">
        <v>69.7</v>
      </c>
    </row>
    <row r="9" spans="1:2">
      <c r="A9">
        <v>17.100000000000001</v>
      </c>
      <c r="B9">
        <v>82</v>
      </c>
    </row>
    <row r="10" spans="1:2">
      <c r="A10">
        <v>15.4</v>
      </c>
      <c r="B10">
        <v>69.400000000000006</v>
      </c>
    </row>
    <row r="11" spans="1:2">
      <c r="A11">
        <v>16.2</v>
      </c>
      <c r="B11">
        <v>83.3</v>
      </c>
    </row>
    <row r="12" spans="1:2">
      <c r="A12">
        <v>15</v>
      </c>
      <c r="B12">
        <v>79.599999999999994</v>
      </c>
    </row>
    <row r="13" spans="1:2">
      <c r="A13">
        <v>17.2</v>
      </c>
      <c r="B13">
        <v>82.6</v>
      </c>
    </row>
    <row r="14" spans="1:2">
      <c r="A14">
        <v>16</v>
      </c>
      <c r="B14">
        <v>80.599999999999994</v>
      </c>
    </row>
    <row r="15" spans="1:2">
      <c r="A15">
        <v>17</v>
      </c>
      <c r="B15">
        <v>83.5</v>
      </c>
    </row>
    <row r="16" spans="1:2">
      <c r="A16">
        <v>14.4</v>
      </c>
      <c r="B16">
        <v>76.3</v>
      </c>
    </row>
    <row r="19" spans="1:2">
      <c r="A19" s="69" t="s">
        <v>161</v>
      </c>
      <c r="B19" s="69" t="s">
        <v>160</v>
      </c>
    </row>
    <row r="20" spans="1:2">
      <c r="A20">
        <v>19</v>
      </c>
      <c r="B20">
        <f>3.2911*A20 + 25.232</f>
        <v>87.762900000000002</v>
      </c>
    </row>
    <row r="21" spans="1:2">
      <c r="A21">
        <v>22</v>
      </c>
      <c r="B21">
        <f>3.2911*A21 + 25.232</f>
        <v>97.636200000000002</v>
      </c>
    </row>
  </sheetData>
  <phoneticPr fontId="18" type="noConversion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3C93F-B24D-DA4A-A9B5-3F0B4B4D7B12}">
  <dimension ref="A1:G42"/>
  <sheetViews>
    <sheetView workbookViewId="0">
      <selection activeCell="A43" sqref="A43"/>
    </sheetView>
  </sheetViews>
  <sheetFormatPr baseColWidth="10" defaultRowHeight="13"/>
  <cols>
    <col min="1" max="1" width="17.83203125" bestFit="1" customWidth="1"/>
    <col min="2" max="2" width="15" bestFit="1" customWidth="1"/>
    <col min="3" max="3" width="23.33203125" bestFit="1" customWidth="1"/>
    <col min="4" max="4" width="11.33203125" bestFit="1" customWidth="1"/>
    <col min="5" max="5" width="8.33203125" bestFit="1" customWidth="1"/>
    <col min="6" max="6" width="15" bestFit="1" customWidth="1"/>
    <col min="7" max="7" width="23.33203125" bestFit="1" customWidth="1"/>
  </cols>
  <sheetData>
    <row r="1" spans="1:7">
      <c r="A1" s="78" t="s">
        <v>196</v>
      </c>
      <c r="B1" s="78"/>
      <c r="C1" s="78"/>
    </row>
    <row r="2" spans="1:7">
      <c r="A2" s="73" t="s">
        <v>162</v>
      </c>
      <c r="B2" s="73" t="s">
        <v>188</v>
      </c>
      <c r="C2" s="73" t="s">
        <v>189</v>
      </c>
      <c r="E2" s="73"/>
      <c r="F2" s="73"/>
      <c r="G2" s="73"/>
    </row>
    <row r="3" spans="1:7">
      <c r="A3" s="73" t="s">
        <v>163</v>
      </c>
      <c r="B3" s="56">
        <v>5.6500000000000002E-2</v>
      </c>
      <c r="C3" s="56">
        <v>7.3999999999999996E-2</v>
      </c>
    </row>
    <row r="4" spans="1:7">
      <c r="A4" s="73" t="s">
        <v>164</v>
      </c>
      <c r="B4" s="56">
        <v>6.8199999999999997E-2</v>
      </c>
      <c r="C4" s="56">
        <v>7.8E-2</v>
      </c>
    </row>
    <row r="5" spans="1:7">
      <c r="A5" s="73" t="s">
        <v>165</v>
      </c>
      <c r="B5" s="56">
        <v>5.1999999999999998E-2</v>
      </c>
      <c r="C5" s="56">
        <v>8.2199999999999995E-2</v>
      </c>
    </row>
    <row r="6" spans="1:7">
      <c r="A6" s="73" t="s">
        <v>167</v>
      </c>
      <c r="B6" s="56">
        <v>9.4299999999999995E-2</v>
      </c>
      <c r="C6" s="56">
        <v>0.1036</v>
      </c>
    </row>
    <row r="7" spans="1:7">
      <c r="A7" s="73" t="s">
        <v>169</v>
      </c>
      <c r="B7" s="56">
        <v>8.1500000000000003E-2</v>
      </c>
      <c r="C7" s="56">
        <v>8.4900000000000003E-2</v>
      </c>
    </row>
    <row r="8" spans="1:7">
      <c r="A8" s="73" t="s">
        <v>171</v>
      </c>
      <c r="B8" s="56">
        <v>0.08</v>
      </c>
      <c r="C8" s="56">
        <v>7.1999999999999995E-2</v>
      </c>
    </row>
    <row r="9" spans="1:7">
      <c r="A9" s="73" t="s">
        <v>172</v>
      </c>
      <c r="B9" s="56">
        <v>0.1207</v>
      </c>
      <c r="C9" s="56">
        <v>0.1066</v>
      </c>
    </row>
    <row r="10" spans="1:7">
      <c r="A10" s="73" t="s">
        <v>170</v>
      </c>
      <c r="B10" s="56">
        <v>7.8899999999999998E-2</v>
      </c>
      <c r="C10" s="56">
        <v>7.3099999999999998E-2</v>
      </c>
    </row>
    <row r="11" spans="1:7">
      <c r="A11" s="73" t="s">
        <v>175</v>
      </c>
      <c r="B11" s="56">
        <v>0.10639999999999999</v>
      </c>
      <c r="C11" s="56">
        <v>0.08</v>
      </c>
    </row>
    <row r="12" spans="1:7">
      <c r="A12" s="73" t="s">
        <v>177</v>
      </c>
      <c r="B12" s="56">
        <v>5.5300000000000002E-2</v>
      </c>
      <c r="C12" s="56">
        <v>4.5400000000000003E-2</v>
      </c>
    </row>
    <row r="13" spans="1:7">
      <c r="A13" s="73" t="s">
        <v>179</v>
      </c>
      <c r="B13" s="56">
        <v>8.9899999999999994E-2</v>
      </c>
      <c r="C13" s="56">
        <v>8.5199999999999998E-2</v>
      </c>
    </row>
    <row r="14" spans="1:7">
      <c r="A14" s="73" t="s">
        <v>181</v>
      </c>
      <c r="B14" s="56">
        <v>9.0700000000000003E-2</v>
      </c>
      <c r="C14" s="56">
        <v>6.1600000000000002E-2</v>
      </c>
    </row>
    <row r="15" spans="1:7">
      <c r="A15" s="73" t="s">
        <v>183</v>
      </c>
      <c r="B15" s="56">
        <v>9.4299999999999995E-2</v>
      </c>
      <c r="C15" s="56">
        <v>0.1038</v>
      </c>
    </row>
    <row r="16" spans="1:7">
      <c r="A16" s="73" t="s">
        <v>184</v>
      </c>
      <c r="B16" s="56">
        <v>0.12909999999999999</v>
      </c>
      <c r="C16" s="56">
        <v>0.1079</v>
      </c>
    </row>
    <row r="17" spans="1:3">
      <c r="A17" s="73" t="s">
        <v>185</v>
      </c>
      <c r="B17" s="56">
        <v>0.1038</v>
      </c>
      <c r="C17" s="56">
        <v>0.12720000000000001</v>
      </c>
    </row>
    <row r="18" spans="1:3">
      <c r="A18" s="73" t="s">
        <v>187</v>
      </c>
      <c r="B18" s="56">
        <v>9.1499999999999998E-2</v>
      </c>
      <c r="C18" s="56">
        <v>8.9499999999999996E-2</v>
      </c>
    </row>
    <row r="19" spans="1:3">
      <c r="A19" s="19" t="s">
        <v>190</v>
      </c>
      <c r="B19" s="56">
        <v>0.10290000000000001</v>
      </c>
      <c r="C19" s="56">
        <v>8.8099999999999998E-2</v>
      </c>
    </row>
    <row r="20" spans="1:3">
      <c r="A20" s="19" t="s">
        <v>191</v>
      </c>
      <c r="B20" s="56">
        <v>0.1414</v>
      </c>
      <c r="C20" s="56">
        <v>0.1111</v>
      </c>
    </row>
    <row r="21" spans="1:3">
      <c r="A21" t="s">
        <v>166</v>
      </c>
      <c r="B21" s="56">
        <v>0.16200000000000001</v>
      </c>
      <c r="C21" s="56">
        <v>0.15570000000000001</v>
      </c>
    </row>
    <row r="22" spans="1:3">
      <c r="A22" t="s">
        <v>168</v>
      </c>
      <c r="B22" s="56">
        <v>0.1988</v>
      </c>
      <c r="C22" s="56">
        <v>0.1535</v>
      </c>
    </row>
    <row r="23" spans="1:3">
      <c r="A23" s="19" t="s">
        <v>192</v>
      </c>
      <c r="B23" s="56">
        <v>4.36E-2</v>
      </c>
      <c r="C23" s="56">
        <v>9.4E-2</v>
      </c>
    </row>
    <row r="24" spans="1:3">
      <c r="A24" s="19" t="s">
        <v>193</v>
      </c>
      <c r="B24" s="56">
        <v>0.12139999999999999</v>
      </c>
      <c r="C24" s="56">
        <v>9.0999999999999998E-2</v>
      </c>
    </row>
    <row r="25" spans="1:3">
      <c r="A25" t="s">
        <v>173</v>
      </c>
      <c r="B25" s="56">
        <v>0.1512</v>
      </c>
      <c r="C25" s="56">
        <v>0.1653</v>
      </c>
    </row>
    <row r="26" spans="1:3">
      <c r="A26" t="s">
        <v>174</v>
      </c>
      <c r="B26" s="56">
        <v>0.1555</v>
      </c>
      <c r="C26" s="56">
        <v>8.5900000000000004E-2</v>
      </c>
    </row>
    <row r="27" spans="1:3">
      <c r="A27" t="s">
        <v>176</v>
      </c>
      <c r="B27" s="56">
        <v>0.12790000000000001</v>
      </c>
      <c r="C27" s="56">
        <v>7.8799999999999995E-2</v>
      </c>
    </row>
    <row r="28" spans="1:3">
      <c r="A28" t="s">
        <v>178</v>
      </c>
      <c r="B28" s="56">
        <v>0.1086</v>
      </c>
      <c r="C28" s="56">
        <v>0.1062</v>
      </c>
    </row>
    <row r="29" spans="1:3">
      <c r="A29" t="s">
        <v>180</v>
      </c>
      <c r="B29" s="56">
        <v>0.20799999999999999</v>
      </c>
      <c r="C29" s="56">
        <v>0.1762</v>
      </c>
    </row>
    <row r="30" spans="1:3">
      <c r="A30" t="s">
        <v>182</v>
      </c>
      <c r="B30" s="56">
        <v>0.13489999999999999</v>
      </c>
      <c r="C30" s="56">
        <v>0.1201</v>
      </c>
    </row>
    <row r="31" spans="1:3">
      <c r="A31" s="19" t="s">
        <v>194</v>
      </c>
      <c r="B31" s="56">
        <v>0.15890000000000001</v>
      </c>
      <c r="C31" s="56">
        <v>0.1212</v>
      </c>
    </row>
    <row r="32" spans="1:3">
      <c r="A32" s="19" t="s">
        <v>195</v>
      </c>
      <c r="B32" s="56">
        <v>0.129</v>
      </c>
      <c r="C32" s="56">
        <v>0.13170000000000001</v>
      </c>
    </row>
    <row r="33" spans="1:3">
      <c r="A33" t="s">
        <v>186</v>
      </c>
      <c r="B33" s="56">
        <v>0.28470000000000001</v>
      </c>
      <c r="C33" s="56">
        <v>0.28920000000000001</v>
      </c>
    </row>
    <row r="35" spans="1:3">
      <c r="A35" s="19" t="s">
        <v>86</v>
      </c>
    </row>
    <row r="36" spans="1:3">
      <c r="A36" s="57">
        <v>1.7000000000000001E-2</v>
      </c>
    </row>
    <row r="38" spans="1:3">
      <c r="A38" s="19" t="s">
        <v>87</v>
      </c>
    </row>
    <row r="39" spans="1:3">
      <c r="A39" s="82">
        <v>7.7749999999999998E-3</v>
      </c>
      <c r="B39" s="81"/>
    </row>
    <row r="41" spans="1:3">
      <c r="A41" s="19" t="s">
        <v>88</v>
      </c>
    </row>
    <row r="42" spans="1:3">
      <c r="A42" s="19" t="s">
        <v>197</v>
      </c>
    </row>
  </sheetData>
  <mergeCells count="1">
    <mergeCell ref="A1:C1"/>
  </mergeCells>
  <phoneticPr fontId="18" type="noConversion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2C326-117A-F64C-B9FB-736C3A5D9448}">
  <dimension ref="A1:C14"/>
  <sheetViews>
    <sheetView tabSelected="1" zoomScaleNormal="100" workbookViewId="0">
      <selection activeCell="A14" sqref="A14"/>
    </sheetView>
  </sheetViews>
  <sheetFormatPr baseColWidth="10" defaultRowHeight="13"/>
  <cols>
    <col min="1" max="1" width="9.83203125" bestFit="1" customWidth="1"/>
    <col min="2" max="2" width="25.1640625" bestFit="1" customWidth="1"/>
    <col min="3" max="3" width="22.5" bestFit="1" customWidth="1"/>
  </cols>
  <sheetData>
    <row r="1" spans="1:3">
      <c r="A1" s="19" t="s">
        <v>200</v>
      </c>
      <c r="B1" s="19" t="s">
        <v>198</v>
      </c>
      <c r="C1" s="19" t="s">
        <v>199</v>
      </c>
    </row>
    <row r="2" spans="1:3">
      <c r="A2" s="19">
        <v>2006</v>
      </c>
      <c r="B2" s="59">
        <v>0.30730000000000002</v>
      </c>
      <c r="C2" s="83">
        <f>40%-1.5*B2</f>
        <v>-6.0950000000000004E-2</v>
      </c>
    </row>
    <row r="3" spans="1:3">
      <c r="A3" s="19">
        <v>2007</v>
      </c>
      <c r="B3" s="59">
        <v>0.15</v>
      </c>
      <c r="C3" s="83">
        <f t="shared" ref="C3:C11" si="0">40%-1.5*B3</f>
        <v>0.17500000000000004</v>
      </c>
    </row>
    <row r="4" spans="1:3">
      <c r="A4" s="19">
        <v>2008</v>
      </c>
      <c r="B4" s="59">
        <v>-0.09</v>
      </c>
      <c r="C4" s="83">
        <f t="shared" si="0"/>
        <v>0.53500000000000003</v>
      </c>
    </row>
    <row r="5" spans="1:3">
      <c r="A5" s="19">
        <v>2009</v>
      </c>
      <c r="B5" s="59">
        <v>0.12</v>
      </c>
      <c r="C5" s="83">
        <f t="shared" si="0"/>
        <v>0.22000000000000003</v>
      </c>
    </row>
    <row r="6" spans="1:3">
      <c r="A6" s="19">
        <v>2010</v>
      </c>
      <c r="B6" s="59">
        <v>0.13</v>
      </c>
      <c r="C6" s="83">
        <f t="shared" si="0"/>
        <v>0.20500000000000002</v>
      </c>
    </row>
    <row r="7" spans="1:3">
      <c r="A7" s="19">
        <v>2011</v>
      </c>
      <c r="B7" s="59">
        <v>0.22</v>
      </c>
      <c r="C7" s="83">
        <f t="shared" si="0"/>
        <v>7.0000000000000007E-2</v>
      </c>
    </row>
    <row r="8" spans="1:3">
      <c r="A8" s="19">
        <v>2012</v>
      </c>
      <c r="B8" s="59">
        <v>0.3</v>
      </c>
      <c r="C8" s="83">
        <f t="shared" si="0"/>
        <v>-4.9999999999999933E-2</v>
      </c>
    </row>
    <row r="9" spans="1:3">
      <c r="A9" s="19">
        <v>2013</v>
      </c>
      <c r="B9" s="59">
        <v>0.12</v>
      </c>
      <c r="C9" s="83">
        <f t="shared" si="0"/>
        <v>0.22000000000000003</v>
      </c>
    </row>
    <row r="10" spans="1:3">
      <c r="A10" s="19">
        <v>2014</v>
      </c>
      <c r="B10" s="59">
        <v>0.43</v>
      </c>
      <c r="C10" s="83">
        <f t="shared" si="0"/>
        <v>-0.245</v>
      </c>
    </row>
    <row r="11" spans="1:3">
      <c r="A11" s="19">
        <v>2015</v>
      </c>
      <c r="B11" s="59">
        <v>0.16</v>
      </c>
      <c r="C11" s="83">
        <f t="shared" si="0"/>
        <v>0.16000000000000003</v>
      </c>
    </row>
    <row r="13" spans="1:3">
      <c r="A13" s="19" t="s">
        <v>86</v>
      </c>
    </row>
    <row r="14" spans="1:3">
      <c r="A14" s="19" t="s">
        <v>201</v>
      </c>
    </row>
  </sheetData>
  <phoneticPr fontId="18" type="noConversion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E70A0-CF52-AB4D-85B7-6314996D1303}">
  <dimension ref="A1:G25"/>
  <sheetViews>
    <sheetView workbookViewId="0">
      <selection sqref="A1:G25"/>
    </sheetView>
  </sheetViews>
  <sheetFormatPr baseColWidth="10" defaultRowHeight="13"/>
  <sheetData>
    <row r="1" spans="1:7" ht="16">
      <c r="A1" s="65" t="s">
        <v>0</v>
      </c>
      <c r="B1" s="65" t="s">
        <v>30</v>
      </c>
      <c r="C1" s="65" t="s">
        <v>31</v>
      </c>
      <c r="D1" s="65" t="s">
        <v>32</v>
      </c>
      <c r="E1" s="65" t="s">
        <v>33</v>
      </c>
      <c r="F1" s="65" t="s">
        <v>35</v>
      </c>
      <c r="G1" s="65" t="s">
        <v>34</v>
      </c>
    </row>
    <row r="2" spans="1:7" ht="16">
      <c r="A2" s="67">
        <v>41275</v>
      </c>
      <c r="B2" s="65">
        <v>34.080002</v>
      </c>
      <c r="C2" s="65">
        <v>35.880001</v>
      </c>
      <c r="D2" s="65">
        <v>33.93</v>
      </c>
      <c r="E2" s="65">
        <v>35.509998000000003</v>
      </c>
      <c r="F2" s="65">
        <v>30.179936999999999</v>
      </c>
      <c r="G2" s="65">
        <v>401941600</v>
      </c>
    </row>
    <row r="3" spans="1:7" ht="16">
      <c r="A3" s="67">
        <v>41306</v>
      </c>
      <c r="B3" s="65">
        <v>35.869999</v>
      </c>
      <c r="C3" s="65">
        <v>36.310001</v>
      </c>
      <c r="D3" s="65">
        <v>34.060001</v>
      </c>
      <c r="E3" s="65">
        <v>34.240001999999997</v>
      </c>
      <c r="F3" s="65">
        <v>29.100567000000002</v>
      </c>
      <c r="G3" s="65">
        <v>347205100</v>
      </c>
    </row>
    <row r="4" spans="1:7" ht="16">
      <c r="A4" s="67">
        <v>41334</v>
      </c>
      <c r="B4" s="65">
        <v>34.119999</v>
      </c>
      <c r="C4" s="65">
        <v>36.43</v>
      </c>
      <c r="D4" s="65">
        <v>31.16</v>
      </c>
      <c r="E4" s="65">
        <v>32.330002</v>
      </c>
      <c r="F4" s="65">
        <v>27.477255</v>
      </c>
      <c r="G4" s="65">
        <v>640045400</v>
      </c>
    </row>
    <row r="5" spans="1:7" ht="16">
      <c r="A5" s="67">
        <v>41365</v>
      </c>
      <c r="B5" s="65">
        <v>32.360000999999997</v>
      </c>
      <c r="C5" s="65">
        <v>33.950001</v>
      </c>
      <c r="D5" s="65">
        <v>31.67</v>
      </c>
      <c r="E5" s="65">
        <v>32.779998999999997</v>
      </c>
      <c r="F5" s="65">
        <v>27.859715999999999</v>
      </c>
      <c r="G5" s="65">
        <v>543579600</v>
      </c>
    </row>
    <row r="6" spans="1:7" ht="16">
      <c r="A6" s="67">
        <v>41395</v>
      </c>
      <c r="B6" s="65">
        <v>32.75</v>
      </c>
      <c r="C6" s="65">
        <v>35.32</v>
      </c>
      <c r="D6" s="65">
        <v>32.720001000000003</v>
      </c>
      <c r="E6" s="65">
        <v>33.779998999999997</v>
      </c>
      <c r="F6" s="65">
        <v>28.709620999999999</v>
      </c>
      <c r="G6" s="65">
        <v>474311500</v>
      </c>
    </row>
    <row r="7" spans="1:7" ht="16">
      <c r="A7" s="67">
        <v>41426</v>
      </c>
      <c r="B7" s="65">
        <v>33.849997999999999</v>
      </c>
      <c r="C7" s="65">
        <v>34.75</v>
      </c>
      <c r="D7" s="65">
        <v>29.860001</v>
      </c>
      <c r="E7" s="65">
        <v>30.709999</v>
      </c>
      <c r="F7" s="65">
        <v>26.100428000000001</v>
      </c>
      <c r="G7" s="65">
        <v>701001000</v>
      </c>
    </row>
    <row r="8" spans="1:7" ht="16">
      <c r="A8" s="67">
        <v>41456</v>
      </c>
      <c r="B8" s="65">
        <v>30.889999</v>
      </c>
      <c r="C8" s="65">
        <v>32.75</v>
      </c>
      <c r="D8" s="65">
        <v>29.950001</v>
      </c>
      <c r="E8" s="65">
        <v>32.349997999999999</v>
      </c>
      <c r="F8" s="65">
        <v>27.494259</v>
      </c>
      <c r="G8" s="65">
        <v>675439200</v>
      </c>
    </row>
    <row r="9" spans="1:7" ht="16">
      <c r="A9" s="67">
        <v>41487</v>
      </c>
      <c r="B9" s="65">
        <v>32.619999</v>
      </c>
      <c r="C9" s="65">
        <v>33.650002000000001</v>
      </c>
      <c r="D9" s="65">
        <v>31.559999000000001</v>
      </c>
      <c r="E9" s="65">
        <v>31.860001</v>
      </c>
      <c r="F9" s="65">
        <v>27.181293</v>
      </c>
      <c r="G9" s="65">
        <v>346619900</v>
      </c>
    </row>
    <row r="10" spans="1:7" ht="16">
      <c r="A10" s="67">
        <v>41518</v>
      </c>
      <c r="B10" s="65">
        <v>32.169998</v>
      </c>
      <c r="C10" s="65">
        <v>34.340000000000003</v>
      </c>
      <c r="D10" s="65">
        <v>31.82</v>
      </c>
      <c r="E10" s="65">
        <v>33.169998</v>
      </c>
      <c r="F10" s="65">
        <v>28.298914</v>
      </c>
      <c r="G10" s="65">
        <v>454916400</v>
      </c>
    </row>
    <row r="11" spans="1:7" ht="16">
      <c r="A11" s="67">
        <v>41548</v>
      </c>
      <c r="B11" s="65">
        <v>33.200001</v>
      </c>
      <c r="C11" s="65">
        <v>33.950001</v>
      </c>
      <c r="D11" s="65">
        <v>32</v>
      </c>
      <c r="E11" s="65">
        <v>33.5</v>
      </c>
      <c r="F11" s="65">
        <v>28.580462000000001</v>
      </c>
      <c r="G11" s="65">
        <v>421757800</v>
      </c>
    </row>
    <row r="12" spans="1:7" ht="16">
      <c r="A12" s="67">
        <v>41579</v>
      </c>
      <c r="B12" s="65">
        <v>33.700001</v>
      </c>
      <c r="C12" s="65">
        <v>35.419998</v>
      </c>
      <c r="D12" s="65">
        <v>33.409999999999997</v>
      </c>
      <c r="E12" s="65">
        <v>35.290000999999997</v>
      </c>
      <c r="F12" s="65">
        <v>30.216678999999999</v>
      </c>
      <c r="G12" s="65">
        <v>323481000</v>
      </c>
    </row>
    <row r="13" spans="1:7" ht="16">
      <c r="A13" s="67">
        <v>41609</v>
      </c>
      <c r="B13" s="65">
        <v>35.369999</v>
      </c>
      <c r="C13" s="65">
        <v>38.340000000000003</v>
      </c>
      <c r="D13" s="65">
        <v>33.220001000000003</v>
      </c>
      <c r="E13" s="65">
        <v>38.259998000000003</v>
      </c>
      <c r="F13" s="65">
        <v>32.759704999999997</v>
      </c>
      <c r="G13" s="65">
        <v>468655300</v>
      </c>
    </row>
    <row r="14" spans="1:7" ht="16">
      <c r="A14" s="67">
        <v>41640</v>
      </c>
      <c r="B14" s="65">
        <v>37.779998999999997</v>
      </c>
      <c r="C14" s="65">
        <v>38.770000000000003</v>
      </c>
      <c r="D14" s="65">
        <v>36.490001999999997</v>
      </c>
      <c r="E14" s="65">
        <v>36.900002000000001</v>
      </c>
      <c r="F14" s="65">
        <v>31.595217000000002</v>
      </c>
      <c r="G14" s="65">
        <v>334053900</v>
      </c>
    </row>
    <row r="15" spans="1:7" ht="16">
      <c r="A15" s="67">
        <v>41671</v>
      </c>
      <c r="B15" s="65">
        <v>37.090000000000003</v>
      </c>
      <c r="C15" s="65">
        <v>39.369999</v>
      </c>
      <c r="D15" s="65">
        <v>35.439999</v>
      </c>
      <c r="E15" s="65">
        <v>39.110000999999997</v>
      </c>
      <c r="F15" s="65">
        <v>33.594028000000002</v>
      </c>
      <c r="G15" s="65">
        <v>254578900</v>
      </c>
    </row>
    <row r="16" spans="1:7" ht="16">
      <c r="A16" s="67">
        <v>41699</v>
      </c>
      <c r="B16" s="65">
        <v>38.720001000000003</v>
      </c>
      <c r="C16" s="65">
        <v>41.43</v>
      </c>
      <c r="D16" s="65">
        <v>37.380001</v>
      </c>
      <c r="E16" s="65">
        <v>40.909999999999997</v>
      </c>
      <c r="F16" s="65">
        <v>35.140174999999999</v>
      </c>
      <c r="G16" s="65">
        <v>439593500</v>
      </c>
    </row>
    <row r="17" spans="1:7" ht="16">
      <c r="A17" s="67">
        <v>41730</v>
      </c>
      <c r="B17" s="65">
        <v>41.040000999999997</v>
      </c>
      <c r="C17" s="65">
        <v>42</v>
      </c>
      <c r="D17" s="65">
        <v>38.970001000000003</v>
      </c>
      <c r="E17" s="65">
        <v>40.880001</v>
      </c>
      <c r="F17" s="65">
        <v>35.114407</v>
      </c>
      <c r="G17" s="65">
        <v>384502100</v>
      </c>
    </row>
    <row r="18" spans="1:7" ht="16">
      <c r="A18" s="67">
        <v>41760</v>
      </c>
      <c r="B18" s="65">
        <v>40.720001000000003</v>
      </c>
      <c r="C18" s="65">
        <v>42.349997999999999</v>
      </c>
      <c r="D18" s="65">
        <v>40.490001999999997</v>
      </c>
      <c r="E18" s="65">
        <v>42.02</v>
      </c>
      <c r="F18" s="65">
        <v>36.201233000000002</v>
      </c>
      <c r="G18" s="65">
        <v>267018700</v>
      </c>
    </row>
    <row r="19" spans="1:7" ht="16">
      <c r="A19" s="67">
        <v>41791</v>
      </c>
      <c r="B19" s="65">
        <v>41.959999000000003</v>
      </c>
      <c r="C19" s="65">
        <v>43.189999</v>
      </c>
      <c r="D19" s="65">
        <v>39.93</v>
      </c>
      <c r="E19" s="65">
        <v>40.529998999999997</v>
      </c>
      <c r="F19" s="65">
        <v>34.917552999999998</v>
      </c>
      <c r="G19" s="65">
        <v>325033500</v>
      </c>
    </row>
    <row r="20" spans="1:7" ht="16">
      <c r="A20" s="67">
        <v>41821</v>
      </c>
      <c r="B20" s="65">
        <v>40.409999999999997</v>
      </c>
      <c r="C20" s="65">
        <v>41.360000999999997</v>
      </c>
      <c r="D20" s="65">
        <v>39.860000999999997</v>
      </c>
      <c r="E20" s="65">
        <v>40.389999000000003</v>
      </c>
      <c r="F20" s="65">
        <v>34.796947000000003</v>
      </c>
      <c r="G20" s="65">
        <v>279906500</v>
      </c>
    </row>
    <row r="21" spans="1:7" ht="16">
      <c r="A21" s="67">
        <v>41852</v>
      </c>
      <c r="B21" s="65">
        <v>40.189999</v>
      </c>
      <c r="C21" s="65">
        <v>42.040000999999997</v>
      </c>
      <c r="D21" s="65">
        <v>39.529998999999997</v>
      </c>
      <c r="E21" s="65">
        <v>41.529998999999997</v>
      </c>
      <c r="F21" s="65">
        <v>35.883240000000001</v>
      </c>
      <c r="G21" s="65">
        <v>206012100</v>
      </c>
    </row>
    <row r="22" spans="1:7" ht="16">
      <c r="A22" s="67">
        <v>41883</v>
      </c>
      <c r="B22" s="65">
        <v>41.599997999999999</v>
      </c>
      <c r="C22" s="65">
        <v>42.09</v>
      </c>
      <c r="D22" s="65">
        <v>38.139999000000003</v>
      </c>
      <c r="E22" s="65">
        <v>38.279998999999997</v>
      </c>
      <c r="F22" s="65">
        <v>33.075153</v>
      </c>
      <c r="G22" s="65">
        <v>412463900</v>
      </c>
    </row>
    <row r="23" spans="1:7" ht="16">
      <c r="A23" s="67">
        <v>41913</v>
      </c>
      <c r="B23" s="65">
        <v>38.32</v>
      </c>
      <c r="C23" s="65">
        <v>39.240001999999997</v>
      </c>
      <c r="D23" s="65">
        <v>35.82</v>
      </c>
      <c r="E23" s="65">
        <v>39.049999</v>
      </c>
      <c r="F23" s="65">
        <v>33.74044</v>
      </c>
      <c r="G23" s="65">
        <v>355956700</v>
      </c>
    </row>
    <row r="24" spans="1:7" ht="16">
      <c r="A24" s="67">
        <v>41944</v>
      </c>
      <c r="B24" s="65">
        <v>39.020000000000003</v>
      </c>
      <c r="C24" s="65">
        <v>42.509998000000003</v>
      </c>
      <c r="D24" s="65">
        <v>38.759998000000003</v>
      </c>
      <c r="E24" s="65">
        <v>42.41</v>
      </c>
      <c r="F24" s="65">
        <v>36.757010999999999</v>
      </c>
      <c r="G24" s="65">
        <v>210679600</v>
      </c>
    </row>
    <row r="25" spans="1:7" ht="16">
      <c r="A25" s="67">
        <v>41974</v>
      </c>
      <c r="B25" s="65">
        <v>42.009998000000003</v>
      </c>
      <c r="C25" s="65">
        <v>46.709999000000003</v>
      </c>
      <c r="D25" s="65">
        <v>39.919998</v>
      </c>
      <c r="E25" s="65">
        <v>44.970001000000003</v>
      </c>
      <c r="F25" s="65">
        <v>38.975783999999997</v>
      </c>
      <c r="G25" s="65">
        <v>352611500</v>
      </c>
    </row>
  </sheetData>
  <phoneticPr fontId="18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18187-D640-9D44-836D-9814C85C83D8}">
  <dimension ref="A1:G25"/>
  <sheetViews>
    <sheetView workbookViewId="0">
      <selection sqref="A1:G25"/>
    </sheetView>
  </sheetViews>
  <sheetFormatPr baseColWidth="10" defaultRowHeight="13"/>
  <sheetData>
    <row r="1" spans="1:7" ht="16">
      <c r="A1" s="65" t="s">
        <v>0</v>
      </c>
      <c r="B1" s="65" t="s">
        <v>30</v>
      </c>
      <c r="C1" s="65" t="s">
        <v>31</v>
      </c>
      <c r="D1" s="65" t="s">
        <v>32</v>
      </c>
      <c r="E1" s="65" t="s">
        <v>33</v>
      </c>
      <c r="F1" s="65" t="s">
        <v>35</v>
      </c>
      <c r="G1" s="65" t="s">
        <v>34</v>
      </c>
    </row>
    <row r="2" spans="1:7" ht="16">
      <c r="A2" s="67">
        <v>41275</v>
      </c>
      <c r="B2" s="65">
        <v>185.55448899999999</v>
      </c>
      <c r="C2" s="65">
        <v>199.40727200000001</v>
      </c>
      <c r="D2" s="65">
        <v>182.017212</v>
      </c>
      <c r="E2" s="65">
        <v>194.13957199999999</v>
      </c>
      <c r="F2" s="65">
        <v>126.582695</v>
      </c>
      <c r="G2" s="65">
        <v>91667883</v>
      </c>
    </row>
    <row r="3" spans="1:7" ht="16">
      <c r="A3" s="67">
        <v>41306</v>
      </c>
      <c r="B3" s="65">
        <v>195.65010100000001</v>
      </c>
      <c r="C3" s="65">
        <v>196.31930500000001</v>
      </c>
      <c r="D3" s="65">
        <v>188.82409699999999</v>
      </c>
      <c r="E3" s="65">
        <v>191.99809300000001</v>
      </c>
      <c r="F3" s="65">
        <v>125.18641700000001</v>
      </c>
      <c r="G3" s="65">
        <v>67094728</v>
      </c>
    </row>
    <row r="4" spans="1:7" ht="16">
      <c r="A4" s="67">
        <v>41334</v>
      </c>
      <c r="B4" s="65">
        <v>191.82600400000001</v>
      </c>
      <c r="C4" s="65">
        <v>206.40535</v>
      </c>
      <c r="D4" s="65">
        <v>190.59272799999999</v>
      </c>
      <c r="E4" s="65">
        <v>203.919693</v>
      </c>
      <c r="F4" s="65">
        <v>133.51915</v>
      </c>
      <c r="G4" s="65">
        <v>79520894</v>
      </c>
    </row>
    <row r="5" spans="1:7" ht="16">
      <c r="A5" s="67">
        <v>41365</v>
      </c>
      <c r="B5" s="65">
        <v>203.44168099999999</v>
      </c>
      <c r="C5" s="65">
        <v>205.439774</v>
      </c>
      <c r="D5" s="65">
        <v>179.42639199999999</v>
      </c>
      <c r="E5" s="65">
        <v>193.63288900000001</v>
      </c>
      <c r="F5" s="65">
        <v>126.783745</v>
      </c>
      <c r="G5" s="65">
        <v>113665263</v>
      </c>
    </row>
    <row r="6" spans="1:7" ht="16">
      <c r="A6" s="67">
        <v>41395</v>
      </c>
      <c r="B6" s="65">
        <v>192.992355</v>
      </c>
      <c r="C6" s="65">
        <v>202.65774500000001</v>
      </c>
      <c r="D6" s="65">
        <v>190.439774</v>
      </c>
      <c r="E6" s="65">
        <v>198.87188699999999</v>
      </c>
      <c r="F6" s="65">
        <v>130.21408099999999</v>
      </c>
      <c r="G6" s="65">
        <v>94855046</v>
      </c>
    </row>
    <row r="7" spans="1:7" ht="16">
      <c r="A7" s="67">
        <v>41426</v>
      </c>
      <c r="B7" s="65">
        <v>199.09178199999999</v>
      </c>
      <c r="C7" s="65">
        <v>200.812622</v>
      </c>
      <c r="D7" s="65">
        <v>180.12428299999999</v>
      </c>
      <c r="E7" s="65">
        <v>182.70555100000001</v>
      </c>
      <c r="F7" s="65">
        <v>120.18963599999999</v>
      </c>
      <c r="G7" s="65">
        <v>83904889</v>
      </c>
    </row>
    <row r="8" spans="1:7" ht="16">
      <c r="A8" s="67">
        <v>41456</v>
      </c>
      <c r="B8" s="65">
        <v>183.699814</v>
      </c>
      <c r="C8" s="65">
        <v>192.10325599999999</v>
      </c>
      <c r="D8" s="65">
        <v>181.89292900000001</v>
      </c>
      <c r="E8" s="65">
        <v>186.46270799999999</v>
      </c>
      <c r="F8" s="65">
        <v>122.66121699999999</v>
      </c>
      <c r="G8" s="65">
        <v>92131051</v>
      </c>
    </row>
    <row r="9" spans="1:7" ht="16">
      <c r="A9" s="67">
        <v>41487</v>
      </c>
      <c r="B9" s="65">
        <v>188.00190699999999</v>
      </c>
      <c r="C9" s="65">
        <v>188.49903900000001</v>
      </c>
      <c r="D9" s="65">
        <v>173.13575700000001</v>
      </c>
      <c r="E9" s="65">
        <v>174.25430299999999</v>
      </c>
      <c r="F9" s="65">
        <v>114.630188</v>
      </c>
      <c r="G9" s="65">
        <v>76438958</v>
      </c>
    </row>
    <row r="10" spans="1:7" ht="16">
      <c r="A10" s="67">
        <v>41518</v>
      </c>
      <c r="B10" s="65">
        <v>175.55448899999999</v>
      </c>
      <c r="C10" s="65">
        <v>186.31930500000001</v>
      </c>
      <c r="D10" s="65">
        <v>174.292542</v>
      </c>
      <c r="E10" s="65">
        <v>177.03633099999999</v>
      </c>
      <c r="F10" s="65">
        <v>117.042419</v>
      </c>
      <c r="G10" s="65">
        <v>74776552</v>
      </c>
    </row>
    <row r="11" spans="1:7" ht="16">
      <c r="A11" s="67">
        <v>41548</v>
      </c>
      <c r="B11" s="65">
        <v>177.189301</v>
      </c>
      <c r="C11" s="65">
        <v>178.76672400000001</v>
      </c>
      <c r="D11" s="65">
        <v>164.98088100000001</v>
      </c>
      <c r="E11" s="65">
        <v>171.32887299999999</v>
      </c>
      <c r="F11" s="65">
        <v>113.26915</v>
      </c>
      <c r="G11" s="65">
        <v>136991588</v>
      </c>
    </row>
    <row r="12" spans="1:7" ht="16">
      <c r="A12" s="67">
        <v>41579</v>
      </c>
      <c r="B12" s="65">
        <v>171.90248099999999</v>
      </c>
      <c r="C12" s="65">
        <v>178.049713</v>
      </c>
      <c r="D12" s="65">
        <v>169.51242099999999</v>
      </c>
      <c r="E12" s="65">
        <v>171.778198</v>
      </c>
      <c r="F12" s="65">
        <v>113.56616200000001</v>
      </c>
      <c r="G12" s="65">
        <v>105630205</v>
      </c>
    </row>
    <row r="13" spans="1:7" ht="16">
      <c r="A13" s="67">
        <v>41609</v>
      </c>
      <c r="B13" s="65">
        <v>171.567871</v>
      </c>
      <c r="C13" s="65">
        <v>179.531555</v>
      </c>
      <c r="D13" s="65">
        <v>165.13385</v>
      </c>
      <c r="E13" s="65">
        <v>179.32122799999999</v>
      </c>
      <c r="F13" s="65">
        <v>119.189713</v>
      </c>
      <c r="G13" s="65">
        <v>102500782</v>
      </c>
    </row>
    <row r="14" spans="1:7" ht="16">
      <c r="A14" s="67">
        <v>41640</v>
      </c>
      <c r="B14" s="65">
        <v>178.97705099999999</v>
      </c>
      <c r="C14" s="65">
        <v>182.41873200000001</v>
      </c>
      <c r="D14" s="65">
        <v>167.62905900000001</v>
      </c>
      <c r="E14" s="65">
        <v>168.91014100000001</v>
      </c>
      <c r="F14" s="65">
        <v>112.269745</v>
      </c>
      <c r="G14" s="65">
        <v>129169808</v>
      </c>
    </row>
    <row r="15" spans="1:7" ht="16">
      <c r="A15" s="67">
        <v>41671</v>
      </c>
      <c r="B15" s="65">
        <v>168.27915999999999</v>
      </c>
      <c r="C15" s="65">
        <v>177.93499800000001</v>
      </c>
      <c r="D15" s="65">
        <v>164.61758399999999</v>
      </c>
      <c r="E15" s="65">
        <v>177.02676400000001</v>
      </c>
      <c r="F15" s="65">
        <v>117.66461200000001</v>
      </c>
      <c r="G15" s="65">
        <v>91059320</v>
      </c>
    </row>
    <row r="16" spans="1:7" ht="16">
      <c r="A16" s="67">
        <v>41699</v>
      </c>
      <c r="B16" s="65">
        <v>175.267685</v>
      </c>
      <c r="C16" s="65">
        <v>187.02676400000001</v>
      </c>
      <c r="D16" s="65">
        <v>174.196945</v>
      </c>
      <c r="E16" s="65">
        <v>184.024857</v>
      </c>
      <c r="F16" s="65">
        <v>122.98661800000001</v>
      </c>
      <c r="G16" s="65">
        <v>124457264</v>
      </c>
    </row>
    <row r="17" spans="1:7" ht="16">
      <c r="A17" s="67">
        <v>41730</v>
      </c>
      <c r="B17" s="65">
        <v>184.627151</v>
      </c>
      <c r="C17" s="65">
        <v>190.44932600000001</v>
      </c>
      <c r="D17" s="65">
        <v>178.78585799999999</v>
      </c>
      <c r="E17" s="65">
        <v>187.82983400000001</v>
      </c>
      <c r="F17" s="65">
        <v>125.529533</v>
      </c>
      <c r="G17" s="65">
        <v>123889498</v>
      </c>
    </row>
    <row r="18" spans="1:7" ht="16">
      <c r="A18" s="67">
        <v>41760</v>
      </c>
      <c r="B18" s="65">
        <v>187.67686499999999</v>
      </c>
      <c r="C18" s="65">
        <v>188.087952</v>
      </c>
      <c r="D18" s="65">
        <v>174.31166099999999</v>
      </c>
      <c r="E18" s="65">
        <v>176.252396</v>
      </c>
      <c r="F18" s="65">
        <v>117.79218299999999</v>
      </c>
      <c r="G18" s="65">
        <v>73239141</v>
      </c>
    </row>
    <row r="19" spans="1:7" ht="16">
      <c r="A19" s="67">
        <v>41791</v>
      </c>
      <c r="B19" s="65">
        <v>176.63479599999999</v>
      </c>
      <c r="C19" s="65">
        <v>179.397705</v>
      </c>
      <c r="D19" s="65">
        <v>171.38623000000001</v>
      </c>
      <c r="E19" s="65">
        <v>173.29827900000001</v>
      </c>
      <c r="F19" s="65">
        <v>116.49221</v>
      </c>
      <c r="G19" s="65">
        <v>82112778</v>
      </c>
    </row>
    <row r="20" spans="1:7" ht="16">
      <c r="A20" s="67">
        <v>41821</v>
      </c>
      <c r="B20" s="65">
        <v>173.70936599999999</v>
      </c>
      <c r="C20" s="65">
        <v>187.76290900000001</v>
      </c>
      <c r="D20" s="65">
        <v>173.70936599999999</v>
      </c>
      <c r="E20" s="65">
        <v>183.24092099999999</v>
      </c>
      <c r="F20" s="65">
        <v>123.175713</v>
      </c>
      <c r="G20" s="65">
        <v>102087299</v>
      </c>
    </row>
    <row r="21" spans="1:7" ht="16">
      <c r="A21" s="67">
        <v>41852</v>
      </c>
      <c r="B21" s="65">
        <v>182.12237500000001</v>
      </c>
      <c r="C21" s="65">
        <v>185.59272799999999</v>
      </c>
      <c r="D21" s="65">
        <v>175.506699</v>
      </c>
      <c r="E21" s="65">
        <v>183.84321600000001</v>
      </c>
      <c r="F21" s="65">
        <v>123.58055899999999</v>
      </c>
      <c r="G21" s="65">
        <v>55912990</v>
      </c>
    </row>
    <row r="22" spans="1:7" ht="16">
      <c r="A22" s="67">
        <v>41883</v>
      </c>
      <c r="B22" s="65">
        <v>184.20649700000001</v>
      </c>
      <c r="C22" s="65">
        <v>186.42446899999999</v>
      </c>
      <c r="D22" s="65">
        <v>179.84703099999999</v>
      </c>
      <c r="E22" s="65">
        <v>181.481842</v>
      </c>
      <c r="F22" s="65">
        <v>122.71472199999999</v>
      </c>
      <c r="G22" s="65">
        <v>67131862</v>
      </c>
    </row>
    <row r="23" spans="1:7" ht="16">
      <c r="A23" s="67">
        <v>41913</v>
      </c>
      <c r="B23" s="65">
        <v>181.55831900000001</v>
      </c>
      <c r="C23" s="65">
        <v>182.49522400000001</v>
      </c>
      <c r="D23" s="65">
        <v>154.015289</v>
      </c>
      <c r="E23" s="65">
        <v>157.17016599999999</v>
      </c>
      <c r="F23" s="65">
        <v>106.275612</v>
      </c>
      <c r="G23" s="65">
        <v>152983045</v>
      </c>
    </row>
    <row r="24" spans="1:7" ht="16">
      <c r="A24" s="67">
        <v>41944</v>
      </c>
      <c r="B24" s="65">
        <v>157.02676400000001</v>
      </c>
      <c r="C24" s="65">
        <v>157.715103</v>
      </c>
      <c r="D24" s="65">
        <v>152.77246099999999</v>
      </c>
      <c r="E24" s="65">
        <v>155.038239</v>
      </c>
      <c r="F24" s="65">
        <v>104.83403800000001</v>
      </c>
      <c r="G24" s="65">
        <v>83696316</v>
      </c>
    </row>
    <row r="25" spans="1:7" ht="16">
      <c r="A25" s="67">
        <v>41974</v>
      </c>
      <c r="B25" s="65">
        <v>154.531555</v>
      </c>
      <c r="C25" s="65">
        <v>157.284897</v>
      </c>
      <c r="D25" s="65">
        <v>143.88145399999999</v>
      </c>
      <c r="E25" s="65">
        <v>153.38432299999999</v>
      </c>
      <c r="F25" s="65">
        <v>104.42553700000001</v>
      </c>
      <c r="G25" s="65">
        <v>106256131</v>
      </c>
    </row>
  </sheetData>
  <phoneticPr fontId="18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490BE-D80A-1849-B2E0-64CF4F78BDB1}">
  <dimension ref="A1:G25"/>
  <sheetViews>
    <sheetView workbookViewId="0">
      <selection sqref="A1:G25"/>
    </sheetView>
  </sheetViews>
  <sheetFormatPr baseColWidth="10" defaultRowHeight="13"/>
  <sheetData>
    <row r="1" spans="1:7" ht="16">
      <c r="A1" s="65" t="s">
        <v>0</v>
      </c>
      <c r="B1" s="65" t="s">
        <v>30</v>
      </c>
      <c r="C1" s="65" t="s">
        <v>31</v>
      </c>
      <c r="D1" s="65" t="s">
        <v>32</v>
      </c>
      <c r="E1" s="65" t="s">
        <v>33</v>
      </c>
      <c r="F1" s="65" t="s">
        <v>35</v>
      </c>
      <c r="G1" s="65" t="s">
        <v>34</v>
      </c>
    </row>
    <row r="2" spans="1:7" ht="16">
      <c r="A2" s="67">
        <v>41275</v>
      </c>
      <c r="B2" s="65">
        <v>27.25</v>
      </c>
      <c r="C2" s="65">
        <v>28.23</v>
      </c>
      <c r="D2" s="65">
        <v>26.280000999999999</v>
      </c>
      <c r="E2" s="65">
        <v>27.450001</v>
      </c>
      <c r="F2" s="65">
        <v>22.481107999999999</v>
      </c>
      <c r="G2" s="65">
        <v>1145054400</v>
      </c>
    </row>
    <row r="3" spans="1:7" ht="16">
      <c r="A3" s="67">
        <v>41306</v>
      </c>
      <c r="B3" s="65">
        <v>27.67</v>
      </c>
      <c r="C3" s="65">
        <v>28.200001</v>
      </c>
      <c r="D3" s="65">
        <v>27.1</v>
      </c>
      <c r="E3" s="65">
        <v>27.799999</v>
      </c>
      <c r="F3" s="65">
        <v>22.767752000000002</v>
      </c>
      <c r="G3" s="65">
        <v>780587000</v>
      </c>
    </row>
    <row r="4" spans="1:7" ht="16">
      <c r="A4" s="67">
        <v>41334</v>
      </c>
      <c r="B4" s="65">
        <v>27.719999000000001</v>
      </c>
      <c r="C4" s="65">
        <v>28.66</v>
      </c>
      <c r="D4" s="65">
        <v>27.52</v>
      </c>
      <c r="E4" s="65">
        <v>28.610001</v>
      </c>
      <c r="F4" s="65">
        <v>23.625126000000002</v>
      </c>
      <c r="G4" s="65">
        <v>844946000</v>
      </c>
    </row>
    <row r="5" spans="1:7" ht="16">
      <c r="A5" s="67">
        <v>41365</v>
      </c>
      <c r="B5" s="65">
        <v>28.639999</v>
      </c>
      <c r="C5" s="65">
        <v>33.110000999999997</v>
      </c>
      <c r="D5" s="65">
        <v>28.110001</v>
      </c>
      <c r="E5" s="65">
        <v>33.099997999999999</v>
      </c>
      <c r="F5" s="65">
        <v>27.332799999999999</v>
      </c>
      <c r="G5" s="65">
        <v>1465757200</v>
      </c>
    </row>
    <row r="6" spans="1:7" ht="16">
      <c r="A6" s="67">
        <v>41395</v>
      </c>
      <c r="B6" s="65">
        <v>32.93</v>
      </c>
      <c r="C6" s="65">
        <v>35.279998999999997</v>
      </c>
      <c r="D6" s="65">
        <v>32.32</v>
      </c>
      <c r="E6" s="65">
        <v>34.900002000000001</v>
      </c>
      <c r="F6" s="65">
        <v>28.819185000000001</v>
      </c>
      <c r="G6" s="65">
        <v>1071860000</v>
      </c>
    </row>
    <row r="7" spans="1:7" ht="16">
      <c r="A7" s="67">
        <v>41426</v>
      </c>
      <c r="B7" s="65">
        <v>34.919998</v>
      </c>
      <c r="C7" s="65">
        <v>35.779998999999997</v>
      </c>
      <c r="D7" s="65">
        <v>32.57</v>
      </c>
      <c r="E7" s="65">
        <v>34.540000999999997</v>
      </c>
      <c r="F7" s="65">
        <v>28.721909</v>
      </c>
      <c r="G7" s="65">
        <v>945155500</v>
      </c>
    </row>
    <row r="8" spans="1:7" ht="16">
      <c r="A8" s="67">
        <v>41456</v>
      </c>
      <c r="B8" s="65">
        <v>34.75</v>
      </c>
      <c r="C8" s="65">
        <v>36.43</v>
      </c>
      <c r="D8" s="65">
        <v>31.02</v>
      </c>
      <c r="E8" s="65">
        <v>31.84</v>
      </c>
      <c r="F8" s="65">
        <v>26.476714999999999</v>
      </c>
      <c r="G8" s="65">
        <v>1111130600</v>
      </c>
    </row>
    <row r="9" spans="1:7" ht="16">
      <c r="A9" s="67">
        <v>41487</v>
      </c>
      <c r="B9" s="65">
        <v>32.060001</v>
      </c>
      <c r="C9" s="65">
        <v>35.200001</v>
      </c>
      <c r="D9" s="65">
        <v>30.84</v>
      </c>
      <c r="E9" s="65">
        <v>33.400002000000001</v>
      </c>
      <c r="F9" s="65">
        <v>27.773937</v>
      </c>
      <c r="G9" s="65">
        <v>1051265000</v>
      </c>
    </row>
    <row r="10" spans="1:7" ht="16">
      <c r="A10" s="67">
        <v>41518</v>
      </c>
      <c r="B10" s="65">
        <v>31.75</v>
      </c>
      <c r="C10" s="65">
        <v>33.75</v>
      </c>
      <c r="D10" s="65">
        <v>30.950001</v>
      </c>
      <c r="E10" s="65">
        <v>33.279998999999997</v>
      </c>
      <c r="F10" s="65">
        <v>27.869160000000001</v>
      </c>
      <c r="G10" s="65">
        <v>1242961500</v>
      </c>
    </row>
    <row r="11" spans="1:7" ht="16">
      <c r="A11" s="67">
        <v>41548</v>
      </c>
      <c r="B11" s="65">
        <v>33.349997999999999</v>
      </c>
      <c r="C11" s="65">
        <v>36.290000999999997</v>
      </c>
      <c r="D11" s="65">
        <v>32.799999</v>
      </c>
      <c r="E11" s="65">
        <v>35.409999999999997</v>
      </c>
      <c r="F11" s="65">
        <v>29.652849</v>
      </c>
      <c r="G11" s="65">
        <v>965331500</v>
      </c>
    </row>
    <row r="12" spans="1:7" ht="16">
      <c r="A12" s="67">
        <v>41579</v>
      </c>
      <c r="B12" s="65">
        <v>35.669998</v>
      </c>
      <c r="C12" s="65">
        <v>38.290000999999997</v>
      </c>
      <c r="D12" s="65">
        <v>35.389999000000003</v>
      </c>
      <c r="E12" s="65">
        <v>38.130001</v>
      </c>
      <c r="F12" s="65">
        <v>31.930616000000001</v>
      </c>
      <c r="G12" s="65">
        <v>800431600</v>
      </c>
    </row>
    <row r="13" spans="1:7" ht="16">
      <c r="A13" s="67">
        <v>41609</v>
      </c>
      <c r="B13" s="65">
        <v>38.090000000000003</v>
      </c>
      <c r="C13" s="65">
        <v>38.979999999999997</v>
      </c>
      <c r="D13" s="65">
        <v>35.529998999999997</v>
      </c>
      <c r="E13" s="65">
        <v>37.409999999999997</v>
      </c>
      <c r="F13" s="65">
        <v>31.565270999999999</v>
      </c>
      <c r="G13" s="65">
        <v>826617700</v>
      </c>
    </row>
    <row r="14" spans="1:7" ht="16">
      <c r="A14" s="67">
        <v>41640</v>
      </c>
      <c r="B14" s="65">
        <v>37.349997999999999</v>
      </c>
      <c r="C14" s="65">
        <v>37.889999000000003</v>
      </c>
      <c r="D14" s="65">
        <v>34.630001</v>
      </c>
      <c r="E14" s="65">
        <v>37.840000000000003</v>
      </c>
      <c r="F14" s="65">
        <v>31.928082</v>
      </c>
      <c r="G14" s="65">
        <v>930226200</v>
      </c>
    </row>
    <row r="15" spans="1:7" ht="16">
      <c r="A15" s="67">
        <v>41671</v>
      </c>
      <c r="B15" s="65">
        <v>37.740001999999997</v>
      </c>
      <c r="C15" s="65">
        <v>38.459999000000003</v>
      </c>
      <c r="D15" s="65">
        <v>35.689999</v>
      </c>
      <c r="E15" s="65">
        <v>38.310001</v>
      </c>
      <c r="F15" s="65">
        <v>32.324649999999998</v>
      </c>
      <c r="G15" s="65">
        <v>705304500</v>
      </c>
    </row>
    <row r="16" spans="1:7" ht="16">
      <c r="A16" s="67">
        <v>41699</v>
      </c>
      <c r="B16" s="65">
        <v>37.919998</v>
      </c>
      <c r="C16" s="65">
        <v>41.5</v>
      </c>
      <c r="D16" s="65">
        <v>37.490001999999997</v>
      </c>
      <c r="E16" s="65">
        <v>40.990001999999997</v>
      </c>
      <c r="F16" s="65">
        <v>34.845298999999997</v>
      </c>
      <c r="G16" s="65">
        <v>778425700</v>
      </c>
    </row>
    <row r="17" spans="1:7" ht="16">
      <c r="A17" s="67">
        <v>41730</v>
      </c>
      <c r="B17" s="65">
        <v>41.150002000000001</v>
      </c>
      <c r="C17" s="65">
        <v>41.66</v>
      </c>
      <c r="D17" s="65">
        <v>38.900002000000001</v>
      </c>
      <c r="E17" s="65">
        <v>40.400002000000001</v>
      </c>
      <c r="F17" s="65">
        <v>34.343741999999999</v>
      </c>
      <c r="G17" s="65">
        <v>746112500</v>
      </c>
    </row>
    <row r="18" spans="1:7" ht="16">
      <c r="A18" s="67">
        <v>41760</v>
      </c>
      <c r="B18" s="65">
        <v>40.240001999999997</v>
      </c>
      <c r="C18" s="65">
        <v>40.970001000000003</v>
      </c>
      <c r="D18" s="65">
        <v>38.509998000000003</v>
      </c>
      <c r="E18" s="65">
        <v>40.939999</v>
      </c>
      <c r="F18" s="65">
        <v>34.802795000000003</v>
      </c>
      <c r="G18" s="65">
        <v>574362900</v>
      </c>
    </row>
    <row r="19" spans="1:7" ht="16">
      <c r="A19" s="67">
        <v>41791</v>
      </c>
      <c r="B19" s="65">
        <v>40.950001</v>
      </c>
      <c r="C19" s="65">
        <v>42.290000999999997</v>
      </c>
      <c r="D19" s="65">
        <v>39.860000999999997</v>
      </c>
      <c r="E19" s="65">
        <v>41.700001</v>
      </c>
      <c r="F19" s="65">
        <v>35.69894</v>
      </c>
      <c r="G19" s="65">
        <v>555767300</v>
      </c>
    </row>
    <row r="20" spans="1:7" ht="16">
      <c r="A20" s="67">
        <v>41821</v>
      </c>
      <c r="B20" s="65">
        <v>41.860000999999997</v>
      </c>
      <c r="C20" s="65">
        <v>45.709999000000003</v>
      </c>
      <c r="D20" s="65">
        <v>41.049999</v>
      </c>
      <c r="E20" s="65">
        <v>43.16</v>
      </c>
      <c r="F20" s="65">
        <v>36.948841000000002</v>
      </c>
      <c r="G20" s="65">
        <v>731616500</v>
      </c>
    </row>
    <row r="21" spans="1:7" ht="16">
      <c r="A21" s="67">
        <v>41852</v>
      </c>
      <c r="B21" s="65">
        <v>43.209999000000003</v>
      </c>
      <c r="C21" s="65">
        <v>45.470001000000003</v>
      </c>
      <c r="D21" s="65">
        <v>42.209999000000003</v>
      </c>
      <c r="E21" s="65">
        <v>45.43</v>
      </c>
      <c r="F21" s="65">
        <v>38.892166000000003</v>
      </c>
      <c r="G21" s="65">
        <v>513919700</v>
      </c>
    </row>
    <row r="22" spans="1:7" ht="16">
      <c r="A22" s="67">
        <v>41883</v>
      </c>
      <c r="B22" s="65">
        <v>45.43</v>
      </c>
      <c r="C22" s="65">
        <v>47.57</v>
      </c>
      <c r="D22" s="65">
        <v>44.529998999999997</v>
      </c>
      <c r="E22" s="65">
        <v>46.360000999999997</v>
      </c>
      <c r="F22" s="65">
        <v>39.936207000000003</v>
      </c>
      <c r="G22" s="65">
        <v>860827300</v>
      </c>
    </row>
    <row r="23" spans="1:7" ht="16">
      <c r="A23" s="67">
        <v>41913</v>
      </c>
      <c r="B23" s="65">
        <v>46.27</v>
      </c>
      <c r="C23" s="65">
        <v>46.970001000000003</v>
      </c>
      <c r="D23" s="65">
        <v>42.099997999999999</v>
      </c>
      <c r="E23" s="65">
        <v>46.950001</v>
      </c>
      <c r="F23" s="65">
        <v>40.444454</v>
      </c>
      <c r="G23" s="65">
        <v>853260900</v>
      </c>
    </row>
    <row r="24" spans="1:7" ht="16">
      <c r="A24" s="67">
        <v>41944</v>
      </c>
      <c r="B24" s="65">
        <v>46.889999000000003</v>
      </c>
      <c r="C24" s="65">
        <v>50.049999</v>
      </c>
      <c r="D24" s="65">
        <v>46.73</v>
      </c>
      <c r="E24" s="65">
        <v>47.810001</v>
      </c>
      <c r="F24" s="65">
        <v>41.185299000000001</v>
      </c>
      <c r="G24" s="65">
        <v>523005900</v>
      </c>
    </row>
    <row r="25" spans="1:7" ht="16">
      <c r="A25" s="67">
        <v>41974</v>
      </c>
      <c r="B25" s="65">
        <v>47.880001</v>
      </c>
      <c r="C25" s="65">
        <v>49.060001</v>
      </c>
      <c r="D25" s="65">
        <v>44.900002000000001</v>
      </c>
      <c r="E25" s="65">
        <v>46.450001</v>
      </c>
      <c r="F25" s="65">
        <v>40.266109</v>
      </c>
      <c r="G25" s="65">
        <v>626771200</v>
      </c>
    </row>
  </sheetData>
  <phoneticPr fontId="18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AD8FC-EA47-CB45-BFCA-D02BB72E9509}">
  <dimension ref="A1:G25"/>
  <sheetViews>
    <sheetView workbookViewId="0">
      <selection sqref="A1:G25"/>
    </sheetView>
  </sheetViews>
  <sheetFormatPr baseColWidth="10" defaultRowHeight="13"/>
  <sheetData>
    <row r="1" spans="1:7" ht="16">
      <c r="A1" s="65" t="s">
        <v>0</v>
      </c>
      <c r="B1" s="65" t="s">
        <v>30</v>
      </c>
      <c r="C1" s="65" t="s">
        <v>31</v>
      </c>
      <c r="D1" s="65" t="s">
        <v>32</v>
      </c>
      <c r="E1" s="65" t="s">
        <v>33</v>
      </c>
      <c r="F1" s="65" t="s">
        <v>35</v>
      </c>
      <c r="G1" s="65" t="s">
        <v>34</v>
      </c>
    </row>
    <row r="2" spans="1:7" ht="16">
      <c r="A2" s="67">
        <v>41275</v>
      </c>
      <c r="B2" s="65">
        <v>134.740005</v>
      </c>
      <c r="C2" s="65">
        <v>139.020004</v>
      </c>
      <c r="D2" s="65">
        <v>134.300003</v>
      </c>
      <c r="E2" s="65">
        <v>138.16999799999999</v>
      </c>
      <c r="F2" s="65">
        <v>115.33279400000001</v>
      </c>
      <c r="G2" s="65">
        <v>0</v>
      </c>
    </row>
    <row r="3" spans="1:7" ht="16">
      <c r="A3" s="67">
        <v>41306</v>
      </c>
      <c r="B3" s="65">
        <v>139.55999800000001</v>
      </c>
      <c r="C3" s="65">
        <v>141.41000399999999</v>
      </c>
      <c r="D3" s="65">
        <v>137.490005</v>
      </c>
      <c r="E3" s="65">
        <v>140.020004</v>
      </c>
      <c r="F3" s="65">
        <v>116.87702899999999</v>
      </c>
      <c r="G3" s="65">
        <v>0</v>
      </c>
    </row>
    <row r="4" spans="1:7" ht="16">
      <c r="A4" s="67">
        <v>41334</v>
      </c>
      <c r="B4" s="65">
        <v>140.35000600000001</v>
      </c>
      <c r="C4" s="65">
        <v>144.64999399999999</v>
      </c>
      <c r="D4" s="65">
        <v>140.35000600000001</v>
      </c>
      <c r="E4" s="65">
        <v>144.61000100000001</v>
      </c>
      <c r="F4" s="65">
        <v>120.708366</v>
      </c>
      <c r="G4" s="65">
        <v>0</v>
      </c>
    </row>
    <row r="5" spans="1:7" ht="16">
      <c r="A5" s="67">
        <v>41365</v>
      </c>
      <c r="B5" s="65">
        <v>143.970001</v>
      </c>
      <c r="C5" s="65">
        <v>147.36999499999999</v>
      </c>
      <c r="D5" s="65">
        <v>142.179993</v>
      </c>
      <c r="E5" s="65">
        <v>147.36999499999999</v>
      </c>
      <c r="F5" s="65">
        <v>123.556107</v>
      </c>
      <c r="G5" s="65">
        <v>0</v>
      </c>
    </row>
    <row r="6" spans="1:7" ht="16">
      <c r="A6" s="67">
        <v>41395</v>
      </c>
      <c r="B6" s="65">
        <v>146.009995</v>
      </c>
      <c r="C6" s="65">
        <v>154.259995</v>
      </c>
      <c r="D6" s="65">
        <v>146.009995</v>
      </c>
      <c r="E6" s="65">
        <v>150.800003</v>
      </c>
      <c r="F6" s="65">
        <v>126.43193100000001</v>
      </c>
      <c r="G6" s="65">
        <v>0</v>
      </c>
    </row>
    <row r="7" spans="1:7" ht="16">
      <c r="A7" s="67">
        <v>41426</v>
      </c>
      <c r="B7" s="65">
        <v>151.71000699999999</v>
      </c>
      <c r="C7" s="65">
        <v>152.88999899999999</v>
      </c>
      <c r="D7" s="65">
        <v>144.94000199999999</v>
      </c>
      <c r="E7" s="65">
        <v>148.05999800000001</v>
      </c>
      <c r="F7" s="65">
        <v>124.134613</v>
      </c>
      <c r="G7" s="65">
        <v>0</v>
      </c>
    </row>
    <row r="8" spans="1:7" ht="16">
      <c r="A8" s="67">
        <v>41456</v>
      </c>
      <c r="B8" s="65">
        <v>148.86999499999999</v>
      </c>
      <c r="C8" s="65">
        <v>156.429993</v>
      </c>
      <c r="D8" s="65">
        <v>148.820007</v>
      </c>
      <c r="E8" s="65">
        <v>155.570007</v>
      </c>
      <c r="F8" s="65">
        <v>131.052368</v>
      </c>
      <c r="G8" s="65">
        <v>0</v>
      </c>
    </row>
    <row r="9" spans="1:7" ht="16">
      <c r="A9" s="67">
        <v>41487</v>
      </c>
      <c r="B9" s="65">
        <v>157.529999</v>
      </c>
      <c r="C9" s="65">
        <v>157.78999300000001</v>
      </c>
      <c r="D9" s="65">
        <v>150.75</v>
      </c>
      <c r="E9" s="65">
        <v>151.03999300000001</v>
      </c>
      <c r="F9" s="65">
        <v>127.236305</v>
      </c>
      <c r="G9" s="65">
        <v>0</v>
      </c>
    </row>
    <row r="10" spans="1:7" ht="16">
      <c r="A10" s="67">
        <v>41518</v>
      </c>
      <c r="B10" s="65">
        <v>151.679993</v>
      </c>
      <c r="C10" s="65">
        <v>159.740005</v>
      </c>
      <c r="D10" s="65">
        <v>151.679993</v>
      </c>
      <c r="E10" s="65">
        <v>155.020004</v>
      </c>
      <c r="F10" s="65">
        <v>130.58904999999999</v>
      </c>
      <c r="G10" s="65">
        <v>0</v>
      </c>
    </row>
    <row r="11" spans="1:7" ht="16">
      <c r="A11" s="67">
        <v>41548</v>
      </c>
      <c r="B11" s="65">
        <v>156.270004</v>
      </c>
      <c r="C11" s="65">
        <v>163.520004</v>
      </c>
      <c r="D11" s="65">
        <v>152.699997</v>
      </c>
      <c r="E11" s="65">
        <v>162.13000500000001</v>
      </c>
      <c r="F11" s="65">
        <v>137.22129799999999</v>
      </c>
      <c r="G11" s="65">
        <v>0</v>
      </c>
    </row>
    <row r="12" spans="1:7" ht="16">
      <c r="A12" s="67">
        <v>41579</v>
      </c>
      <c r="B12" s="65">
        <v>162.58999600000001</v>
      </c>
      <c r="C12" s="65">
        <v>167.16999799999999</v>
      </c>
      <c r="D12" s="65">
        <v>161.39999399999999</v>
      </c>
      <c r="E12" s="65">
        <v>167.03999300000001</v>
      </c>
      <c r="F12" s="65">
        <v>141.37698399999999</v>
      </c>
      <c r="G12" s="65">
        <v>0</v>
      </c>
    </row>
    <row r="13" spans="1:7" ht="16">
      <c r="A13" s="67">
        <v>41609</v>
      </c>
      <c r="B13" s="65">
        <v>166.58999600000001</v>
      </c>
      <c r="C13" s="65">
        <v>170.36000100000001</v>
      </c>
      <c r="D13" s="65">
        <v>164.36000100000001</v>
      </c>
      <c r="E13" s="65">
        <v>170.36000100000001</v>
      </c>
      <c r="F13" s="65">
        <v>144.18689000000001</v>
      </c>
      <c r="G13" s="65">
        <v>0</v>
      </c>
    </row>
    <row r="14" spans="1:7" ht="16">
      <c r="A14" s="67">
        <v>41640</v>
      </c>
      <c r="B14" s="65">
        <v>168.88000500000001</v>
      </c>
      <c r="C14" s="65">
        <v>170.46000699999999</v>
      </c>
      <c r="D14" s="65">
        <v>163.66999799999999</v>
      </c>
      <c r="E14" s="65">
        <v>164.449997</v>
      </c>
      <c r="F14" s="65">
        <v>139.90692100000001</v>
      </c>
      <c r="G14" s="65">
        <v>0</v>
      </c>
    </row>
    <row r="15" spans="1:7" ht="16">
      <c r="A15" s="67">
        <v>41671</v>
      </c>
      <c r="B15" s="65">
        <v>160.69000199999999</v>
      </c>
      <c r="C15" s="65">
        <v>171.949997</v>
      </c>
      <c r="D15" s="65">
        <v>160.69000199999999</v>
      </c>
      <c r="E15" s="65">
        <v>171.949997</v>
      </c>
      <c r="F15" s="65">
        <v>146.28758199999999</v>
      </c>
      <c r="G15" s="65">
        <v>0</v>
      </c>
    </row>
    <row r="16" spans="1:7" ht="16">
      <c r="A16" s="67">
        <v>41699</v>
      </c>
      <c r="B16" s="65">
        <v>170.69000199999999</v>
      </c>
      <c r="C16" s="65">
        <v>173.75</v>
      </c>
      <c r="D16" s="65">
        <v>170.41999799999999</v>
      </c>
      <c r="E16" s="65">
        <v>172.63000500000001</v>
      </c>
      <c r="F16" s="65">
        <v>146.86608899999999</v>
      </c>
      <c r="G16" s="65">
        <v>0</v>
      </c>
    </row>
    <row r="17" spans="1:7" ht="16">
      <c r="A17" s="67">
        <v>41730</v>
      </c>
      <c r="B17" s="65">
        <v>173.86000100000001</v>
      </c>
      <c r="C17" s="65">
        <v>174.38000500000001</v>
      </c>
      <c r="D17" s="65">
        <v>167.53999300000001</v>
      </c>
      <c r="E17" s="65">
        <v>173.88000500000001</v>
      </c>
      <c r="F17" s="65">
        <v>148.55879200000001</v>
      </c>
      <c r="G17" s="65">
        <v>0</v>
      </c>
    </row>
    <row r="18" spans="1:7" ht="16">
      <c r="A18" s="67">
        <v>41760</v>
      </c>
      <c r="B18" s="65">
        <v>173.86999499999999</v>
      </c>
      <c r="C18" s="65">
        <v>177.94000199999999</v>
      </c>
      <c r="D18" s="65">
        <v>172.41000399999999</v>
      </c>
      <c r="E18" s="65">
        <v>177.94000199999999</v>
      </c>
      <c r="F18" s="65">
        <v>152.027603</v>
      </c>
      <c r="G18" s="65">
        <v>0</v>
      </c>
    </row>
    <row r="19" spans="1:7" ht="16">
      <c r="A19" s="67">
        <v>41791</v>
      </c>
      <c r="B19" s="65">
        <v>178.08999600000001</v>
      </c>
      <c r="C19" s="65">
        <v>181.46000699999999</v>
      </c>
      <c r="D19" s="65">
        <v>178.029999</v>
      </c>
      <c r="E19" s="65">
        <v>180.83000200000001</v>
      </c>
      <c r="F19" s="65">
        <v>154.49674999999999</v>
      </c>
      <c r="G19" s="65">
        <v>0</v>
      </c>
    </row>
    <row r="20" spans="1:7" ht="16">
      <c r="A20" s="67">
        <v>41821</v>
      </c>
      <c r="B20" s="65">
        <v>182.070007</v>
      </c>
      <c r="C20" s="65">
        <v>183.55999800000001</v>
      </c>
      <c r="D20" s="65">
        <v>178.320007</v>
      </c>
      <c r="E20" s="65">
        <v>178.320007</v>
      </c>
      <c r="F20" s="65">
        <v>152.99473599999999</v>
      </c>
      <c r="G20" s="65">
        <v>0</v>
      </c>
    </row>
    <row r="21" spans="1:7" ht="16">
      <c r="A21" s="67">
        <v>41852</v>
      </c>
      <c r="B21" s="65">
        <v>177.80999800000001</v>
      </c>
      <c r="C21" s="65">
        <v>185.429993</v>
      </c>
      <c r="D21" s="65">
        <v>176.479996</v>
      </c>
      <c r="E21" s="65">
        <v>185.429993</v>
      </c>
      <c r="F21" s="65">
        <v>159.09489400000001</v>
      </c>
      <c r="G21" s="65">
        <v>0</v>
      </c>
    </row>
    <row r="22" spans="1:7" ht="16">
      <c r="A22" s="67">
        <v>41883</v>
      </c>
      <c r="B22" s="65">
        <v>185.33000200000001</v>
      </c>
      <c r="C22" s="65">
        <v>186.35000600000001</v>
      </c>
      <c r="D22" s="65">
        <v>181.35000600000001</v>
      </c>
      <c r="E22" s="65">
        <v>181.990005</v>
      </c>
      <c r="F22" s="65">
        <v>156.14350899999999</v>
      </c>
      <c r="G22" s="65">
        <v>0</v>
      </c>
    </row>
    <row r="23" spans="1:7" ht="16">
      <c r="A23" s="67">
        <v>41913</v>
      </c>
      <c r="B23" s="65">
        <v>179.58999600000001</v>
      </c>
      <c r="C23" s="65">
        <v>186.39999399999999</v>
      </c>
      <c r="D23" s="65">
        <v>171.979996</v>
      </c>
      <c r="E23" s="65">
        <v>186.39999399999999</v>
      </c>
      <c r="F23" s="65">
        <v>160.63916</v>
      </c>
      <c r="G23" s="65">
        <v>0</v>
      </c>
    </row>
    <row r="24" spans="1:7" ht="16">
      <c r="A24" s="67">
        <v>41944</v>
      </c>
      <c r="B24" s="65">
        <v>186.38000500000001</v>
      </c>
      <c r="C24" s="65">
        <v>191.88000500000001</v>
      </c>
      <c r="D24" s="65">
        <v>185.85000600000001</v>
      </c>
      <c r="E24" s="65">
        <v>191.39999399999999</v>
      </c>
      <c r="F24" s="65">
        <v>164.94818100000001</v>
      </c>
      <c r="G24" s="65">
        <v>0</v>
      </c>
    </row>
    <row r="25" spans="1:7" ht="16">
      <c r="A25" s="67">
        <v>41974</v>
      </c>
      <c r="B25" s="65">
        <v>190.10000600000001</v>
      </c>
      <c r="C25" s="65">
        <v>192.78999300000001</v>
      </c>
      <c r="D25" s="65">
        <v>182.78999300000001</v>
      </c>
      <c r="E25" s="65">
        <v>189.88999899999999</v>
      </c>
      <c r="F25" s="65">
        <v>163.646896</v>
      </c>
      <c r="G25" s="65">
        <v>0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26</vt:i4>
      </vt:variant>
      <vt:variant>
        <vt:lpstr>命名范围</vt:lpstr>
      </vt:variant>
      <vt:variant>
        <vt:i4>3</vt:i4>
      </vt:variant>
    </vt:vector>
  </HeadingPairs>
  <TitlesOfParts>
    <vt:vector size="29" baseType="lpstr">
      <vt:lpstr>EoC Exercise 1 DATA</vt:lpstr>
      <vt:lpstr>EoC Exercise 2 DATA</vt:lpstr>
      <vt:lpstr>EoC Exercise 3 DATA</vt:lpstr>
      <vt:lpstr>EoC Exercise 5 Template</vt:lpstr>
      <vt:lpstr>EoC Exercise 6 DATA</vt:lpstr>
      <vt:lpstr>EoC Exercise 7 Template</vt:lpstr>
      <vt:lpstr>EoC Exercise 8 Template</vt:lpstr>
      <vt:lpstr>EoC Exercise 9</vt:lpstr>
      <vt:lpstr>EoC Exercise 10 Template</vt:lpstr>
      <vt:lpstr>EoC Exercise 11 Template</vt:lpstr>
      <vt:lpstr>EoC Exercise 12 Template</vt:lpstr>
      <vt:lpstr>EoC Exercise 13 Template</vt:lpstr>
      <vt:lpstr>EoC Exercise 14</vt:lpstr>
      <vt:lpstr>EoC Exercise 15</vt:lpstr>
      <vt:lpstr>EoC Exercise 16</vt:lpstr>
      <vt:lpstr>EoC Exercise 17</vt:lpstr>
      <vt:lpstr>EoC Exercise 18</vt:lpstr>
      <vt:lpstr>EoC Exercise 19</vt:lpstr>
      <vt:lpstr>EoC Exercise 20</vt:lpstr>
      <vt:lpstr>EoC Exercise 21</vt:lpstr>
      <vt:lpstr>EoC Exercise 22</vt:lpstr>
      <vt:lpstr>EoC Exercise 23</vt:lpstr>
      <vt:lpstr>ORCL</vt:lpstr>
      <vt:lpstr>IBM</vt:lpstr>
      <vt:lpstr>MSFT</vt:lpstr>
      <vt:lpstr>FVINX</vt:lpstr>
      <vt:lpstr>'EoC Exercise 6 DATA'!ExternalData_1</vt:lpstr>
      <vt:lpstr>'EoC Exercise 6 DATA'!ExternalData_2</vt:lpstr>
      <vt:lpstr>'EoC Exercise 6 DATA'!ExternalData_3</vt:lpstr>
    </vt:vector>
  </TitlesOfParts>
  <Company>The Wharton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dcterms:created xsi:type="dcterms:W3CDTF">2006-01-08T17:57:28Z</dcterms:created>
  <dcterms:modified xsi:type="dcterms:W3CDTF">2023-11-06T16:29:34Z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PFE3_Ch08_student materials.xlsm</vt:lpwstr>
  </property>
</Properties>
</file>