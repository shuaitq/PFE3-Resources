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08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ianqiang/workspace/PFE3-Resources/Student Resources/Exercise Answers/"/>
    </mc:Choice>
  </mc:AlternateContent>
  <xr:revisionPtr revIDLastSave="0" documentId="13_ncr:1_{6A01DE35-598C-7C46-9190-B2DC27B5C510}" xr6:coauthVersionLast="47" xr6:coauthVersionMax="47" xr10:uidLastSave="{00000000-0000-0000-0000-000000000000}"/>
  <bookViews>
    <workbookView xWindow="4200" yWindow="500" windowWidth="29400" windowHeight="19080" firstSheet="11" activeTab="18" xr2:uid="{00000000-000D-0000-FFFF-FFFF00000000}"/>
  </bookViews>
  <sheets>
    <sheet name="Exercise 1 template" sheetId="41" r:id="rId1"/>
    <sheet name="Exercise 2 template" sheetId="42" r:id="rId2"/>
    <sheet name="Exercise 3 template" sheetId="43" r:id="rId3"/>
    <sheet name="Exercise 4 template" sheetId="44" r:id="rId4"/>
    <sheet name="Exercise 5 template" sheetId="8" r:id="rId5"/>
    <sheet name="Exercise 6 template" sheetId="10" r:id="rId6"/>
    <sheet name="Exercise 7 template" sheetId="12" r:id="rId7"/>
    <sheet name="Exercise 8  template" sheetId="20" r:id="rId8"/>
    <sheet name="Exercise 9 template" sheetId="40" r:id="rId9"/>
    <sheet name="Exercise 10 template" sheetId="18" r:id="rId10"/>
    <sheet name="Exercise 11 template" sheetId="22" r:id="rId11"/>
    <sheet name="Exercise 12 template" sheetId="24" r:id="rId12"/>
    <sheet name="Exercise13 template" sheetId="26" r:id="rId13"/>
    <sheet name="Exercise 14 template" sheetId="29" r:id="rId14"/>
    <sheet name="Exercise 15 template" sheetId="31" r:id="rId15"/>
    <sheet name="Exercise 16 template" sheetId="33" r:id="rId16"/>
    <sheet name="Exercise 17 template" sheetId="37" r:id="rId17"/>
    <sheet name="Exercise 18 template" sheetId="38" r:id="rId18"/>
    <sheet name="Exercise 19 template" sheetId="39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39" l="1"/>
  <c r="C19" i="39"/>
  <c r="C18" i="39"/>
  <c r="B13" i="39"/>
  <c r="C20" i="39" s="1"/>
  <c r="D18" i="39"/>
  <c r="E18" i="39"/>
  <c r="F18" i="39"/>
  <c r="G18" i="39"/>
  <c r="H18" i="39"/>
  <c r="I18" i="39"/>
  <c r="J18" i="39"/>
  <c r="K18" i="39"/>
  <c r="L18" i="39"/>
  <c r="D19" i="39"/>
  <c r="E19" i="39"/>
  <c r="F19" i="39"/>
  <c r="G19" i="39"/>
  <c r="H19" i="39"/>
  <c r="I19" i="39"/>
  <c r="J19" i="39"/>
  <c r="K19" i="39"/>
  <c r="L19" i="39"/>
  <c r="C24" i="38"/>
  <c r="B24" i="38"/>
  <c r="C26" i="38"/>
  <c r="B26" i="38"/>
  <c r="C14" i="38"/>
  <c r="C15" i="38"/>
  <c r="C16" i="38"/>
  <c r="C17" i="38"/>
  <c r="C18" i="38" s="1"/>
  <c r="C19" i="38" s="1"/>
  <c r="C20" i="38" s="1"/>
  <c r="C21" i="38" s="1"/>
  <c r="C22" i="38" s="1"/>
  <c r="C23" i="38" s="1"/>
  <c r="C13" i="38"/>
  <c r="B14" i="38"/>
  <c r="B15" i="38"/>
  <c r="B16" i="38" s="1"/>
  <c r="B17" i="38" s="1"/>
  <c r="B18" i="38" s="1"/>
  <c r="B19" i="38" s="1"/>
  <c r="B20" i="38" s="1"/>
  <c r="B21" i="38" s="1"/>
  <c r="B22" i="38" s="1"/>
  <c r="B23" i="38" s="1"/>
  <c r="B13" i="38"/>
  <c r="C12" i="38"/>
  <c r="B12" i="38"/>
  <c r="C11" i="38"/>
  <c r="B11" i="38"/>
  <c r="B34" i="37"/>
  <c r="B29" i="37"/>
  <c r="B35" i="37"/>
  <c r="C32" i="37"/>
  <c r="D32" i="37"/>
  <c r="E32" i="37"/>
  <c r="F32" i="37"/>
  <c r="G32" i="37"/>
  <c r="H32" i="37"/>
  <c r="I32" i="37"/>
  <c r="J32" i="37"/>
  <c r="K32" i="37"/>
  <c r="L32" i="37"/>
  <c r="M32" i="37"/>
  <c r="N32" i="37"/>
  <c r="O32" i="37"/>
  <c r="B32" i="37"/>
  <c r="G30" i="37"/>
  <c r="H30" i="37"/>
  <c r="I30" i="37"/>
  <c r="J30" i="37"/>
  <c r="K30" i="37"/>
  <c r="L30" i="37"/>
  <c r="M30" i="37"/>
  <c r="N30" i="37"/>
  <c r="O30" i="37"/>
  <c r="F30" i="37"/>
  <c r="C29" i="37"/>
  <c r="D29" i="37"/>
  <c r="E29" i="37"/>
  <c r="F29" i="37"/>
  <c r="G29" i="37"/>
  <c r="H29" i="37"/>
  <c r="I29" i="37"/>
  <c r="J29" i="37"/>
  <c r="K29" i="37"/>
  <c r="L29" i="37"/>
  <c r="M29" i="37"/>
  <c r="N29" i="37"/>
  <c r="O29" i="37"/>
  <c r="C28" i="37"/>
  <c r="D28" i="37"/>
  <c r="E28" i="37"/>
  <c r="F28" i="37"/>
  <c r="G28" i="37"/>
  <c r="H28" i="37"/>
  <c r="I28" i="37"/>
  <c r="J28" i="37"/>
  <c r="K28" i="37"/>
  <c r="L28" i="37"/>
  <c r="M28" i="37"/>
  <c r="N28" i="37"/>
  <c r="O28" i="37"/>
  <c r="B28" i="37"/>
  <c r="C27" i="37"/>
  <c r="D27" i="37"/>
  <c r="E27" i="37"/>
  <c r="F27" i="37"/>
  <c r="G27" i="37"/>
  <c r="H27" i="37"/>
  <c r="I27" i="37"/>
  <c r="J27" i="37"/>
  <c r="K27" i="37"/>
  <c r="L27" i="37"/>
  <c r="M27" i="37"/>
  <c r="N27" i="37"/>
  <c r="O27" i="37"/>
  <c r="B27" i="37"/>
  <c r="G26" i="37"/>
  <c r="H26" i="37"/>
  <c r="I26" i="37"/>
  <c r="J26" i="37"/>
  <c r="K26" i="37"/>
  <c r="L26" i="37"/>
  <c r="M26" i="37"/>
  <c r="N26" i="37"/>
  <c r="O26" i="37"/>
  <c r="F26" i="37"/>
  <c r="B11" i="37"/>
  <c r="E31" i="37"/>
  <c r="F25" i="37"/>
  <c r="F24" i="37"/>
  <c r="F23" i="37"/>
  <c r="G25" i="37"/>
  <c r="H25" i="37"/>
  <c r="I25" i="37"/>
  <c r="J25" i="37"/>
  <c r="K25" i="37"/>
  <c r="L25" i="37"/>
  <c r="M25" i="37"/>
  <c r="N25" i="37"/>
  <c r="O25" i="37"/>
  <c r="G24" i="37"/>
  <c r="H24" i="37"/>
  <c r="I24" i="37"/>
  <c r="J24" i="37"/>
  <c r="K24" i="37"/>
  <c r="L24" i="37"/>
  <c r="M24" i="37"/>
  <c r="N24" i="37"/>
  <c r="O24" i="37"/>
  <c r="G23" i="37"/>
  <c r="H23" i="37"/>
  <c r="I23" i="37"/>
  <c r="J23" i="37"/>
  <c r="K23" i="37"/>
  <c r="L23" i="37"/>
  <c r="M23" i="37"/>
  <c r="N23" i="37"/>
  <c r="O23" i="37"/>
  <c r="C20" i="37"/>
  <c r="D20" i="37"/>
  <c r="E20" i="37"/>
  <c r="B20" i="37"/>
  <c r="B25" i="33"/>
  <c r="E11" i="33"/>
  <c r="C13" i="33"/>
  <c r="C14" i="33"/>
  <c r="C15" i="33"/>
  <c r="C16" i="33"/>
  <c r="C17" i="33"/>
  <c r="E17" i="33" s="1"/>
  <c r="C18" i="33"/>
  <c r="C19" i="33"/>
  <c r="C20" i="33"/>
  <c r="C21" i="33"/>
  <c r="C12" i="33"/>
  <c r="D12" i="33"/>
  <c r="D13" i="33"/>
  <c r="D14" i="33"/>
  <c r="E14" i="33" s="1"/>
  <c r="D15" i="33"/>
  <c r="D16" i="33"/>
  <c r="D17" i="33"/>
  <c r="D18" i="33"/>
  <c r="D19" i="33"/>
  <c r="D20" i="33"/>
  <c r="D21" i="33"/>
  <c r="B11" i="33"/>
  <c r="B34" i="31"/>
  <c r="B32" i="31"/>
  <c r="B26" i="31"/>
  <c r="B25" i="31"/>
  <c r="B22" i="31"/>
  <c r="C21" i="31"/>
  <c r="D21" i="31"/>
  <c r="E21" i="31"/>
  <c r="F21" i="31"/>
  <c r="G21" i="31"/>
  <c r="H21" i="31"/>
  <c r="I21" i="31"/>
  <c r="J21" i="31"/>
  <c r="K21" i="31"/>
  <c r="L21" i="31"/>
  <c r="M21" i="31"/>
  <c r="B21" i="31"/>
  <c r="B19" i="31"/>
  <c r="B20" i="31" s="1"/>
  <c r="C19" i="31"/>
  <c r="C20" i="31" s="1"/>
  <c r="D19" i="31"/>
  <c r="D20" i="31" s="1"/>
  <c r="E19" i="31"/>
  <c r="E20" i="31" s="1"/>
  <c r="F19" i="31"/>
  <c r="F20" i="31" s="1"/>
  <c r="G19" i="31"/>
  <c r="G20" i="31" s="1"/>
  <c r="H19" i="31"/>
  <c r="H20" i="31" s="1"/>
  <c r="I19" i="31"/>
  <c r="I20" i="31" s="1"/>
  <c r="J19" i="31"/>
  <c r="J20" i="31" s="1"/>
  <c r="K19" i="31"/>
  <c r="K20" i="31" s="1"/>
  <c r="L19" i="31"/>
  <c r="L20" i="31" s="1"/>
  <c r="M19" i="31"/>
  <c r="M20" i="31" s="1"/>
  <c r="C11" i="31"/>
  <c r="B11" i="31"/>
  <c r="C19" i="29"/>
  <c r="B19" i="29"/>
  <c r="C18" i="29"/>
  <c r="C20" i="29" s="1"/>
  <c r="C22" i="29" s="1"/>
  <c r="C27" i="29" s="1"/>
  <c r="C16" i="29"/>
  <c r="B16" i="29"/>
  <c r="C15" i="29"/>
  <c r="B15" i="29"/>
  <c r="C17" i="29"/>
  <c r="B17" i="29"/>
  <c r="C14" i="29"/>
  <c r="B14" i="29"/>
  <c r="B18" i="29" s="1"/>
  <c r="B20" i="29" s="1"/>
  <c r="B22" i="29" s="1"/>
  <c r="B27" i="29" s="1"/>
  <c r="D22" i="26"/>
  <c r="E22" i="26"/>
  <c r="F22" i="26"/>
  <c r="G22" i="26"/>
  <c r="H22" i="26"/>
  <c r="I22" i="26"/>
  <c r="J22" i="26"/>
  <c r="K22" i="26"/>
  <c r="L22" i="26"/>
  <c r="M22" i="26"/>
  <c r="N22" i="26"/>
  <c r="C22" i="26"/>
  <c r="B27" i="26"/>
  <c r="N26" i="26"/>
  <c r="C24" i="26"/>
  <c r="H24" i="26"/>
  <c r="I24" i="26"/>
  <c r="J24" i="26"/>
  <c r="K24" i="26"/>
  <c r="B8" i="26"/>
  <c r="D24" i="26" s="1"/>
  <c r="N25" i="26"/>
  <c r="K25" i="26"/>
  <c r="H25" i="26"/>
  <c r="E25" i="26"/>
  <c r="B22" i="26"/>
  <c r="B13" i="26"/>
  <c r="D23" i="26" s="1"/>
  <c r="B34" i="24"/>
  <c r="G33" i="24"/>
  <c r="C33" i="24"/>
  <c r="D33" i="24"/>
  <c r="E33" i="24"/>
  <c r="F33" i="24"/>
  <c r="B33" i="24"/>
  <c r="D32" i="24"/>
  <c r="E32" i="24"/>
  <c r="F32" i="24"/>
  <c r="G32" i="24"/>
  <c r="C32" i="24"/>
  <c r="D31" i="24"/>
  <c r="E31" i="24"/>
  <c r="F31" i="24"/>
  <c r="G31" i="24"/>
  <c r="C31" i="24"/>
  <c r="D30" i="24"/>
  <c r="E30" i="24"/>
  <c r="F30" i="24"/>
  <c r="G30" i="24"/>
  <c r="C30" i="24"/>
  <c r="B29" i="24"/>
  <c r="B24" i="24"/>
  <c r="C23" i="24"/>
  <c r="D23" i="24"/>
  <c r="E23" i="24"/>
  <c r="F23" i="24"/>
  <c r="G23" i="24"/>
  <c r="B23" i="24"/>
  <c r="D22" i="24"/>
  <c r="E22" i="24"/>
  <c r="F22" i="24"/>
  <c r="G22" i="24"/>
  <c r="C22" i="24"/>
  <c r="G21" i="24"/>
  <c r="D21" i="24"/>
  <c r="E21" i="24"/>
  <c r="F21" i="24"/>
  <c r="C21" i="24"/>
  <c r="B20" i="24"/>
  <c r="B14" i="24"/>
  <c r="B8" i="24"/>
  <c r="B36" i="22"/>
  <c r="C34" i="22"/>
  <c r="D34" i="22"/>
  <c r="E34" i="22"/>
  <c r="F34" i="22"/>
  <c r="B34" i="22"/>
  <c r="F33" i="22"/>
  <c r="D32" i="22"/>
  <c r="E32" i="22"/>
  <c r="F32" i="22"/>
  <c r="C32" i="22"/>
  <c r="D31" i="22"/>
  <c r="E31" i="22"/>
  <c r="F31" i="22"/>
  <c r="C31" i="22"/>
  <c r="D30" i="22"/>
  <c r="E30" i="22"/>
  <c r="F30" i="22"/>
  <c r="C30" i="22"/>
  <c r="B28" i="22"/>
  <c r="B27" i="22"/>
  <c r="B20" i="22"/>
  <c r="B18" i="22"/>
  <c r="B12" i="22"/>
  <c r="B11" i="22"/>
  <c r="B10" i="22"/>
  <c r="C15" i="18"/>
  <c r="G11" i="18"/>
  <c r="G12" i="18" s="1"/>
  <c r="G28" i="18" s="1"/>
  <c r="G9" i="18"/>
  <c r="B29" i="18"/>
  <c r="G27" i="18"/>
  <c r="F27" i="18"/>
  <c r="E27" i="18"/>
  <c r="D27" i="18"/>
  <c r="C27" i="18"/>
  <c r="G22" i="18"/>
  <c r="F22" i="18"/>
  <c r="E22" i="18"/>
  <c r="D22" i="18"/>
  <c r="C22" i="18"/>
  <c r="G19" i="18"/>
  <c r="F19" i="18"/>
  <c r="E19" i="18"/>
  <c r="D19" i="18"/>
  <c r="C19" i="18"/>
  <c r="G16" i="18"/>
  <c r="F16" i="18"/>
  <c r="E16" i="18"/>
  <c r="D16" i="18"/>
  <c r="C16" i="18"/>
  <c r="G18" i="18"/>
  <c r="F18" i="18"/>
  <c r="E18" i="18"/>
  <c r="D18" i="18"/>
  <c r="C18" i="18"/>
  <c r="G15" i="18"/>
  <c r="F15" i="18"/>
  <c r="E15" i="18"/>
  <c r="D15" i="18"/>
  <c r="G10" i="18"/>
  <c r="B5" i="18"/>
  <c r="C23" i="40"/>
  <c r="C19" i="40"/>
  <c r="C17" i="40"/>
  <c r="B10" i="40"/>
  <c r="B9" i="40"/>
  <c r="D57" i="40"/>
  <c r="E57" i="40"/>
  <c r="F57" i="40"/>
  <c r="G57" i="40"/>
  <c r="C57" i="40"/>
  <c r="B67" i="40"/>
  <c r="D56" i="40"/>
  <c r="D58" i="40" s="1"/>
  <c r="E56" i="40"/>
  <c r="F56" i="40"/>
  <c r="F60" i="40" s="1"/>
  <c r="G56" i="40"/>
  <c r="C56" i="40"/>
  <c r="B69" i="40"/>
  <c r="G68" i="40"/>
  <c r="F68" i="40"/>
  <c r="E68" i="40"/>
  <c r="D68" i="40"/>
  <c r="C68" i="40"/>
  <c r="G63" i="40"/>
  <c r="F63" i="40"/>
  <c r="E63" i="40"/>
  <c r="D63" i="40"/>
  <c r="C63" i="40"/>
  <c r="D60" i="40"/>
  <c r="B48" i="40"/>
  <c r="D47" i="40"/>
  <c r="E47" i="40"/>
  <c r="F47" i="40"/>
  <c r="G47" i="40"/>
  <c r="C47" i="40"/>
  <c r="B46" i="40"/>
  <c r="D42" i="40"/>
  <c r="E42" i="40"/>
  <c r="F42" i="40"/>
  <c r="G42" i="40"/>
  <c r="C42" i="40"/>
  <c r="D39" i="40"/>
  <c r="E39" i="40"/>
  <c r="F39" i="40"/>
  <c r="G39" i="40"/>
  <c r="C39" i="40"/>
  <c r="D36" i="40"/>
  <c r="D37" i="40" s="1"/>
  <c r="E36" i="40"/>
  <c r="E37" i="40" s="1"/>
  <c r="F36" i="40"/>
  <c r="F37" i="40" s="1"/>
  <c r="F43" i="40" s="1"/>
  <c r="G36" i="40"/>
  <c r="G37" i="40" s="1"/>
  <c r="C36" i="40"/>
  <c r="C37" i="40" s="1"/>
  <c r="F17" i="40"/>
  <c r="F23" i="40" s="1"/>
  <c r="F19" i="40"/>
  <c r="F22" i="40"/>
  <c r="B11" i="40"/>
  <c r="B12" i="40" s="1"/>
  <c r="D27" i="40"/>
  <c r="E27" i="40"/>
  <c r="F27" i="40"/>
  <c r="G27" i="40"/>
  <c r="C27" i="40"/>
  <c r="B26" i="40"/>
  <c r="B28" i="40" s="1"/>
  <c r="D22" i="40"/>
  <c r="E22" i="40"/>
  <c r="G22" i="40"/>
  <c r="C22" i="40"/>
  <c r="D19" i="40"/>
  <c r="E19" i="40"/>
  <c r="G19" i="40"/>
  <c r="G23" i="40" s="1"/>
  <c r="D17" i="40"/>
  <c r="D23" i="40" s="1"/>
  <c r="E17" i="40"/>
  <c r="E23" i="40" s="1"/>
  <c r="G17" i="40"/>
  <c r="E29" i="20"/>
  <c r="E16" i="20"/>
  <c r="D16" i="20"/>
  <c r="E17" i="20"/>
  <c r="E18" i="20"/>
  <c r="E19" i="20"/>
  <c r="E20" i="20"/>
  <c r="E21" i="20"/>
  <c r="E22" i="20"/>
  <c r="E23" i="20"/>
  <c r="E24" i="20"/>
  <c r="E25" i="20"/>
  <c r="E26" i="20"/>
  <c r="E27" i="20"/>
  <c r="B12" i="20"/>
  <c r="B24" i="12"/>
  <c r="B33" i="20"/>
  <c r="B36" i="20" s="1"/>
  <c r="C25" i="20"/>
  <c r="C22" i="20"/>
  <c r="C23" i="20"/>
  <c r="C24" i="20"/>
  <c r="C21" i="20"/>
  <c r="B22" i="20"/>
  <c r="B23" i="20"/>
  <c r="B24" i="20"/>
  <c r="B21" i="20"/>
  <c r="B33" i="12"/>
  <c r="B14" i="10"/>
  <c r="G11" i="10"/>
  <c r="B18" i="10"/>
  <c r="D11" i="10"/>
  <c r="E11" i="10"/>
  <c r="F11" i="10"/>
  <c r="C11" i="10"/>
  <c r="D9" i="10"/>
  <c r="E9" i="10"/>
  <c r="F9" i="10"/>
  <c r="G9" i="10"/>
  <c r="C9" i="10"/>
  <c r="D7" i="10"/>
  <c r="E7" i="10"/>
  <c r="F7" i="10"/>
  <c r="G7" i="10"/>
  <c r="C7" i="10"/>
  <c r="D6" i="10"/>
  <c r="E6" i="10"/>
  <c r="F6" i="10"/>
  <c r="G6" i="10"/>
  <c r="C6" i="10"/>
  <c r="D5" i="10"/>
  <c r="E5" i="10"/>
  <c r="F5" i="10"/>
  <c r="G5" i="10"/>
  <c r="C5" i="10"/>
  <c r="D4" i="10"/>
  <c r="E4" i="10"/>
  <c r="F4" i="10"/>
  <c r="G4" i="10"/>
  <c r="C4" i="10"/>
  <c r="B29" i="8"/>
  <c r="D26" i="8"/>
  <c r="E26" i="8"/>
  <c r="F26" i="8"/>
  <c r="G26" i="8"/>
  <c r="H26" i="8"/>
  <c r="I26" i="8"/>
  <c r="C26" i="8"/>
  <c r="D25" i="8"/>
  <c r="E25" i="8"/>
  <c r="F25" i="8"/>
  <c r="G25" i="8"/>
  <c r="H25" i="8"/>
  <c r="I25" i="8"/>
  <c r="C25" i="8"/>
  <c r="D23" i="8"/>
  <c r="E23" i="8"/>
  <c r="F23" i="8"/>
  <c r="G23" i="8"/>
  <c r="H23" i="8"/>
  <c r="I23" i="8"/>
  <c r="C23" i="8"/>
  <c r="D22" i="8"/>
  <c r="E22" i="8"/>
  <c r="F22" i="8"/>
  <c r="G22" i="8"/>
  <c r="H22" i="8"/>
  <c r="I22" i="8"/>
  <c r="C22" i="8"/>
  <c r="D21" i="8"/>
  <c r="E21" i="8"/>
  <c r="F21" i="8"/>
  <c r="G21" i="8"/>
  <c r="H21" i="8"/>
  <c r="I21" i="8"/>
  <c r="C21" i="8"/>
  <c r="D20" i="8"/>
  <c r="E20" i="8"/>
  <c r="F20" i="8"/>
  <c r="G20" i="8"/>
  <c r="H20" i="8"/>
  <c r="I20" i="8"/>
  <c r="C20" i="8"/>
  <c r="B14" i="8"/>
  <c r="D11" i="8"/>
  <c r="E11" i="8"/>
  <c r="F11" i="8"/>
  <c r="G11" i="8"/>
  <c r="H11" i="8"/>
  <c r="I11" i="8"/>
  <c r="C11" i="8"/>
  <c r="D10" i="8"/>
  <c r="E10" i="8"/>
  <c r="F10" i="8"/>
  <c r="G10" i="8"/>
  <c r="H10" i="8"/>
  <c r="I10" i="8"/>
  <c r="C10" i="8"/>
  <c r="D8" i="8"/>
  <c r="E8" i="8"/>
  <c r="F8" i="8"/>
  <c r="G8" i="8"/>
  <c r="H8" i="8"/>
  <c r="I8" i="8"/>
  <c r="C8" i="8"/>
  <c r="D7" i="8"/>
  <c r="E7" i="8"/>
  <c r="F7" i="8"/>
  <c r="G7" i="8"/>
  <c r="H7" i="8"/>
  <c r="I7" i="8"/>
  <c r="C7" i="8"/>
  <c r="D6" i="8"/>
  <c r="E6" i="8"/>
  <c r="F6" i="8"/>
  <c r="G6" i="8"/>
  <c r="H6" i="8"/>
  <c r="I6" i="8"/>
  <c r="C6" i="8"/>
  <c r="D5" i="8"/>
  <c r="E5" i="8"/>
  <c r="F5" i="8"/>
  <c r="G5" i="8"/>
  <c r="H5" i="8"/>
  <c r="I5" i="8"/>
  <c r="C5" i="8"/>
  <c r="B3" i="44"/>
  <c r="B36" i="44"/>
  <c r="B27" i="44"/>
  <c r="B28" i="44"/>
  <c r="B29" i="44"/>
  <c r="B30" i="44"/>
  <c r="B31" i="44"/>
  <c r="B32" i="44"/>
  <c r="B33" i="44"/>
  <c r="B34" i="44"/>
  <c r="B35" i="44"/>
  <c r="B26" i="44"/>
  <c r="B25" i="44"/>
  <c r="B22" i="44"/>
  <c r="B21" i="44"/>
  <c r="B20" i="44"/>
  <c r="B17" i="44"/>
  <c r="B16" i="44"/>
  <c r="B15" i="44"/>
  <c r="B14" i="44"/>
  <c r="B13" i="44"/>
  <c r="B12" i="44"/>
  <c r="B7" i="44"/>
  <c r="C8" i="43"/>
  <c r="B8" i="43"/>
  <c r="C6" i="43"/>
  <c r="B6" i="43"/>
  <c r="C5" i="43"/>
  <c r="B5" i="43"/>
  <c r="B16" i="39" l="1"/>
  <c r="E15" i="33"/>
  <c r="E16" i="33"/>
  <c r="E18" i="33"/>
  <c r="E13" i="33"/>
  <c r="E12" i="33"/>
  <c r="E21" i="33"/>
  <c r="E20" i="33"/>
  <c r="E19" i="33"/>
  <c r="B27" i="31"/>
  <c r="B28" i="31" s="1"/>
  <c r="B29" i="31" s="1"/>
  <c r="B33" i="31" s="1"/>
  <c r="D27" i="26"/>
  <c r="G24" i="26"/>
  <c r="N24" i="26"/>
  <c r="F24" i="26"/>
  <c r="M24" i="26"/>
  <c r="E24" i="26"/>
  <c r="K23" i="26"/>
  <c r="K27" i="26" s="1"/>
  <c r="L24" i="26"/>
  <c r="J23" i="26"/>
  <c r="J27" i="26" s="1"/>
  <c r="H23" i="26"/>
  <c r="H27" i="26" s="1"/>
  <c r="M23" i="26"/>
  <c r="E23" i="26"/>
  <c r="I23" i="26"/>
  <c r="I27" i="26" s="1"/>
  <c r="C23" i="26"/>
  <c r="C27" i="26" s="1"/>
  <c r="G23" i="26"/>
  <c r="G27" i="26" s="1"/>
  <c r="N23" i="26"/>
  <c r="F23" i="26"/>
  <c r="L23" i="26"/>
  <c r="E21" i="18"/>
  <c r="E23" i="18" s="1"/>
  <c r="C21" i="18"/>
  <c r="C23" i="18" s="1"/>
  <c r="C24" i="18" s="1"/>
  <c r="C25" i="18" s="1"/>
  <c r="C29" i="18" s="1"/>
  <c r="D21" i="18"/>
  <c r="D23" i="18" s="1"/>
  <c r="D24" i="18" s="1"/>
  <c r="F21" i="18"/>
  <c r="F23" i="18" s="1"/>
  <c r="F24" i="18" s="1"/>
  <c r="G21" i="18"/>
  <c r="G23" i="18" s="1"/>
  <c r="G24" i="18" s="1"/>
  <c r="G25" i="18" s="1"/>
  <c r="G29" i="18" s="1"/>
  <c r="E24" i="18"/>
  <c r="E25" i="18" s="1"/>
  <c r="E29" i="18" s="1"/>
  <c r="C58" i="40"/>
  <c r="E58" i="40"/>
  <c r="G58" i="40"/>
  <c r="G64" i="40" s="1"/>
  <c r="G65" i="40" s="1"/>
  <c r="G66" i="40" s="1"/>
  <c r="G69" i="40" s="1"/>
  <c r="G67" i="40"/>
  <c r="G46" i="40"/>
  <c r="G26" i="40"/>
  <c r="E24" i="40"/>
  <c r="E25" i="40" s="1"/>
  <c r="E28" i="40" s="1"/>
  <c r="C24" i="40"/>
  <c r="C25" i="40" s="1"/>
  <c r="C28" i="40" s="1"/>
  <c r="D25" i="40"/>
  <c r="D28" i="40" s="1"/>
  <c r="D24" i="40"/>
  <c r="G24" i="40"/>
  <c r="G25" i="40" s="1"/>
  <c r="G28" i="40" s="1"/>
  <c r="E43" i="40"/>
  <c r="E44" i="40" s="1"/>
  <c r="D43" i="40"/>
  <c r="D44" i="40" s="1"/>
  <c r="C43" i="40"/>
  <c r="G43" i="40"/>
  <c r="G44" i="40" s="1"/>
  <c r="G45" i="40" s="1"/>
  <c r="G48" i="40" s="1"/>
  <c r="C60" i="40"/>
  <c r="C64" i="40" s="1"/>
  <c r="C65" i="40" s="1"/>
  <c r="C66" i="40" s="1"/>
  <c r="C69" i="40" s="1"/>
  <c r="G60" i="40"/>
  <c r="D64" i="40"/>
  <c r="D65" i="40" s="1"/>
  <c r="D66" i="40" s="1"/>
  <c r="D69" i="40" s="1"/>
  <c r="F58" i="40"/>
  <c r="F64" i="40" s="1"/>
  <c r="F65" i="40" s="1"/>
  <c r="F66" i="40" s="1"/>
  <c r="F69" i="40" s="1"/>
  <c r="E60" i="40"/>
  <c r="E64" i="40" s="1"/>
  <c r="E65" i="40" s="1"/>
  <c r="E66" i="40" s="1"/>
  <c r="E69" i="40" s="1"/>
  <c r="C44" i="40"/>
  <c r="C45" i="40" s="1"/>
  <c r="C48" i="40" s="1"/>
  <c r="F44" i="40"/>
  <c r="F45" i="40" s="1"/>
  <c r="F48" i="40" s="1"/>
  <c r="F24" i="40"/>
  <c r="F25" i="40" s="1"/>
  <c r="E34" i="20"/>
  <c r="E36" i="20" s="1"/>
  <c r="C34" i="20"/>
  <c r="C36" i="20" s="1"/>
  <c r="G34" i="20"/>
  <c r="G36" i="20" s="1"/>
  <c r="I34" i="20"/>
  <c r="I36" i="20" s="1"/>
  <c r="J34" i="20"/>
  <c r="J36" i="20" s="1"/>
  <c r="L34" i="20"/>
  <c r="L36" i="20" s="1"/>
  <c r="F34" i="20"/>
  <c r="F36" i="20" s="1"/>
  <c r="H34" i="20"/>
  <c r="H36" i="20" s="1"/>
  <c r="K34" i="20"/>
  <c r="K36" i="20" s="1"/>
  <c r="D34" i="20"/>
  <c r="B15" i="42"/>
  <c r="B14" i="42"/>
  <c r="B11" i="42"/>
  <c r="B4" i="42"/>
  <c r="B16" i="41"/>
  <c r="B11" i="41"/>
  <c r="B10" i="41"/>
  <c r="B5" i="39"/>
  <c r="C12" i="39"/>
  <c r="C5" i="39"/>
  <c r="C13" i="39"/>
  <c r="G17" i="39" l="1"/>
  <c r="H17" i="39"/>
  <c r="I17" i="39"/>
  <c r="J17" i="39"/>
  <c r="K17" i="39"/>
  <c r="K21" i="39" s="1"/>
  <c r="D17" i="39"/>
  <c r="L17" i="39"/>
  <c r="E17" i="39"/>
  <c r="E21" i="39" s="1"/>
  <c r="C17" i="39"/>
  <c r="C21" i="39" s="1"/>
  <c r="F17" i="39"/>
  <c r="F24" i="39"/>
  <c r="K20" i="39"/>
  <c r="B21" i="39"/>
  <c r="G24" i="39"/>
  <c r="D20" i="39"/>
  <c r="L20" i="39"/>
  <c r="H24" i="39"/>
  <c r="E20" i="39"/>
  <c r="I24" i="39"/>
  <c r="F20" i="39"/>
  <c r="J24" i="39"/>
  <c r="G20" i="39"/>
  <c r="K24" i="39"/>
  <c r="H20" i="39"/>
  <c r="C24" i="39"/>
  <c r="D24" i="39"/>
  <c r="L24" i="39"/>
  <c r="I20" i="39"/>
  <c r="E24" i="39"/>
  <c r="J20" i="39"/>
  <c r="G16" i="39"/>
  <c r="G21" i="39" s="1"/>
  <c r="B23" i="33"/>
  <c r="B35" i="31"/>
  <c r="L27" i="26"/>
  <c r="E27" i="26"/>
  <c r="B30" i="26" s="1"/>
  <c r="C32" i="26" s="1"/>
  <c r="M27" i="26"/>
  <c r="F27" i="26"/>
  <c r="N27" i="26"/>
  <c r="D25" i="18"/>
  <c r="D29" i="18" s="1"/>
  <c r="F25" i="18"/>
  <c r="F29" i="18" s="1"/>
  <c r="B31" i="18" s="1"/>
  <c r="B33" i="18" s="1"/>
  <c r="B71" i="40"/>
  <c r="A75" i="40" s="1"/>
  <c r="D45" i="40"/>
  <c r="D48" i="40" s="1"/>
  <c r="E45" i="40"/>
  <c r="E48" i="40" s="1"/>
  <c r="B50" i="40"/>
  <c r="C10" i="29"/>
  <c r="B10" i="29"/>
  <c r="D22" i="29"/>
  <c r="F11" i="33"/>
  <c r="H21" i="39" l="1"/>
  <c r="G22" i="39"/>
  <c r="G23" i="39" s="1"/>
  <c r="G25" i="39" s="1"/>
  <c r="E22" i="39"/>
  <c r="E23" i="39" s="1"/>
  <c r="E25" i="39" s="1"/>
  <c r="L21" i="39"/>
  <c r="D21" i="39"/>
  <c r="B22" i="39"/>
  <c r="B23" i="39" s="1"/>
  <c r="B25" i="39" s="1"/>
  <c r="K22" i="39"/>
  <c r="K23" i="39" s="1"/>
  <c r="K25" i="39" s="1"/>
  <c r="J21" i="39"/>
  <c r="I21" i="39"/>
  <c r="F21" i="39"/>
  <c r="H22" i="39"/>
  <c r="H23" i="39"/>
  <c r="H25" i="39" s="1"/>
  <c r="B29" i="26"/>
  <c r="B32" i="26" s="1"/>
  <c r="B8" i="22"/>
  <c r="B6" i="20"/>
  <c r="B31" i="12"/>
  <c r="D12" i="12"/>
  <c r="E12" i="12"/>
  <c r="F12" i="12"/>
  <c r="G12" i="12"/>
  <c r="H12" i="12"/>
  <c r="I12" i="12"/>
  <c r="J12" i="12"/>
  <c r="C12" i="12"/>
  <c r="B4" i="12"/>
  <c r="D13" i="12" s="1"/>
  <c r="D22" i="12" s="1"/>
  <c r="K24" i="12"/>
  <c r="C28" i="12"/>
  <c r="C27" i="12"/>
  <c r="O26" i="26"/>
  <c r="C18" i="22"/>
  <c r="C4" i="12"/>
  <c r="C11" i="22"/>
  <c r="C34" i="12"/>
  <c r="K22" i="12"/>
  <c r="C12" i="22"/>
  <c r="O27" i="26"/>
  <c r="F29" i="20"/>
  <c r="K16" i="12"/>
  <c r="K15" i="12"/>
  <c r="C33" i="12"/>
  <c r="K21" i="12"/>
  <c r="C32" i="12"/>
  <c r="O24" i="26"/>
  <c r="C6" i="20"/>
  <c r="K12" i="12"/>
  <c r="C10" i="22"/>
  <c r="O25" i="26"/>
  <c r="K13" i="12"/>
  <c r="K14" i="12"/>
  <c r="O23" i="26"/>
  <c r="C22" i="39" l="1"/>
  <c r="C23" i="39" s="1"/>
  <c r="C25" i="39" s="1"/>
  <c r="B27" i="39" s="1"/>
  <c r="D22" i="39"/>
  <c r="D23" i="39" s="1"/>
  <c r="D25" i="39" s="1"/>
  <c r="F22" i="39"/>
  <c r="F23" i="39" s="1"/>
  <c r="F25" i="39" s="1"/>
  <c r="L22" i="39"/>
  <c r="L23" i="39" s="1"/>
  <c r="L25" i="39" s="1"/>
  <c r="I22" i="39"/>
  <c r="I23" i="39"/>
  <c r="I25" i="39" s="1"/>
  <c r="J22" i="39"/>
  <c r="J23" i="39" s="1"/>
  <c r="J25" i="39" s="1"/>
  <c r="F28" i="40"/>
  <c r="B30" i="40" s="1"/>
  <c r="D23" i="20"/>
  <c r="D20" i="20"/>
  <c r="D24" i="20"/>
  <c r="D17" i="20"/>
  <c r="D25" i="20"/>
  <c r="D27" i="20"/>
  <c r="D18" i="20"/>
  <c r="D26" i="20"/>
  <c r="D19" i="20"/>
  <c r="D21" i="20"/>
  <c r="D22" i="20"/>
  <c r="D36" i="20"/>
  <c r="B38" i="20" s="1"/>
  <c r="C13" i="12"/>
  <c r="C22" i="12" s="1"/>
  <c r="C14" i="12"/>
  <c r="G13" i="12"/>
  <c r="G22" i="12" s="1"/>
  <c r="C15" i="12"/>
  <c r="C16" i="12" s="1"/>
  <c r="C21" i="12" s="1"/>
  <c r="C24" i="12" s="1"/>
  <c r="D14" i="12"/>
  <c r="J13" i="12"/>
  <c r="J22" i="12" s="1"/>
  <c r="F13" i="12"/>
  <c r="F22" i="12" s="1"/>
  <c r="B32" i="12"/>
  <c r="B34" i="12" s="1"/>
  <c r="J23" i="12" s="1"/>
  <c r="I13" i="12"/>
  <c r="I22" i="12" s="1"/>
  <c r="E13" i="12"/>
  <c r="E22" i="12" s="1"/>
  <c r="H13" i="12"/>
  <c r="H22" i="12" s="1"/>
  <c r="B33" i="39" l="1"/>
  <c r="B28" i="39"/>
  <c r="G14" i="12"/>
  <c r="D15" i="12"/>
  <c r="D16" i="12" s="1"/>
  <c r="D21" i="12" s="1"/>
  <c r="D24" i="12" s="1"/>
  <c r="F14" i="12"/>
  <c r="H14" i="12"/>
  <c r="J14" i="12"/>
  <c r="E14" i="12"/>
  <c r="I14" i="12"/>
  <c r="B26" i="18"/>
  <c r="G15" i="12" l="1"/>
  <c r="G16" i="12"/>
  <c r="G21" i="12" s="1"/>
  <c r="G24" i="12" s="1"/>
  <c r="F15" i="12"/>
  <c r="F16" i="12" s="1"/>
  <c r="F21" i="12" s="1"/>
  <c r="F24" i="12" s="1"/>
  <c r="I15" i="12"/>
  <c r="I16" i="12" s="1"/>
  <c r="I21" i="12" s="1"/>
  <c r="I24" i="12" s="1"/>
  <c r="E15" i="12"/>
  <c r="E16" i="12" s="1"/>
  <c r="E21" i="12" s="1"/>
  <c r="E24" i="12" s="1"/>
  <c r="J15" i="12"/>
  <c r="J16" i="12" s="1"/>
  <c r="J21" i="12" s="1"/>
  <c r="J24" i="12" s="1"/>
  <c r="H15" i="12"/>
  <c r="H16" i="12" s="1"/>
  <c r="H21" i="12" s="1"/>
  <c r="H24" i="12" s="1"/>
  <c r="B28" i="12" l="1"/>
  <c r="B27" i="12"/>
</calcChain>
</file>

<file path=xl/sharedStrings.xml><?xml version="1.0" encoding="utf-8"?>
<sst xmlns="http://schemas.openxmlformats.org/spreadsheetml/2006/main" count="509" uniqueCount="320">
  <si>
    <t>Year</t>
  </si>
  <si>
    <t>Discount rate</t>
  </si>
  <si>
    <t>NPV</t>
  </si>
  <si>
    <t>Investment</t>
  </si>
  <si>
    <t>Total</t>
  </si>
  <si>
    <t>IRR</t>
  </si>
  <si>
    <t>Fixed cost</t>
  </si>
  <si>
    <t>Price</t>
  </si>
  <si>
    <t>Salvage value</t>
  </si>
  <si>
    <t>Annual depreciation</t>
  </si>
  <si>
    <t>New machine cost</t>
  </si>
  <si>
    <t>Add back depreciation</t>
  </si>
  <si>
    <t>Earnings before depreciation and taxes</t>
  </si>
  <si>
    <t>DEPRECIATION SCHEDULE</t>
  </si>
  <si>
    <t>Depreciation</t>
  </si>
  <si>
    <t>Capital investment (no salvage value)</t>
  </si>
  <si>
    <t>Tax (34%)</t>
  </si>
  <si>
    <t>Net operating profit after tax</t>
  </si>
  <si>
    <t>Earnings before taxes</t>
  </si>
  <si>
    <t>Free cash flow</t>
  </si>
  <si>
    <t>Section a. straight line depreciation</t>
  </si>
  <si>
    <t>MACRS depreciation</t>
  </si>
  <si>
    <t>Section b. MACRS depreciation</t>
  </si>
  <si>
    <t>BUYING A NEW MACHINE</t>
  </si>
  <si>
    <t>Cost savings of workers</t>
  </si>
  <si>
    <t>Tax (30%)</t>
  </si>
  <si>
    <t>Reduce production cost</t>
  </si>
  <si>
    <t>Tax (40%)</t>
  </si>
  <si>
    <t>Book value at year 8</t>
  </si>
  <si>
    <t>Market value at year 8</t>
  </si>
  <si>
    <t>Capital gains of selling at the 8th year</t>
  </si>
  <si>
    <t>Capital investment</t>
  </si>
  <si>
    <t>Calculation of NPV for the 10 years</t>
  </si>
  <si>
    <t>December</t>
  </si>
  <si>
    <t>November</t>
  </si>
  <si>
    <t>October</t>
  </si>
  <si>
    <t>September</t>
  </si>
  <si>
    <t>August</t>
  </si>
  <si>
    <t>July</t>
  </si>
  <si>
    <t>June</t>
  </si>
  <si>
    <t>May</t>
  </si>
  <si>
    <t>April</t>
  </si>
  <si>
    <t>March</t>
  </si>
  <si>
    <t>February</t>
  </si>
  <si>
    <t>January</t>
  </si>
  <si>
    <t>Additional output</t>
  </si>
  <si>
    <t>Annual calculation</t>
  </si>
  <si>
    <t>Machine's life span</t>
  </si>
  <si>
    <t>Corporate tax</t>
  </si>
  <si>
    <t>Operating cost</t>
  </si>
  <si>
    <t>AIR CONDITIONING SYSTEM</t>
  </si>
  <si>
    <t>COLD AND SWEET COMPANY</t>
  </si>
  <si>
    <t>Cost</t>
  </si>
  <si>
    <t>Depreciation schedule (years)</t>
  </si>
  <si>
    <t>=&gt; annual depreciation</t>
  </si>
  <si>
    <t>Sell the machine after 5 year for</t>
  </si>
  <si>
    <t>Capital gains from selling the machine:</t>
  </si>
  <si>
    <t>Additional bars sold</t>
  </si>
  <si>
    <t>Bar price ($/unit)</t>
  </si>
  <si>
    <t>Additional revenues on bars sold</t>
  </si>
  <si>
    <t>Production cost per bar ($/unit)</t>
  </si>
  <si>
    <t>Production costs on bars sold</t>
  </si>
  <si>
    <t>Marketing expenses</t>
  </si>
  <si>
    <t>Corporate tax rate</t>
  </si>
  <si>
    <t>Cost of capital</t>
  </si>
  <si>
    <t>Section b. NPV calculations</t>
  </si>
  <si>
    <t>Section c.</t>
  </si>
  <si>
    <t>Minimum bar price ($/unit)</t>
  </si>
  <si>
    <t>Section d.</t>
  </si>
  <si>
    <t>Minimum number of additional bars sold</t>
  </si>
  <si>
    <t>Chocolate covering machine:</t>
  </si>
  <si>
    <t>&lt;-- calculated using goal-seek</t>
  </si>
  <si>
    <t>Machine cost</t>
  </si>
  <si>
    <t xml:space="preserve">Price of bathrobe in year 1 </t>
  </si>
  <si>
    <t>Annual increase in price</t>
  </si>
  <si>
    <t>Variable cost in year 1</t>
  </si>
  <si>
    <t>Annual increase in variable cost</t>
  </si>
  <si>
    <t>Fixed-cost</t>
  </si>
  <si>
    <t>Variable-cost</t>
  </si>
  <si>
    <t>Advertising costs</t>
  </si>
  <si>
    <t>Earnings before depreciation &amp; taxes</t>
  </si>
  <si>
    <t>Earnings before tax</t>
  </si>
  <si>
    <t>Tax</t>
  </si>
  <si>
    <t>Net profit</t>
  </si>
  <si>
    <t>Machine sale</t>
  </si>
  <si>
    <t>FCF</t>
  </si>
  <si>
    <t>LESS IS MORE SWIMSUITS</t>
  </si>
  <si>
    <t>Selling the machine</t>
  </si>
  <si>
    <t>Net book value</t>
  </si>
  <si>
    <t>Capital gains</t>
  </si>
  <si>
    <t>Taxes on capital gains</t>
  </si>
  <si>
    <t>Annual production</t>
  </si>
  <si>
    <t>Price ($/unit)</t>
  </si>
  <si>
    <t>Revenues</t>
  </si>
  <si>
    <t>Variable-cost ($/unit)</t>
  </si>
  <si>
    <t>Machine life (years)</t>
  </si>
  <si>
    <t>Anticipated terminal value</t>
  </si>
  <si>
    <t>Annual reduction in production costs</t>
  </si>
  <si>
    <t xml:space="preserve">Discount rate </t>
  </si>
  <si>
    <t>Tax rate</t>
  </si>
  <si>
    <t>Terminal value (year 8)</t>
  </si>
  <si>
    <t>Terminal valaue</t>
  </si>
  <si>
    <t>Air conditioner cost</t>
  </si>
  <si>
    <t>Air conditioner life span</t>
  </si>
  <si>
    <t>Air conditional annual depreciation</t>
  </si>
  <si>
    <t>Monthly production addition, June-Sept.</t>
  </si>
  <si>
    <t>&lt;-- Monthly</t>
  </si>
  <si>
    <t>Terminal value (year 10)</t>
  </si>
  <si>
    <t>Adding together</t>
  </si>
  <si>
    <t>Net present value</t>
  </si>
  <si>
    <t>Capital investment and terminal value)</t>
  </si>
  <si>
    <t>Net after-tax terminal value</t>
  </si>
  <si>
    <t>Tax shield on capital gains loss</t>
  </si>
  <si>
    <t>Salvage value for depreciation</t>
  </si>
  <si>
    <t>Anticipated terminal value, year 5</t>
  </si>
  <si>
    <t>CAR CLEAN COMPANY</t>
  </si>
  <si>
    <t>Old machine</t>
  </si>
  <si>
    <t>Life (years)</t>
  </si>
  <si>
    <t>Current value</t>
  </si>
  <si>
    <t>&lt;-- End of year 2</t>
  </si>
  <si>
    <t>Current book value</t>
  </si>
  <si>
    <t>Gain over book</t>
  </si>
  <si>
    <t>New machine</t>
  </si>
  <si>
    <t>Estimated disposal value</t>
  </si>
  <si>
    <t>&lt;-- What the new machine is worth in year 4</t>
  </si>
  <si>
    <t>Old revenue</t>
  </si>
  <si>
    <t>Estimated new revenue</t>
  </si>
  <si>
    <t>Water savings</t>
  </si>
  <si>
    <t>Increase in annual net revenue</t>
  </si>
  <si>
    <t>Received for old machine</t>
  </si>
  <si>
    <t>Cash flow if sold at end of year 2 (after tax)</t>
  </si>
  <si>
    <t>Revenue increase, after tax</t>
  </si>
  <si>
    <t>Net after-tax water saving</t>
  </si>
  <si>
    <t>Depreciation tax shield</t>
  </si>
  <si>
    <t>Depreciation tax shield
computed on incremental depreciation</t>
  </si>
  <si>
    <t>New machine value, year 4</t>
  </si>
  <si>
    <t>BUYING A PHOTOCOPIER</t>
  </si>
  <si>
    <t>Regular photocopier</t>
  </si>
  <si>
    <t>Color photocopier</t>
  </si>
  <si>
    <t>Annual maintenance costs</t>
  </si>
  <si>
    <t>Annual revenue increase</t>
  </si>
  <si>
    <t>Purchase copier</t>
  </si>
  <si>
    <t>After-tax maintenance</t>
  </si>
  <si>
    <t>Cash flow</t>
  </si>
  <si>
    <t>Regular photocopier cash flows</t>
  </si>
  <si>
    <t>Color photocopier cash flows</t>
  </si>
  <si>
    <t>Incremental revenue, after-tax</t>
  </si>
  <si>
    <t xml:space="preserve">Answer: </t>
  </si>
  <si>
    <t>COKA COMPANY:  MAKING CANS</t>
  </si>
  <si>
    <t>Each can</t>
  </si>
  <si>
    <t>Can machine</t>
  </si>
  <si>
    <t>Life span (years)</t>
  </si>
  <si>
    <t>Estimated salvage value, year 12</t>
  </si>
  <si>
    <t>Maintenance/repair, every 3 years</t>
  </si>
  <si>
    <t>Marginal cost of producing a can</t>
  </si>
  <si>
    <t>Annual can production</t>
  </si>
  <si>
    <t>&lt;-- Starting assumption</t>
  </si>
  <si>
    <t>Cost of new machine</t>
  </si>
  <si>
    <t>Savings on cans, after taxes</t>
  </si>
  <si>
    <t>Maintenance, after-tax</t>
  </si>
  <si>
    <t>After-tax salvage value</t>
  </si>
  <si>
    <t>NPV of buying machine</t>
  </si>
  <si>
    <t>Production</t>
  </si>
  <si>
    <t>ZZZ WIDGET MACHINE</t>
  </si>
  <si>
    <t>Machine A</t>
  </si>
  <si>
    <t>Machine B</t>
  </si>
  <si>
    <t>Annual fixed cost</t>
  </si>
  <si>
    <t>Variable cost per widget</t>
  </si>
  <si>
    <t>Cash flow, annual</t>
  </si>
  <si>
    <t>Variable cost</t>
  </si>
  <si>
    <t>Widget sales price/unit</t>
  </si>
  <si>
    <t>Revenue</t>
  </si>
  <si>
    <t>Profit before taxes</t>
  </si>
  <si>
    <t>NPV for 5 years</t>
  </si>
  <si>
    <t>Data table of NPV for various levels of production</t>
  </si>
  <si>
    <t>EASY SIGHT SUNGLASSES</t>
  </si>
  <si>
    <t>New Machine</t>
  </si>
  <si>
    <t>Book value</t>
  </si>
  <si>
    <t>Life span remaining</t>
  </si>
  <si>
    <t>Current market value</t>
  </si>
  <si>
    <t>New machine saving per sunglass</t>
  </si>
  <si>
    <t>Month</t>
  </si>
  <si>
    <t>Demand for glasses</t>
  </si>
  <si>
    <t>Savings with new machine</t>
  </si>
  <si>
    <t>Annual savings, after-tax</t>
  </si>
  <si>
    <t>Depreciation tax-shield differential</t>
  </si>
  <si>
    <t>Annual cash flow</t>
  </si>
  <si>
    <t>Revenue of selling old machines</t>
  </si>
  <si>
    <t>Sales price</t>
  </si>
  <si>
    <t>Loss over book</t>
  </si>
  <si>
    <t>Net revenue</t>
  </si>
  <si>
    <t>Tax shield on loss</t>
  </si>
  <si>
    <t>Annual cash flows:  We assume once-a-year reporting in December</t>
  </si>
  <si>
    <t>NPV calculation</t>
  </si>
  <si>
    <t>5 years of cash flows</t>
  </si>
  <si>
    <t>Net revenue from sale of old machines</t>
  </si>
  <si>
    <t>NPV of buying new machine</t>
  </si>
  <si>
    <t>POSEIDON SHIPPING LINE</t>
  </si>
  <si>
    <t>Cost per ship (2 ships needed)</t>
  </si>
  <si>
    <t>Earnings per year, per ship</t>
  </si>
  <si>
    <t>Interest rate</t>
  </si>
  <si>
    <t>Annual costs</t>
  </si>
  <si>
    <t>Purchase ships</t>
  </si>
  <si>
    <t>After-tax revenue</t>
  </si>
  <si>
    <t>After-tax annual costs</t>
  </si>
  <si>
    <t>Annual increase in earnings</t>
  </si>
  <si>
    <r>
      <t xml:space="preserve">Break-even tax rate (use </t>
    </r>
    <r>
      <rPr>
        <b/>
        <sz val="11"/>
        <color theme="1"/>
        <rFont val="Arial"/>
        <family val="2"/>
      </rPr>
      <t>Goal Seek)</t>
    </r>
  </si>
  <si>
    <t>LONG-LIFE COMPANY</t>
  </si>
  <si>
    <t>Annual vaccines per machine</t>
  </si>
  <si>
    <t>Variable cost per vaccine</t>
  </si>
  <si>
    <t>Annual fixed costs</t>
  </si>
  <si>
    <t>Annual vaccines sold</t>
  </si>
  <si>
    <t>Price per vaccine</t>
  </si>
  <si>
    <t>Annual revenue</t>
  </si>
  <si>
    <t>Number of machines needed</t>
  </si>
  <si>
    <t>Machines purchased</t>
  </si>
  <si>
    <t>Cost of vaccines</t>
  </si>
  <si>
    <t>Profits before taxes</t>
  </si>
  <si>
    <t>Taxes</t>
  </si>
  <si>
    <t>Profits after taxes</t>
  </si>
  <si>
    <t>Internal rate of return</t>
  </si>
  <si>
    <t>Fixed costs</t>
  </si>
  <si>
    <t>&lt;-- We use this as a starting number</t>
  </si>
  <si>
    <t>Data table:  sensitivity of NPV to number of vaccines sold and to discount rate</t>
  </si>
  <si>
    <t>SMART WALKING SHOES</t>
  </si>
  <si>
    <t>Annual R&amp;D, years 0-3</t>
  </si>
  <si>
    <t>Machine</t>
  </si>
  <si>
    <t>Year purchased</t>
  </si>
  <si>
    <t>Life span</t>
  </si>
  <si>
    <t>Depreciation, years 4-14</t>
  </si>
  <si>
    <t>Expected annual sales</t>
  </si>
  <si>
    <t>Price per pair of shoes</t>
  </si>
  <si>
    <t>Variable cost per shoes</t>
  </si>
  <si>
    <t>Shoe sales</t>
  </si>
  <si>
    <t>Annual variable cost</t>
  </si>
  <si>
    <t>R&amp;D</t>
  </si>
  <si>
    <t>Profit after taxes</t>
  </si>
  <si>
    <t>Purchase machine</t>
  </si>
  <si>
    <t>APHRODITE PERFUME</t>
  </si>
  <si>
    <t>Aggressive campaign</t>
  </si>
  <si>
    <t>Regular campaign</t>
  </si>
  <si>
    <t>Initial cost</t>
  </si>
  <si>
    <t>First month profit</t>
  </si>
  <si>
    <t>Profit growth in months 2-12</t>
  </si>
  <si>
    <r>
      <t xml:space="preserve">Monthly profit for months 12 - </t>
    </r>
    <r>
      <rPr>
        <sz val="11"/>
        <color theme="1"/>
        <rFont val="Symbol"/>
        <family val="1"/>
        <charset val="2"/>
      </rPr>
      <t>µ</t>
    </r>
  </si>
  <si>
    <t>PV of future profits from months 12 - infinity</t>
  </si>
  <si>
    <t>Other costs</t>
  </si>
  <si>
    <t xml:space="preserve">Section e. </t>
  </si>
  <si>
    <t>↓Annual unit sales;  → Unit price</t>
  </si>
  <si>
    <t>Section a.</t>
    <phoneticPr fontId="10" type="noConversion"/>
  </si>
  <si>
    <t>No</t>
    <phoneticPr fontId="10" type="noConversion"/>
  </si>
  <si>
    <t>fix cost</t>
    <phoneticPr fontId="10" type="noConversion"/>
  </si>
  <si>
    <t>after fix</t>
    <phoneticPr fontId="10" type="noConversion"/>
  </si>
  <si>
    <t>sell today</t>
    <phoneticPr fontId="10" type="noConversion"/>
  </si>
  <si>
    <t>Section b.</t>
    <phoneticPr fontId="10" type="noConversion"/>
  </si>
  <si>
    <t>discount rate</t>
    <phoneticPr fontId="10" type="noConversion"/>
  </si>
  <si>
    <t>sell after fix</t>
    <phoneticPr fontId="10" type="noConversion"/>
  </si>
  <si>
    <t>should sell after fix</t>
    <phoneticPr fontId="10" type="noConversion"/>
  </si>
  <si>
    <t>Section c.</t>
    <phoneticPr fontId="10" type="noConversion"/>
  </si>
  <si>
    <t>t=0</t>
    <phoneticPr fontId="10" type="noConversion"/>
  </si>
  <si>
    <t>Rearranging the shop</t>
    <phoneticPr fontId="10" type="noConversion"/>
  </si>
  <si>
    <t>Loss of business during renovation</t>
    <phoneticPr fontId="10" type="noConversion"/>
  </si>
  <si>
    <t>Total</t>
    <phoneticPr fontId="10" type="noConversion"/>
  </si>
  <si>
    <t>Annual profits</t>
    <phoneticPr fontId="10" type="noConversion"/>
  </si>
  <si>
    <t>t=1 to infinity</t>
    <phoneticPr fontId="10" type="noConversion"/>
  </si>
  <si>
    <t>Annual eamings from the sport department</t>
    <phoneticPr fontId="10" type="noConversion"/>
  </si>
  <si>
    <t>Loss of earnings from the tie department</t>
    <phoneticPr fontId="10" type="noConversion"/>
  </si>
  <si>
    <t>Loss of earnings from other departments</t>
    <phoneticPr fontId="10" type="noConversion"/>
  </si>
  <si>
    <t>additional worker for the sport department</t>
    <phoneticPr fontId="10" type="noConversion"/>
  </si>
  <si>
    <t>NPV</t>
    <phoneticPr fontId="10" type="noConversion"/>
  </si>
  <si>
    <t>IRR</t>
    <phoneticPr fontId="10" type="noConversion"/>
  </si>
  <si>
    <t>FURNITURES FACTORY</t>
  </si>
  <si>
    <t>Chair department</t>
  </si>
  <si>
    <t>Table department</t>
    <phoneticPr fontId="10" type="noConversion"/>
  </si>
  <si>
    <t>No. of units</t>
  </si>
  <si>
    <t>Cost of material</t>
    <phoneticPr fontId="10" type="noConversion"/>
  </si>
  <si>
    <t>Total cost</t>
    <phoneticPr fontId="10" type="noConversion"/>
  </si>
  <si>
    <t>Cost per unit</t>
  </si>
  <si>
    <t>Normative profit</t>
  </si>
  <si>
    <t>Unit cost</t>
  </si>
  <si>
    <t>machine costs</t>
  </si>
  <si>
    <t>depreciated years</t>
    <phoneticPr fontId="10" type="noConversion"/>
  </si>
  <si>
    <t>depreciated per year</t>
  </si>
  <si>
    <t>depreciated per year</t>
    <phoneticPr fontId="10" type="noConversion"/>
  </si>
  <si>
    <t>machine save per year</t>
  </si>
  <si>
    <t>machine save per year</t>
    <phoneticPr fontId="10" type="noConversion"/>
  </si>
  <si>
    <t>transfer employee salary</t>
    <phoneticPr fontId="10" type="noConversion"/>
  </si>
  <si>
    <t>new employee salary</t>
    <phoneticPr fontId="10" type="noConversion"/>
  </si>
  <si>
    <t>more salary cost</t>
    <phoneticPr fontId="10" type="noConversion"/>
  </si>
  <si>
    <t>corporate atx rate</t>
    <phoneticPr fontId="10" type="noConversion"/>
  </si>
  <si>
    <t>Annual reportable income calculation</t>
    <phoneticPr fontId="10" type="noConversion"/>
  </si>
  <si>
    <t>Reportable income</t>
  </si>
  <si>
    <t>tax</t>
    <phoneticPr fontId="10" type="noConversion"/>
  </si>
  <si>
    <t>net income</t>
    <phoneticPr fontId="10" type="noConversion"/>
  </si>
  <si>
    <t>calculate the annual cash flow</t>
    <phoneticPr fontId="10" type="noConversion"/>
  </si>
  <si>
    <t>after tax</t>
    <phoneticPr fontId="10" type="noConversion"/>
  </si>
  <si>
    <t>add back depreciated</t>
    <phoneticPr fontId="10" type="noConversion"/>
  </si>
  <si>
    <t>cash flow</t>
    <phoneticPr fontId="10" type="noConversion"/>
  </si>
  <si>
    <t>year</t>
    <phoneticPr fontId="10" type="noConversion"/>
  </si>
  <si>
    <t>Book value at year 5</t>
    <phoneticPr fontId="10" type="noConversion"/>
  </si>
  <si>
    <t>Market value at year 5</t>
    <phoneticPr fontId="10" type="noConversion"/>
  </si>
  <si>
    <t>Capital gains of selling at the fifth year</t>
    <phoneticPr fontId="10" type="noConversion"/>
  </si>
  <si>
    <t>BUYING A NEW MACHINE ABD</t>
    <phoneticPr fontId="10" type="noConversion"/>
  </si>
  <si>
    <t>Free cash flow (December equivalent)</t>
    <phoneticPr fontId="10" type="noConversion"/>
  </si>
  <si>
    <t>Equivalent December cash flow</t>
    <phoneticPr fontId="10" type="noConversion"/>
  </si>
  <si>
    <t>Depreciation</t>
    <phoneticPr fontId="10" type="noConversion"/>
  </si>
  <si>
    <t>Air conditioner operating cost (June-September)</t>
    <phoneticPr fontId="10" type="noConversion"/>
  </si>
  <si>
    <t>Air conditioner maintenance fee (Oct)</t>
    <phoneticPr fontId="10" type="noConversion"/>
  </si>
  <si>
    <t>Air conditioning equipment</t>
    <phoneticPr fontId="10" type="noConversion"/>
  </si>
  <si>
    <t>Discount rate per month</t>
    <phoneticPr fontId="10" type="noConversion"/>
  </si>
  <si>
    <t>Net book value of the machine at selling point</t>
    <phoneticPr fontId="10" type="noConversion"/>
  </si>
  <si>
    <t>Additional revenues on bars sold</t>
    <phoneticPr fontId="10" type="noConversion"/>
  </si>
  <si>
    <t>Bar price ($/unit)</t>
    <phoneticPr fontId="10" type="noConversion"/>
  </si>
  <si>
    <t>regular machine should buy</t>
    <phoneticPr fontId="10" type="noConversion"/>
  </si>
  <si>
    <t>Transportation per 10,000 cans</t>
    <phoneticPr fontId="10" type="noConversion"/>
  </si>
  <si>
    <t>Cost of machine</t>
    <phoneticPr fontId="10" type="noConversion"/>
  </si>
  <si>
    <t>Current cost per can</t>
    <phoneticPr fontId="10" type="noConversion"/>
  </si>
  <si>
    <t>Additional space cost per year</t>
    <phoneticPr fontId="10" type="noConversion"/>
  </si>
  <si>
    <t>Discount rate</t>
    <phoneticPr fontId="10" type="noConversion"/>
  </si>
  <si>
    <t>Company has 2 machines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</si>
</sst>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_ * #,##0.00_ ;_ * \-#,##0.00_ ;_ * &quot;-&quot;??_ ;_ @_ "/>
    <numFmt numFmtId="177" formatCode="_ * #,##0_ ;_ * \-#,##0_ ;_ * &quot;-&quot;??_ ;_ @_ "/>
    <numFmt numFmtId="178" formatCode="#,##0.0"/>
    <numFmt numFmtId="179" formatCode="[$$-409]#,##0"/>
    <numFmt numFmtId="180" formatCode="0.000%"/>
    <numFmt numFmtId="181" formatCode="0.0000%"/>
    <numFmt numFmtId="182" formatCode="#,##0.0000000000_ "/>
    <numFmt numFmtId="183" formatCode="0.00000%"/>
    <numFmt numFmtId="185" formatCode="#,##0.0000"/>
  </numFmts>
  <fonts count="11"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宋体"/>
      <family val="2"/>
      <scheme val="minor"/>
    </font>
    <font>
      <b/>
      <sz val="14"/>
      <color theme="1"/>
      <name val="Arial"/>
      <family val="2"/>
    </font>
    <font>
      <b/>
      <u/>
      <sz val="11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1"/>
      <color theme="1"/>
      <name val="Symbol"/>
      <family val="1"/>
      <charset val="2"/>
    </font>
    <font>
      <sz val="9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6" fillId="0" borderId="0"/>
    <xf numFmtId="176" fontId="1" fillId="0" borderId="0" applyFont="0" applyFill="0" applyBorder="0" applyAlignment="0" applyProtection="0"/>
  </cellStyleXfs>
  <cellXfs count="59">
    <xf numFmtId="0" fontId="0" fillId="0" borderId="0" xfId="0"/>
    <xf numFmtId="0" fontId="4" fillId="0" borderId="0" xfId="0" applyFont="1" applyAlignment="1">
      <alignment horizontal="center"/>
    </xf>
    <xf numFmtId="3" fontId="0" fillId="0" borderId="0" xfId="0" applyNumberFormat="1"/>
    <xf numFmtId="4" fontId="0" fillId="0" borderId="0" xfId="0" applyNumberFormat="1"/>
    <xf numFmtId="0" fontId="2" fillId="0" borderId="0" xfId="0" applyFont="1"/>
    <xf numFmtId="3" fontId="2" fillId="0" borderId="0" xfId="0" applyNumberFormat="1" applyFont="1"/>
    <xf numFmtId="0" fontId="4" fillId="0" borderId="0" xfId="0" applyFont="1"/>
    <xf numFmtId="9" fontId="0" fillId="0" borderId="0" xfId="0" applyNumberFormat="1"/>
    <xf numFmtId="0" fontId="5" fillId="0" borderId="0" xfId="0" applyFont="1"/>
    <xf numFmtId="4" fontId="0" fillId="2" borderId="0" xfId="0" applyNumberFormat="1" applyFill="1"/>
    <xf numFmtId="10" fontId="0" fillId="2" borderId="0" xfId="0" applyNumberFormat="1" applyFill="1"/>
    <xf numFmtId="0" fontId="0" fillId="2" borderId="0" xfId="0" applyFill="1"/>
    <xf numFmtId="9" fontId="0" fillId="0" borderId="0" xfId="1" applyFont="1"/>
    <xf numFmtId="10" fontId="0" fillId="0" borderId="0" xfId="1" applyNumberFormat="1" applyFont="1"/>
    <xf numFmtId="0" fontId="6" fillId="0" borderId="0" xfId="3"/>
    <xf numFmtId="4" fontId="6" fillId="0" borderId="0" xfId="3" applyNumberFormat="1"/>
    <xf numFmtId="0" fontId="7" fillId="0" borderId="0" xfId="3" applyFont="1"/>
    <xf numFmtId="3" fontId="6" fillId="0" borderId="0" xfId="3" applyNumberFormat="1"/>
    <xf numFmtId="0" fontId="7" fillId="0" borderId="0" xfId="3" applyFont="1" applyAlignment="1">
      <alignment horizontal="center" wrapText="1"/>
    </xf>
    <xf numFmtId="9" fontId="6" fillId="0" borderId="0" xfId="3" applyNumberFormat="1"/>
    <xf numFmtId="0" fontId="6" fillId="0" borderId="0" xfId="3" applyAlignment="1">
      <alignment horizontal="center"/>
    </xf>
    <xf numFmtId="4" fontId="7" fillId="2" borderId="0" xfId="3" applyNumberFormat="1" applyFont="1" applyFill="1"/>
    <xf numFmtId="0" fontId="0" fillId="0" borderId="0" xfId="0" applyAlignment="1">
      <alignment horizontal="left" indent="1"/>
    </xf>
    <xf numFmtId="0" fontId="0" fillId="0" borderId="0" xfId="0" quotePrefix="1" applyAlignment="1">
      <alignment horizontal="left" indent="1"/>
    </xf>
    <xf numFmtId="3" fontId="0" fillId="2" borderId="0" xfId="0" applyNumberFormat="1" applyFill="1"/>
    <xf numFmtId="0" fontId="0" fillId="0" borderId="0" xfId="0" applyAlignment="1">
      <alignment horizontal="left"/>
    </xf>
    <xf numFmtId="177" fontId="0" fillId="0" borderId="0" xfId="4" applyNumberFormat="1" applyFont="1"/>
    <xf numFmtId="178" fontId="0" fillId="0" borderId="0" xfId="0" applyNumberFormat="1"/>
    <xf numFmtId="3" fontId="0" fillId="0" borderId="0" xfId="0" quotePrefix="1" applyNumberFormat="1"/>
    <xf numFmtId="179" fontId="6" fillId="0" borderId="0" xfId="3" applyNumberFormat="1"/>
    <xf numFmtId="0" fontId="6" fillId="0" borderId="0" xfId="3" applyAlignment="1">
      <alignment horizontal="right"/>
    </xf>
    <xf numFmtId="0" fontId="6" fillId="0" borderId="0" xfId="3" quotePrefix="1"/>
    <xf numFmtId="3" fontId="6" fillId="2" borderId="0" xfId="3" applyNumberForma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right"/>
    </xf>
    <xf numFmtId="9" fontId="6" fillId="0" borderId="0" xfId="1" applyFont="1"/>
    <xf numFmtId="0" fontId="7" fillId="0" borderId="0" xfId="3" applyFont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/>
    <xf numFmtId="10" fontId="0" fillId="0" borderId="0" xfId="0" applyNumberFormat="1"/>
    <xf numFmtId="0" fontId="0" fillId="0" borderId="0" xfId="0" applyAlignment="1">
      <alignment horizontal="left" wrapText="1"/>
    </xf>
    <xf numFmtId="0" fontId="0" fillId="4" borderId="0" xfId="0" applyFill="1"/>
    <xf numFmtId="3" fontId="0" fillId="4" borderId="0" xfId="0" applyNumberFormat="1" applyFill="1"/>
    <xf numFmtId="10" fontId="0" fillId="2" borderId="0" xfId="1" applyNumberFormat="1" applyFont="1" applyFill="1"/>
    <xf numFmtId="9" fontId="2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4" fontId="0" fillId="0" borderId="0" xfId="0" applyNumberFormat="1" applyAlignment="1">
      <alignment horizontal="center"/>
    </xf>
    <xf numFmtId="3" fontId="2" fillId="0" borderId="0" xfId="0" applyNumberFormat="1" applyFont="1" applyAlignment="1">
      <alignment horizontal="center"/>
    </xf>
    <xf numFmtId="181" fontId="0" fillId="0" borderId="0" xfId="0" applyNumberFormat="1"/>
    <xf numFmtId="180" fontId="0" fillId="0" borderId="0" xfId="1" applyNumberFormat="1" applyFont="1"/>
    <xf numFmtId="182" fontId="0" fillId="0" borderId="0" xfId="0" applyNumberFormat="1"/>
    <xf numFmtId="183" fontId="6" fillId="0" borderId="0" xfId="1" applyNumberFormat="1" applyFon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8" fillId="0" borderId="0" xfId="3" applyFont="1" applyAlignment="1">
      <alignment horizontal="center"/>
    </xf>
    <xf numFmtId="0" fontId="2" fillId="3" borderId="0" xfId="0" applyFont="1" applyFill="1" applyAlignment="1">
      <alignment horizontal="center"/>
    </xf>
    <xf numFmtId="185" fontId="0" fillId="0" borderId="0" xfId="0" applyNumberFormat="1"/>
  </cellXfs>
  <cellStyles count="5">
    <cellStyle name="Normal 2" xfId="2" xr:uid="{00000000-0005-0000-0000-000002000000}"/>
    <cellStyle name="Normal 3" xfId="3" xr:uid="{00000000-0005-0000-0000-000003000000}"/>
    <cellStyle name="百分比" xfId="1" builtinId="5"/>
    <cellStyle name="常规" xfId="0" builtinId="0"/>
    <cellStyle name="千位分隔" xfId="4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NPV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'Exercise 10 template'!$A$34:$A$49</c:f>
              <c:numCache>
                <c:formatCode>General</c:formatCode>
                <c:ptCount val="16"/>
                <c:pt idx="0">
                  <c:v>0</c:v>
                </c:pt>
                <c:pt idx="1">
                  <c:v>1000</c:v>
                </c:pt>
                <c:pt idx="2">
                  <c:v>2000</c:v>
                </c:pt>
                <c:pt idx="3">
                  <c:v>3000</c:v>
                </c:pt>
                <c:pt idx="4">
                  <c:v>4000</c:v>
                </c:pt>
                <c:pt idx="5">
                  <c:v>5000</c:v>
                </c:pt>
                <c:pt idx="6">
                  <c:v>6000</c:v>
                </c:pt>
                <c:pt idx="7">
                  <c:v>7000</c:v>
                </c:pt>
                <c:pt idx="8">
                  <c:v>8000</c:v>
                </c:pt>
                <c:pt idx="9">
                  <c:v>9000</c:v>
                </c:pt>
                <c:pt idx="10">
                  <c:v>10000</c:v>
                </c:pt>
                <c:pt idx="11">
                  <c:v>11000</c:v>
                </c:pt>
                <c:pt idx="12">
                  <c:v>12000</c:v>
                </c:pt>
                <c:pt idx="13">
                  <c:v>13000</c:v>
                </c:pt>
                <c:pt idx="14">
                  <c:v>14000</c:v>
                </c:pt>
                <c:pt idx="15">
                  <c:v>15000</c:v>
                </c:pt>
              </c:numCache>
            </c:numRef>
          </c:cat>
          <c:val>
            <c:numRef>
              <c:f>'Exercise 10 template'!$B$34:$B$49</c:f>
              <c:numCache>
                <c:formatCode>General</c:formatCode>
                <c:ptCount val="16"/>
                <c:pt idx="0">
                  <c:v>-392244.13384580036</c:v>
                </c:pt>
                <c:pt idx="1">
                  <c:v>-341026.3953654432</c:v>
                </c:pt>
                <c:pt idx="2">
                  <c:v>-289808.65688508603</c:v>
                </c:pt>
                <c:pt idx="3">
                  <c:v>-238590.91840472887</c:v>
                </c:pt>
                <c:pt idx="4">
                  <c:v>-187373.17992437171</c:v>
                </c:pt>
                <c:pt idx="5">
                  <c:v>-136155.44144401458</c:v>
                </c:pt>
                <c:pt idx="6">
                  <c:v>-84937.702963657386</c:v>
                </c:pt>
                <c:pt idx="7">
                  <c:v>-33719.964483300238</c:v>
                </c:pt>
                <c:pt idx="8">
                  <c:v>17497.773997056909</c:v>
                </c:pt>
                <c:pt idx="9">
                  <c:v>68715.512477414071</c:v>
                </c:pt>
                <c:pt idx="10">
                  <c:v>119933.2509577712</c:v>
                </c:pt>
                <c:pt idx="11">
                  <c:v>171150.98943812842</c:v>
                </c:pt>
                <c:pt idx="12">
                  <c:v>222368.72791848553</c:v>
                </c:pt>
                <c:pt idx="13">
                  <c:v>273586.46639884275</c:v>
                </c:pt>
                <c:pt idx="14">
                  <c:v>324804.20487919985</c:v>
                </c:pt>
                <c:pt idx="15">
                  <c:v>376021.94335955696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2E-0543-B659-642957229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0914112"/>
        <c:axId val="1485437472"/>
      </c:lineChart>
      <c:catAx>
        <c:axId val="1810914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85437472"/>
        <c:crosses val="autoZero"/>
        <c:auto val="1"/>
        <c:lblAlgn val="ctr"/>
        <c:lblOffset val="100"/>
        <c:noMultiLvlLbl val="0"/>
      </c:catAx>
      <c:valAx>
        <c:axId val="148543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10914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'Exercise 14 template'!$B$26</c:f>
              <c:strCache>
                <c:ptCount val="1"/>
                <c:pt idx="0">
                  <c:v>Machine 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'Exercise 14 template'!$A$28:$A$41</c:f>
              <c:numCache>
                <c:formatCode>#,##0</c:formatCode>
                <c:ptCount val="14"/>
                <c:pt idx="0">
                  <c:v>10000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</c:numCache>
            </c:numRef>
          </c:cat>
          <c:val>
            <c:numRef>
              <c:f>'Exercise 14 template'!$B$28:$B$41</c:f>
              <c:numCache>
                <c:formatCode>#,##0</c:formatCode>
                <c:ptCount val="14"/>
                <c:pt idx="0">
                  <c:v>-3581125.0052875103</c:v>
                </c:pt>
                <c:pt idx="1">
                  <c:v>1929856.8528575357</c:v>
                </c:pt>
                <c:pt idx="2">
                  <c:v>7553307.7285157461</c:v>
                </c:pt>
                <c:pt idx="3">
                  <c:v>13176758.604173958</c:v>
                </c:pt>
                <c:pt idx="4">
                  <c:v>18800209.479832169</c:v>
                </c:pt>
                <c:pt idx="5">
                  <c:v>24423660.355490379</c:v>
                </c:pt>
                <c:pt idx="6">
                  <c:v>30047111.231148586</c:v>
                </c:pt>
                <c:pt idx="7">
                  <c:v>35670562.1068068</c:v>
                </c:pt>
                <c:pt idx="8">
                  <c:v>41294012.982465006</c:v>
                </c:pt>
                <c:pt idx="9">
                  <c:v>46917463.858123221</c:v>
                </c:pt>
                <c:pt idx="10">
                  <c:v>52540914.733781427</c:v>
                </c:pt>
                <c:pt idx="11">
                  <c:v>58164365.609439641</c:v>
                </c:pt>
                <c:pt idx="12">
                  <c:v>63787816.485097855</c:v>
                </c:pt>
                <c:pt idx="13">
                  <c:v>69411267.360756069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EB9-434D-8704-DC4A5DC60BAB}"/>
            </c:ext>
          </c:extLst>
        </c:ser>
        <c:ser>
          <c:idx val="2"/>
          <c:order val="1"/>
          <c:tx>
            <c:strRef>
              <c:f>'Exercise 14 template'!$C$26</c:f>
              <c:strCache>
                <c:ptCount val="1"/>
                <c:pt idx="0">
                  <c:v>Machine B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'Exercise 14 template'!$A$28:$A$41</c:f>
              <c:numCache>
                <c:formatCode>#,##0</c:formatCode>
                <c:ptCount val="14"/>
                <c:pt idx="0">
                  <c:v>10000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</c:numCache>
            </c:numRef>
          </c:cat>
          <c:val>
            <c:numRef>
              <c:f>'Exercise 14 template'!$C$28:$C$41</c:f>
              <c:numCache>
                <c:formatCode>#,##0</c:formatCode>
                <c:ptCount val="14"/>
                <c:pt idx="0">
                  <c:v>-7013500</c:v>
                </c:pt>
                <c:pt idx="1">
                  <c:v>1267500</c:v>
                </c:pt>
                <c:pt idx="2">
                  <c:v>9717500</c:v>
                </c:pt>
                <c:pt idx="3">
                  <c:v>18167500</c:v>
                </c:pt>
                <c:pt idx="4">
                  <c:v>26617500</c:v>
                </c:pt>
                <c:pt idx="5">
                  <c:v>35067500</c:v>
                </c:pt>
                <c:pt idx="6">
                  <c:v>43517500</c:v>
                </c:pt>
                <c:pt idx="7">
                  <c:v>51967500</c:v>
                </c:pt>
                <c:pt idx="8">
                  <c:v>60417500</c:v>
                </c:pt>
                <c:pt idx="9">
                  <c:v>68867500</c:v>
                </c:pt>
                <c:pt idx="10">
                  <c:v>77317500</c:v>
                </c:pt>
                <c:pt idx="11">
                  <c:v>85767500</c:v>
                </c:pt>
                <c:pt idx="12">
                  <c:v>94217500</c:v>
                </c:pt>
                <c:pt idx="13">
                  <c:v>102667500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B9-434D-8704-DC4A5DC60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3199680"/>
        <c:axId val="482619760"/>
      </c:lineChart>
      <c:catAx>
        <c:axId val="1793199680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2619760"/>
        <c:crosses val="autoZero"/>
        <c:auto val="1"/>
        <c:lblAlgn val="ctr"/>
        <c:lblOffset val="100"/>
        <c:noMultiLvlLbl val="0"/>
      </c:catAx>
      <c:valAx>
        <c:axId val="48261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793199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22188</xdr:colOff>
      <xdr:row>31</xdr:row>
      <xdr:rowOff>39413</xdr:rowOff>
    </xdr:from>
    <xdr:to>
      <xdr:col>7</xdr:col>
      <xdr:colOff>1883979</xdr:colOff>
      <xdr:row>47</xdr:row>
      <xdr:rowOff>73280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BF68A361-525F-DB97-95DF-1E2A92182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651934</xdr:colOff>
      <xdr:row>24</xdr:row>
      <xdr:rowOff>160867</xdr:rowOff>
    </xdr:from>
    <xdr:to>
      <xdr:col>10</xdr:col>
      <xdr:colOff>482600</xdr:colOff>
      <xdr:row>40</xdr:row>
      <xdr:rowOff>59267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A992ED9B-02C8-447C-CBE1-777B35398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789A0-3170-5F46-AFCD-54666A5FCD5A}">
  <dimension ref="A1:B16"/>
  <sheetViews>
    <sheetView workbookViewId="0">
      <selection activeCell="F19" sqref="F19"/>
    </sheetView>
  </sheetViews>
  <sheetFormatPr baseColWidth="10" defaultRowHeight="14"/>
  <cols>
    <col min="1" max="1" width="17.5" bestFit="1" customWidth="1"/>
  </cols>
  <sheetData>
    <row r="1" spans="1:2">
      <c r="A1" t="s">
        <v>251</v>
      </c>
      <c r="B1">
        <v>20000</v>
      </c>
    </row>
    <row r="2" spans="1:2">
      <c r="A2" t="s">
        <v>252</v>
      </c>
      <c r="B2">
        <v>90000</v>
      </c>
    </row>
    <row r="3" spans="1:2">
      <c r="A3" t="s">
        <v>253</v>
      </c>
      <c r="B3">
        <v>60000</v>
      </c>
    </row>
    <row r="5" spans="1:2">
      <c r="A5" t="s">
        <v>249</v>
      </c>
    </row>
    <row r="6" spans="1:2">
      <c r="A6" t="s">
        <v>250</v>
      </c>
    </row>
    <row r="8" spans="1:2">
      <c r="A8" t="s">
        <v>254</v>
      </c>
    </row>
    <row r="9" spans="1:2">
      <c r="A9" t="s">
        <v>255</v>
      </c>
      <c r="B9" s="7">
        <v>0.09</v>
      </c>
    </row>
    <row r="10" spans="1:2">
      <c r="A10" t="s">
        <v>253</v>
      </c>
      <c r="B10">
        <f>B3</f>
        <v>60000</v>
      </c>
    </row>
    <row r="11" spans="1:2">
      <c r="A11" t="s">
        <v>256</v>
      </c>
      <c r="B11">
        <f>B2/(1+B9)-B1</f>
        <v>62568.80733944953</v>
      </c>
    </row>
    <row r="12" spans="1:2">
      <c r="A12" t="s">
        <v>257</v>
      </c>
    </row>
    <row r="14" spans="1:2">
      <c r="A14" t="s">
        <v>258</v>
      </c>
    </row>
    <row r="15" spans="1:2">
      <c r="A15" t="s">
        <v>255</v>
      </c>
      <c r="B15" s="50">
        <v>0.12499999985922917</v>
      </c>
    </row>
    <row r="16" spans="1:2">
      <c r="A16" t="s">
        <v>256</v>
      </c>
      <c r="B16">
        <f>B2/(1+B15)-B1</f>
        <v>60000.000010010364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8CB8F-D65F-184A-9940-2A9551C227BB}">
  <dimension ref="A1:B15"/>
  <sheetViews>
    <sheetView workbookViewId="0">
      <selection activeCell="I23" sqref="I23"/>
    </sheetView>
  </sheetViews>
  <sheetFormatPr baseColWidth="10" defaultRowHeight="14"/>
  <cols>
    <col min="1" max="1" width="39.1640625" bestFit="1" customWidth="1"/>
    <col min="2" max="2" width="12" bestFit="1" customWidth="1"/>
  </cols>
  <sheetData>
    <row r="1" spans="1:2">
      <c r="A1" t="s">
        <v>3</v>
      </c>
      <c r="B1" t="s">
        <v>259</v>
      </c>
    </row>
    <row r="2" spans="1:2">
      <c r="A2" t="s">
        <v>260</v>
      </c>
      <c r="B2">
        <v>-40000</v>
      </c>
    </row>
    <row r="3" spans="1:2">
      <c r="A3" t="s">
        <v>261</v>
      </c>
      <c r="B3">
        <v>-15000</v>
      </c>
    </row>
    <row r="4" spans="1:2">
      <c r="A4" t="s">
        <v>262</v>
      </c>
      <c r="B4">
        <f>SUM(B2:B3)</f>
        <v>-55000</v>
      </c>
    </row>
    <row r="6" spans="1:2">
      <c r="A6" t="s">
        <v>263</v>
      </c>
      <c r="B6" t="s">
        <v>264</v>
      </c>
    </row>
    <row r="7" spans="1:2">
      <c r="A7" t="s">
        <v>265</v>
      </c>
      <c r="B7" s="2">
        <v>75000</v>
      </c>
    </row>
    <row r="8" spans="1:2">
      <c r="A8" t="s">
        <v>266</v>
      </c>
      <c r="B8" s="2">
        <v>-20000</v>
      </c>
    </row>
    <row r="9" spans="1:2">
      <c r="A9" t="s">
        <v>267</v>
      </c>
      <c r="B9">
        <v>-15000</v>
      </c>
    </row>
    <row r="10" spans="1:2">
      <c r="A10" t="s">
        <v>268</v>
      </c>
      <c r="B10" s="2">
        <v>-18000</v>
      </c>
    </row>
    <row r="11" spans="1:2">
      <c r="A11" t="s">
        <v>262</v>
      </c>
      <c r="B11" s="2">
        <f>SUM(B7:B10)</f>
        <v>22000</v>
      </c>
    </row>
    <row r="13" spans="1:2">
      <c r="A13" t="s">
        <v>255</v>
      </c>
      <c r="B13" s="7">
        <v>0.12</v>
      </c>
    </row>
    <row r="14" spans="1:2">
      <c r="A14" t="s">
        <v>269</v>
      </c>
      <c r="B14">
        <f>B4+B11/B13</f>
        <v>128333.33333333334</v>
      </c>
    </row>
    <row r="15" spans="1:2">
      <c r="A15" t="s">
        <v>270</v>
      </c>
      <c r="B15" s="51">
        <f>B11/-B4</f>
        <v>0.4</v>
      </c>
    </row>
  </sheetData>
  <phoneticPr fontId="10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D5DBA-9B09-6B4D-88CC-BF7CEDFE48B3}">
  <dimension ref="A1:C8"/>
  <sheetViews>
    <sheetView workbookViewId="0">
      <selection activeCell="F29" sqref="F29"/>
    </sheetView>
  </sheetViews>
  <sheetFormatPr baseColWidth="10" defaultRowHeight="14"/>
  <cols>
    <col min="1" max="1" width="14.83203125" bestFit="1" customWidth="1"/>
    <col min="2" max="2" width="16.33203125" bestFit="1" customWidth="1"/>
    <col min="3" max="3" width="16.5" bestFit="1" customWidth="1"/>
  </cols>
  <sheetData>
    <row r="1" spans="1:3">
      <c r="A1" s="54" t="s">
        <v>271</v>
      </c>
      <c r="B1" s="54"/>
      <c r="C1" s="54"/>
    </row>
    <row r="2" spans="1:3">
      <c r="B2" t="s">
        <v>272</v>
      </c>
      <c r="C2" t="s">
        <v>273</v>
      </c>
    </row>
    <row r="3" spans="1:3">
      <c r="A3" t="s">
        <v>274</v>
      </c>
      <c r="B3" s="2">
        <v>100000</v>
      </c>
      <c r="C3" s="2">
        <v>20000</v>
      </c>
    </row>
    <row r="4" spans="1:3">
      <c r="A4" t="s">
        <v>275</v>
      </c>
      <c r="B4" s="2">
        <v>80000</v>
      </c>
      <c r="C4" s="2">
        <v>35000</v>
      </c>
    </row>
    <row r="5" spans="1:3">
      <c r="A5" t="s">
        <v>276</v>
      </c>
      <c r="B5" s="2">
        <f>B4</f>
        <v>80000</v>
      </c>
      <c r="C5" s="2">
        <f>C4</f>
        <v>35000</v>
      </c>
    </row>
    <row r="6" spans="1:3">
      <c r="A6" t="s">
        <v>277</v>
      </c>
      <c r="B6">
        <f>B5/B3</f>
        <v>0.8</v>
      </c>
      <c r="C6">
        <f>C5/C3</f>
        <v>1.75</v>
      </c>
    </row>
    <row r="7" spans="1:3">
      <c r="A7" t="s">
        <v>278</v>
      </c>
      <c r="B7" s="7">
        <v>0.1</v>
      </c>
      <c r="C7" s="7">
        <v>0.1</v>
      </c>
    </row>
    <row r="8" spans="1:3">
      <c r="A8" t="s">
        <v>279</v>
      </c>
      <c r="B8">
        <f>B6*(1+B7)</f>
        <v>0.88000000000000012</v>
      </c>
      <c r="C8">
        <f>C6*(1+C7)</f>
        <v>1.9250000000000003</v>
      </c>
    </row>
  </sheetData>
  <mergeCells count="1">
    <mergeCell ref="A1:C1"/>
  </mergeCells>
  <phoneticPr fontId="1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5DDC7-B0CF-EA40-9B10-FBC58BC82207}">
  <dimension ref="A1:B36"/>
  <sheetViews>
    <sheetView workbookViewId="0">
      <selection activeCell="B12" sqref="B12"/>
    </sheetView>
  </sheetViews>
  <sheetFormatPr baseColWidth="10" defaultRowHeight="14"/>
  <cols>
    <col min="1" max="1" width="33.6640625" bestFit="1" customWidth="1"/>
    <col min="2" max="2" width="19.1640625" bestFit="1" customWidth="1"/>
  </cols>
  <sheetData>
    <row r="1" spans="1:2">
      <c r="A1" t="s">
        <v>280</v>
      </c>
      <c r="B1" s="3">
        <v>100000</v>
      </c>
    </row>
    <row r="2" spans="1:2">
      <c r="A2" t="s">
        <v>281</v>
      </c>
      <c r="B2">
        <v>10</v>
      </c>
    </row>
    <row r="3" spans="1:2">
      <c r="A3" t="s">
        <v>283</v>
      </c>
      <c r="B3">
        <f>B1/B2</f>
        <v>10000</v>
      </c>
    </row>
    <row r="4" spans="1:2">
      <c r="A4" t="s">
        <v>285</v>
      </c>
      <c r="B4" s="2">
        <v>50000</v>
      </c>
    </row>
    <row r="5" spans="1:2">
      <c r="A5" t="s">
        <v>286</v>
      </c>
      <c r="B5">
        <v>40000</v>
      </c>
    </row>
    <row r="6" spans="1:2">
      <c r="A6" t="s">
        <v>287</v>
      </c>
      <c r="B6" s="2">
        <v>20000</v>
      </c>
    </row>
    <row r="7" spans="1:2">
      <c r="A7" t="s">
        <v>288</v>
      </c>
      <c r="B7" s="2">
        <f>B6</f>
        <v>20000</v>
      </c>
    </row>
    <row r="8" spans="1:2">
      <c r="A8" t="s">
        <v>289</v>
      </c>
      <c r="B8" s="7">
        <v>0.35</v>
      </c>
    </row>
    <row r="9" spans="1:2">
      <c r="A9" t="s">
        <v>255</v>
      </c>
      <c r="B9" s="7">
        <v>0.08</v>
      </c>
    </row>
    <row r="11" spans="1:2">
      <c r="A11" t="s">
        <v>290</v>
      </c>
    </row>
    <row r="12" spans="1:2">
      <c r="A12" t="s">
        <v>284</v>
      </c>
      <c r="B12" s="2">
        <f>B4</f>
        <v>50000</v>
      </c>
    </row>
    <row r="13" spans="1:2">
      <c r="A13" t="s">
        <v>282</v>
      </c>
      <c r="B13">
        <f>-B3</f>
        <v>-10000</v>
      </c>
    </row>
    <row r="14" spans="1:2">
      <c r="A14" t="s">
        <v>288</v>
      </c>
      <c r="B14" s="2">
        <f>-B7</f>
        <v>-20000</v>
      </c>
    </row>
    <row r="15" spans="1:2">
      <c r="A15" t="s">
        <v>291</v>
      </c>
      <c r="B15" s="2">
        <f>SUM(B12:B14)</f>
        <v>20000</v>
      </c>
    </row>
    <row r="16" spans="1:2">
      <c r="A16" t="s">
        <v>292</v>
      </c>
      <c r="B16">
        <f>-B15*B8</f>
        <v>-7000</v>
      </c>
    </row>
    <row r="17" spans="1:2">
      <c r="A17" t="s">
        <v>293</v>
      </c>
      <c r="B17" s="2">
        <f>B15+B16</f>
        <v>13000</v>
      </c>
    </row>
    <row r="19" spans="1:2">
      <c r="A19" t="s">
        <v>294</v>
      </c>
    </row>
    <row r="20" spans="1:2">
      <c r="A20" t="s">
        <v>295</v>
      </c>
      <c r="B20" s="2">
        <f>B17</f>
        <v>13000</v>
      </c>
    </row>
    <row r="21" spans="1:2">
      <c r="A21" t="s">
        <v>296</v>
      </c>
      <c r="B21">
        <f>B3</f>
        <v>10000</v>
      </c>
    </row>
    <row r="22" spans="1:2">
      <c r="A22" t="s">
        <v>297</v>
      </c>
      <c r="B22" s="2">
        <f>B20+B21</f>
        <v>23000</v>
      </c>
    </row>
    <row r="24" spans="1:2">
      <c r="A24" t="s">
        <v>298</v>
      </c>
      <c r="B24" t="s">
        <v>297</v>
      </c>
    </row>
    <row r="25" spans="1:2">
      <c r="A25">
        <v>0</v>
      </c>
      <c r="B25" s="3">
        <f>-B1</f>
        <v>-100000</v>
      </c>
    </row>
    <row r="26" spans="1:2">
      <c r="A26">
        <v>1</v>
      </c>
      <c r="B26" s="2">
        <f>$B$22</f>
        <v>23000</v>
      </c>
    </row>
    <row r="27" spans="1:2">
      <c r="A27">
        <v>2</v>
      </c>
      <c r="B27" s="2">
        <f t="shared" ref="B27:B35" si="0">$B$22</f>
        <v>23000</v>
      </c>
    </row>
    <row r="28" spans="1:2">
      <c r="A28">
        <v>3</v>
      </c>
      <c r="B28" s="2">
        <f t="shared" si="0"/>
        <v>23000</v>
      </c>
    </row>
    <row r="29" spans="1:2">
      <c r="A29">
        <v>4</v>
      </c>
      <c r="B29" s="2">
        <f t="shared" si="0"/>
        <v>23000</v>
      </c>
    </row>
    <row r="30" spans="1:2">
      <c r="A30">
        <v>5</v>
      </c>
      <c r="B30" s="2">
        <f t="shared" si="0"/>
        <v>23000</v>
      </c>
    </row>
    <row r="31" spans="1:2">
      <c r="A31">
        <v>6</v>
      </c>
      <c r="B31" s="2">
        <f t="shared" si="0"/>
        <v>23000</v>
      </c>
    </row>
    <row r="32" spans="1:2">
      <c r="A32">
        <v>7</v>
      </c>
      <c r="B32" s="2">
        <f t="shared" si="0"/>
        <v>23000</v>
      </c>
    </row>
    <row r="33" spans="1:2">
      <c r="A33">
        <v>8</v>
      </c>
      <c r="B33" s="2">
        <f t="shared" si="0"/>
        <v>23000</v>
      </c>
    </row>
    <row r="34" spans="1:2">
      <c r="A34">
        <v>9</v>
      </c>
      <c r="B34" s="2">
        <f t="shared" si="0"/>
        <v>23000</v>
      </c>
    </row>
    <row r="35" spans="1:2">
      <c r="A35">
        <v>10</v>
      </c>
      <c r="B35" s="2">
        <f t="shared" si="0"/>
        <v>23000</v>
      </c>
    </row>
    <row r="36" spans="1:2">
      <c r="A36" t="s">
        <v>269</v>
      </c>
      <c r="B36" s="52">
        <f>B25+NPV(B9,B26:B35)</f>
        <v>54331.872175653174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J29"/>
  <sheetViews>
    <sheetView workbookViewId="0">
      <selection activeCell="B30" sqref="B30"/>
    </sheetView>
  </sheetViews>
  <sheetFormatPr baseColWidth="10" defaultColWidth="8.83203125" defaultRowHeight="14"/>
  <cols>
    <col min="1" max="1" width="32.33203125" bestFit="1" customWidth="1"/>
    <col min="2" max="2" width="7" customWidth="1"/>
    <col min="3" max="10" width="8.5" customWidth="1"/>
  </cols>
  <sheetData>
    <row r="1" spans="1:9" ht="18">
      <c r="A1" s="55" t="s">
        <v>13</v>
      </c>
      <c r="B1" s="55"/>
      <c r="C1" s="55"/>
      <c r="D1" s="55"/>
      <c r="E1" s="55"/>
      <c r="F1" s="55"/>
      <c r="G1" s="55"/>
      <c r="H1" s="55"/>
      <c r="I1" s="55"/>
    </row>
    <row r="2" spans="1:9" ht="18">
      <c r="A2" s="4" t="s">
        <v>20</v>
      </c>
      <c r="B2" s="1"/>
      <c r="C2" s="1"/>
      <c r="D2" s="1"/>
      <c r="E2" s="1"/>
      <c r="F2" s="1"/>
      <c r="G2" s="1"/>
      <c r="H2" s="1"/>
      <c r="I2" s="1"/>
    </row>
    <row r="3" spans="1:9">
      <c r="A3" t="s">
        <v>0</v>
      </c>
      <c r="B3" s="34">
        <v>0</v>
      </c>
      <c r="C3" s="34">
        <v>1</v>
      </c>
      <c r="D3" s="34">
        <v>2</v>
      </c>
      <c r="E3" s="34">
        <v>3</v>
      </c>
      <c r="F3" s="34">
        <v>4</v>
      </c>
      <c r="G3" s="34">
        <v>5</v>
      </c>
      <c r="H3" s="34">
        <v>6</v>
      </c>
      <c r="I3" s="34">
        <v>7</v>
      </c>
    </row>
    <row r="4" spans="1:9">
      <c r="A4" t="s">
        <v>12</v>
      </c>
      <c r="B4" s="2"/>
      <c r="C4" s="2">
        <v>3000</v>
      </c>
      <c r="D4" s="2">
        <v>3000</v>
      </c>
      <c r="E4" s="2">
        <v>3000</v>
      </c>
      <c r="F4" s="2">
        <v>2500</v>
      </c>
      <c r="G4" s="2">
        <v>2500</v>
      </c>
      <c r="H4" s="2">
        <v>2500</v>
      </c>
      <c r="I4" s="2">
        <v>2500</v>
      </c>
    </row>
    <row r="5" spans="1:9">
      <c r="A5" t="s">
        <v>14</v>
      </c>
      <c r="B5" s="2"/>
      <c r="C5" s="2">
        <f>$B$9/7</f>
        <v>-1500</v>
      </c>
      <c r="D5" s="2">
        <f t="shared" ref="D5:I5" si="0">$B$9/7</f>
        <v>-1500</v>
      </c>
      <c r="E5" s="2">
        <f t="shared" si="0"/>
        <v>-1500</v>
      </c>
      <c r="F5" s="2">
        <f t="shared" si="0"/>
        <v>-1500</v>
      </c>
      <c r="G5" s="2">
        <f t="shared" si="0"/>
        <v>-1500</v>
      </c>
      <c r="H5" s="2">
        <f t="shared" si="0"/>
        <v>-1500</v>
      </c>
      <c r="I5" s="2">
        <f t="shared" si="0"/>
        <v>-1500</v>
      </c>
    </row>
    <row r="6" spans="1:9">
      <c r="A6" t="s">
        <v>18</v>
      </c>
      <c r="B6" s="2"/>
      <c r="C6" s="2">
        <f>C4+C5</f>
        <v>1500</v>
      </c>
      <c r="D6" s="2">
        <f t="shared" ref="D6:I6" si="1">D4+D5</f>
        <v>1500</v>
      </c>
      <c r="E6" s="2">
        <f t="shared" si="1"/>
        <v>1500</v>
      </c>
      <c r="F6" s="2">
        <f t="shared" si="1"/>
        <v>1000</v>
      </c>
      <c r="G6" s="2">
        <f t="shared" si="1"/>
        <v>1000</v>
      </c>
      <c r="H6" s="2">
        <f t="shared" si="1"/>
        <v>1000</v>
      </c>
      <c r="I6" s="2">
        <f t="shared" si="1"/>
        <v>1000</v>
      </c>
    </row>
    <row r="7" spans="1:9">
      <c r="A7" t="s">
        <v>16</v>
      </c>
      <c r="B7" s="2"/>
      <c r="C7" s="2">
        <f>-C6*34%</f>
        <v>-510.00000000000006</v>
      </c>
      <c r="D7" s="2">
        <f t="shared" ref="D7:I7" si="2">-D6*34%</f>
        <v>-510.00000000000006</v>
      </c>
      <c r="E7" s="2">
        <f t="shared" si="2"/>
        <v>-510.00000000000006</v>
      </c>
      <c r="F7" s="2">
        <f t="shared" si="2"/>
        <v>-340</v>
      </c>
      <c r="G7" s="2">
        <f t="shared" si="2"/>
        <v>-340</v>
      </c>
      <c r="H7" s="2">
        <f t="shared" si="2"/>
        <v>-340</v>
      </c>
      <c r="I7" s="2">
        <f t="shared" si="2"/>
        <v>-340</v>
      </c>
    </row>
    <row r="8" spans="1:9">
      <c r="A8" t="s">
        <v>17</v>
      </c>
      <c r="B8" s="2"/>
      <c r="C8" s="2">
        <f>C7+C6</f>
        <v>990</v>
      </c>
      <c r="D8" s="2">
        <f t="shared" ref="D8:I8" si="3">D7+D6</f>
        <v>990</v>
      </c>
      <c r="E8" s="2">
        <f t="shared" si="3"/>
        <v>990</v>
      </c>
      <c r="F8" s="2">
        <f t="shared" si="3"/>
        <v>660</v>
      </c>
      <c r="G8" s="2">
        <f t="shared" si="3"/>
        <v>660</v>
      </c>
      <c r="H8" s="2">
        <f t="shared" si="3"/>
        <v>660</v>
      </c>
      <c r="I8" s="2">
        <f t="shared" si="3"/>
        <v>660</v>
      </c>
    </row>
    <row r="9" spans="1:9">
      <c r="A9" t="s">
        <v>15</v>
      </c>
      <c r="B9" s="2">
        <v>-10500</v>
      </c>
      <c r="C9" s="2"/>
      <c r="D9" s="2"/>
      <c r="E9" s="2"/>
      <c r="F9" s="2"/>
      <c r="G9" s="2"/>
      <c r="H9" s="2"/>
      <c r="I9" s="2">
        <v>0</v>
      </c>
    </row>
    <row r="10" spans="1:9">
      <c r="A10" t="s">
        <v>11</v>
      </c>
      <c r="B10" s="2"/>
      <c r="C10" s="2">
        <f>-C5</f>
        <v>1500</v>
      </c>
      <c r="D10" s="2">
        <f t="shared" ref="D10:I10" si="4">-D5</f>
        <v>1500</v>
      </c>
      <c r="E10" s="2">
        <f t="shared" si="4"/>
        <v>1500</v>
      </c>
      <c r="F10" s="2">
        <f t="shared" si="4"/>
        <v>1500</v>
      </c>
      <c r="G10" s="2">
        <f t="shared" si="4"/>
        <v>1500</v>
      </c>
      <c r="H10" s="2">
        <f t="shared" si="4"/>
        <v>1500</v>
      </c>
      <c r="I10" s="2">
        <f t="shared" si="4"/>
        <v>1500</v>
      </c>
    </row>
    <row r="11" spans="1:9">
      <c r="A11" t="s">
        <v>19</v>
      </c>
      <c r="B11" s="2"/>
      <c r="C11" s="2">
        <f>C10+C8</f>
        <v>2490</v>
      </c>
      <c r="D11" s="2">
        <f t="shared" ref="D11:I11" si="5">D10+D8</f>
        <v>2490</v>
      </c>
      <c r="E11" s="2">
        <f t="shared" si="5"/>
        <v>2490</v>
      </c>
      <c r="F11" s="2">
        <f t="shared" si="5"/>
        <v>2160</v>
      </c>
      <c r="G11" s="2">
        <f t="shared" si="5"/>
        <v>2160</v>
      </c>
      <c r="H11" s="2">
        <f t="shared" si="5"/>
        <v>2160</v>
      </c>
      <c r="I11" s="2">
        <f t="shared" si="5"/>
        <v>2160</v>
      </c>
    </row>
    <row r="12" spans="1:9">
      <c r="B12" s="2"/>
    </row>
    <row r="13" spans="1:9">
      <c r="A13" t="s">
        <v>1</v>
      </c>
      <c r="B13" s="12">
        <v>0.11</v>
      </c>
    </row>
    <row r="14" spans="1:9">
      <c r="A14" t="s">
        <v>2</v>
      </c>
      <c r="B14" s="3">
        <f>B9+NPV(B13,C11:I11)</f>
        <v>484.76978769591551</v>
      </c>
    </row>
    <row r="15" spans="1:9">
      <c r="B15" s="2"/>
    </row>
    <row r="16" spans="1:9" ht="18">
      <c r="A16" s="4" t="s">
        <v>22</v>
      </c>
      <c r="B16" s="1"/>
      <c r="C16" s="1"/>
      <c r="D16" s="1"/>
      <c r="E16" s="1"/>
      <c r="F16" s="1"/>
      <c r="G16" s="1"/>
      <c r="H16" s="1"/>
      <c r="I16" s="1"/>
    </row>
    <row r="17" spans="1:10">
      <c r="A17" t="s">
        <v>0</v>
      </c>
      <c r="B17" s="34">
        <v>0</v>
      </c>
      <c r="C17" s="34">
        <v>1</v>
      </c>
      <c r="D17" s="34">
        <v>2</v>
      </c>
      <c r="E17" s="34">
        <v>3</v>
      </c>
      <c r="F17" s="34">
        <v>4</v>
      </c>
      <c r="G17" s="34">
        <v>5</v>
      </c>
      <c r="H17" s="34">
        <v>6</v>
      </c>
      <c r="I17" s="34">
        <v>7</v>
      </c>
      <c r="J17" s="34">
        <v>8</v>
      </c>
    </row>
    <row r="18" spans="1:10">
      <c r="A18" t="s">
        <v>21</v>
      </c>
      <c r="B18" s="2"/>
      <c r="C18" s="13">
        <v>0.1429</v>
      </c>
      <c r="D18" s="13">
        <v>0.24490000000000001</v>
      </c>
      <c r="E18" s="13">
        <v>0.1749</v>
      </c>
      <c r="F18" s="13">
        <v>0.1249</v>
      </c>
      <c r="G18" s="13">
        <v>8.9300000000000004E-2</v>
      </c>
      <c r="H18" s="13">
        <v>8.9300000000000004E-2</v>
      </c>
      <c r="I18" s="13">
        <v>8.9300000000000004E-2</v>
      </c>
      <c r="J18" s="13">
        <v>4.4499999999999998E-2</v>
      </c>
    </row>
    <row r="19" spans="1:10">
      <c r="A19" t="s">
        <v>12</v>
      </c>
      <c r="B19" s="2"/>
      <c r="C19" s="2">
        <v>3000</v>
      </c>
      <c r="D19" s="2">
        <v>3000</v>
      </c>
      <c r="E19" s="2">
        <v>3000</v>
      </c>
      <c r="F19" s="2">
        <v>2500</v>
      </c>
      <c r="G19" s="2">
        <v>2500</v>
      </c>
      <c r="H19" s="2">
        <v>2500</v>
      </c>
      <c r="I19" s="2">
        <v>2500</v>
      </c>
      <c r="J19" s="2">
        <v>0</v>
      </c>
    </row>
    <row r="20" spans="1:10">
      <c r="A20" t="s">
        <v>14</v>
      </c>
      <c r="B20" s="2"/>
      <c r="C20" s="2">
        <f>$B$24*C18</f>
        <v>-1500.45</v>
      </c>
      <c r="D20" s="2">
        <f t="shared" ref="D20:I20" si="6">$B$24*D18</f>
        <v>-2571.4500000000003</v>
      </c>
      <c r="E20" s="2">
        <f t="shared" si="6"/>
        <v>-1836.45</v>
      </c>
      <c r="F20" s="2">
        <f t="shared" si="6"/>
        <v>-1311.45</v>
      </c>
      <c r="G20" s="2">
        <f t="shared" si="6"/>
        <v>-937.65000000000009</v>
      </c>
      <c r="H20" s="2">
        <f t="shared" si="6"/>
        <v>-937.65000000000009</v>
      </c>
      <c r="I20" s="2">
        <f t="shared" si="6"/>
        <v>-937.65000000000009</v>
      </c>
      <c r="J20" s="2"/>
    </row>
    <row r="21" spans="1:10">
      <c r="A21" t="s">
        <v>18</v>
      </c>
      <c r="B21" s="2"/>
      <c r="C21" s="2">
        <f>C20+C19</f>
        <v>1499.55</v>
      </c>
      <c r="D21" s="2">
        <f t="shared" ref="D21:I21" si="7">D20+D19</f>
        <v>428.54999999999973</v>
      </c>
      <c r="E21" s="2">
        <f t="shared" si="7"/>
        <v>1163.55</v>
      </c>
      <c r="F21" s="2">
        <f t="shared" si="7"/>
        <v>1188.55</v>
      </c>
      <c r="G21" s="2">
        <f t="shared" si="7"/>
        <v>1562.35</v>
      </c>
      <c r="H21" s="2">
        <f t="shared" si="7"/>
        <v>1562.35</v>
      </c>
      <c r="I21" s="2">
        <f t="shared" si="7"/>
        <v>1562.35</v>
      </c>
      <c r="J21" s="2"/>
    </row>
    <row r="22" spans="1:10">
      <c r="A22" t="s">
        <v>16</v>
      </c>
      <c r="B22" s="2"/>
      <c r="C22" s="2">
        <f>-C21*34%</f>
        <v>-509.84700000000004</v>
      </c>
      <c r="D22" s="2">
        <f t="shared" ref="D22:I22" si="8">-D21*34%</f>
        <v>-145.70699999999991</v>
      </c>
      <c r="E22" s="2">
        <f t="shared" si="8"/>
        <v>-395.60700000000003</v>
      </c>
      <c r="F22" s="2">
        <f t="shared" si="8"/>
        <v>-404.10700000000003</v>
      </c>
      <c r="G22" s="2">
        <f t="shared" si="8"/>
        <v>-531.19899999999996</v>
      </c>
      <c r="H22" s="2">
        <f t="shared" si="8"/>
        <v>-531.19899999999996</v>
      </c>
      <c r="I22" s="2">
        <f t="shared" si="8"/>
        <v>-531.19899999999996</v>
      </c>
      <c r="J22" s="2"/>
    </row>
    <row r="23" spans="1:10">
      <c r="A23" t="s">
        <v>17</v>
      </c>
      <c r="B23" s="2"/>
      <c r="C23" s="2">
        <f>C21+C22</f>
        <v>989.70299999999997</v>
      </c>
      <c r="D23" s="2">
        <f t="shared" ref="D23:I23" si="9">D21+D22</f>
        <v>282.84299999999985</v>
      </c>
      <c r="E23" s="2">
        <f t="shared" si="9"/>
        <v>767.94299999999998</v>
      </c>
      <c r="F23" s="2">
        <f t="shared" si="9"/>
        <v>784.44299999999998</v>
      </c>
      <c r="G23" s="2">
        <f t="shared" si="9"/>
        <v>1031.1509999999998</v>
      </c>
      <c r="H23" s="2">
        <f t="shared" si="9"/>
        <v>1031.1509999999998</v>
      </c>
      <c r="I23" s="2">
        <f t="shared" si="9"/>
        <v>1031.1509999999998</v>
      </c>
      <c r="J23" s="2"/>
    </row>
    <row r="24" spans="1:10">
      <c r="A24" t="s">
        <v>15</v>
      </c>
      <c r="B24" s="2">
        <v>-10500</v>
      </c>
      <c r="C24" s="2"/>
      <c r="D24" s="2"/>
      <c r="E24" s="2"/>
      <c r="F24" s="2"/>
      <c r="G24" s="2"/>
      <c r="H24" s="2"/>
      <c r="I24" s="2">
        <v>0</v>
      </c>
    </row>
    <row r="25" spans="1:10">
      <c r="A25" t="s">
        <v>11</v>
      </c>
      <c r="B25" s="2"/>
      <c r="C25" s="2">
        <f>-C20</f>
        <v>1500.45</v>
      </c>
      <c r="D25" s="2">
        <f t="shared" ref="D25:I25" si="10">-D20</f>
        <v>2571.4500000000003</v>
      </c>
      <c r="E25" s="2">
        <f t="shared" si="10"/>
        <v>1836.45</v>
      </c>
      <c r="F25" s="2">
        <f t="shared" si="10"/>
        <v>1311.45</v>
      </c>
      <c r="G25" s="2">
        <f t="shared" si="10"/>
        <v>937.65000000000009</v>
      </c>
      <c r="H25" s="2">
        <f t="shared" si="10"/>
        <v>937.65000000000009</v>
      </c>
      <c r="I25" s="2">
        <f t="shared" si="10"/>
        <v>937.65000000000009</v>
      </c>
      <c r="J25" s="2"/>
    </row>
    <row r="26" spans="1:10">
      <c r="A26" t="s">
        <v>19</v>
      </c>
      <c r="B26" s="2"/>
      <c r="C26" s="2">
        <f>C25+C23</f>
        <v>2490.1530000000002</v>
      </c>
      <c r="D26" s="2">
        <f t="shared" ref="D26:I26" si="11">D25+D23</f>
        <v>2854.2930000000001</v>
      </c>
      <c r="E26" s="2">
        <f t="shared" si="11"/>
        <v>2604.393</v>
      </c>
      <c r="F26" s="2">
        <f t="shared" si="11"/>
        <v>2095.893</v>
      </c>
      <c r="G26" s="2">
        <f t="shared" si="11"/>
        <v>1968.8009999999999</v>
      </c>
      <c r="H26" s="2">
        <f t="shared" si="11"/>
        <v>1968.8009999999999</v>
      </c>
      <c r="I26" s="2">
        <f t="shared" si="11"/>
        <v>1968.8009999999999</v>
      </c>
      <c r="J26" s="2"/>
    </row>
    <row r="27" spans="1:10">
      <c r="B27" s="2"/>
    </row>
    <row r="28" spans="1:10">
      <c r="A28" t="s">
        <v>1</v>
      </c>
      <c r="B28" s="12">
        <v>0.11</v>
      </c>
    </row>
    <row r="29" spans="1:10">
      <c r="A29" t="s">
        <v>2</v>
      </c>
      <c r="B29" s="3">
        <f>B24+NPV(B28,C26:I26)</f>
        <v>514.20720553245883</v>
      </c>
    </row>
  </sheetData>
  <mergeCells count="1">
    <mergeCell ref="A1:I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H29"/>
  <sheetViews>
    <sheetView workbookViewId="0">
      <selection activeCell="E25" sqref="E25"/>
    </sheetView>
  </sheetViews>
  <sheetFormatPr baseColWidth="10" defaultColWidth="8.83203125" defaultRowHeight="14"/>
  <cols>
    <col min="1" max="1" width="32.33203125" bestFit="1" customWidth="1"/>
    <col min="2" max="2" width="10" bestFit="1" customWidth="1"/>
    <col min="3" max="7" width="8.5" customWidth="1"/>
  </cols>
  <sheetData>
    <row r="1" spans="1:7" ht="18">
      <c r="A1" s="55" t="s">
        <v>23</v>
      </c>
      <c r="B1" s="55"/>
      <c r="C1" s="55"/>
      <c r="D1" s="55"/>
      <c r="E1" s="55"/>
      <c r="F1" s="55"/>
      <c r="G1" s="55"/>
    </row>
    <row r="2" spans="1:7">
      <c r="A2" t="s">
        <v>0</v>
      </c>
      <c r="B2" s="34">
        <v>0</v>
      </c>
      <c r="C2" s="34">
        <v>1</v>
      </c>
      <c r="D2" s="34">
        <v>2</v>
      </c>
      <c r="E2" s="34">
        <v>3</v>
      </c>
      <c r="F2" s="34">
        <v>4</v>
      </c>
      <c r="G2" s="34">
        <v>5</v>
      </c>
    </row>
    <row r="3" spans="1:7">
      <c r="A3" t="s">
        <v>24</v>
      </c>
      <c r="B3" s="2"/>
      <c r="C3" s="2">
        <v>22500</v>
      </c>
      <c r="D3" s="2">
        <v>22500</v>
      </c>
      <c r="E3" s="2">
        <v>22500</v>
      </c>
      <c r="F3" s="2">
        <v>22500</v>
      </c>
      <c r="G3" s="2">
        <v>22500</v>
      </c>
    </row>
    <row r="4" spans="1:7">
      <c r="A4" t="s">
        <v>14</v>
      </c>
      <c r="B4" s="2"/>
      <c r="C4" s="2">
        <f>($B$8+$B$16)/$G$2</f>
        <v>-10000</v>
      </c>
      <c r="D4" s="2">
        <f t="shared" ref="D4:G4" si="0">($B$8+$B$16)/$G$2</f>
        <v>-10000</v>
      </c>
      <c r="E4" s="2">
        <f t="shared" si="0"/>
        <v>-10000</v>
      </c>
      <c r="F4" s="2">
        <f t="shared" si="0"/>
        <v>-10000</v>
      </c>
      <c r="G4" s="2">
        <f t="shared" si="0"/>
        <v>-10000</v>
      </c>
    </row>
    <row r="5" spans="1:7">
      <c r="A5" t="s">
        <v>18</v>
      </c>
      <c r="B5" s="2"/>
      <c r="C5" s="2">
        <f>C3+C4</f>
        <v>12500</v>
      </c>
      <c r="D5" s="2">
        <f t="shared" ref="D5:G5" si="1">D3+D4</f>
        <v>12500</v>
      </c>
      <c r="E5" s="2">
        <f t="shared" si="1"/>
        <v>12500</v>
      </c>
      <c r="F5" s="2">
        <f t="shared" si="1"/>
        <v>12500</v>
      </c>
      <c r="G5" s="2">
        <f t="shared" si="1"/>
        <v>12500</v>
      </c>
    </row>
    <row r="6" spans="1:7">
      <c r="A6" t="s">
        <v>25</v>
      </c>
      <c r="B6" s="2"/>
      <c r="C6" s="2">
        <f>-C5*30%</f>
        <v>-3750</v>
      </c>
      <c r="D6" s="2">
        <f t="shared" ref="D6:G6" si="2">-D5*30%</f>
        <v>-3750</v>
      </c>
      <c r="E6" s="2">
        <f t="shared" si="2"/>
        <v>-3750</v>
      </c>
      <c r="F6" s="2">
        <f t="shared" si="2"/>
        <v>-3750</v>
      </c>
      <c r="G6" s="2">
        <f t="shared" si="2"/>
        <v>-3750</v>
      </c>
    </row>
    <row r="7" spans="1:7">
      <c r="A7" t="s">
        <v>17</v>
      </c>
      <c r="B7" s="2"/>
      <c r="C7" s="2">
        <f>C5+C6</f>
        <v>8750</v>
      </c>
      <c r="D7" s="2">
        <f t="shared" ref="D7:G7" si="3">D5+D6</f>
        <v>8750</v>
      </c>
      <c r="E7" s="2">
        <f t="shared" si="3"/>
        <v>8750</v>
      </c>
      <c r="F7" s="2">
        <f t="shared" si="3"/>
        <v>8750</v>
      </c>
      <c r="G7" s="2">
        <f t="shared" si="3"/>
        <v>8750</v>
      </c>
    </row>
    <row r="8" spans="1:7">
      <c r="A8" t="s">
        <v>31</v>
      </c>
      <c r="B8" s="2">
        <v>-60000</v>
      </c>
      <c r="C8" s="2"/>
      <c r="D8" s="2"/>
      <c r="E8" s="2"/>
      <c r="F8" s="2"/>
      <c r="G8" s="2"/>
    </row>
    <row r="9" spans="1:7">
      <c r="A9" t="s">
        <v>11</v>
      </c>
      <c r="B9" s="2"/>
      <c r="C9" s="2">
        <f>-C4</f>
        <v>10000</v>
      </c>
      <c r="D9" s="2">
        <f t="shared" ref="D9:G9" si="4">-D4</f>
        <v>10000</v>
      </c>
      <c r="E9" s="2">
        <f t="shared" si="4"/>
        <v>10000</v>
      </c>
      <c r="F9" s="2">
        <f t="shared" si="4"/>
        <v>10000</v>
      </c>
      <c r="G9" s="2">
        <f t="shared" si="4"/>
        <v>10000</v>
      </c>
    </row>
    <row r="10" spans="1:7">
      <c r="B10" s="2"/>
      <c r="C10" s="2"/>
      <c r="D10" s="2"/>
      <c r="E10" s="2"/>
      <c r="F10" s="2"/>
      <c r="G10" s="2"/>
    </row>
    <row r="11" spans="1:7">
      <c r="A11" t="s">
        <v>19</v>
      </c>
      <c r="B11" s="2"/>
      <c r="C11" s="2">
        <f>C7+C9</f>
        <v>18750</v>
      </c>
      <c r="D11" s="2">
        <f t="shared" ref="D11:F11" si="5">D7+D9</f>
        <v>18750</v>
      </c>
      <c r="E11" s="2">
        <f t="shared" si="5"/>
        <v>18750</v>
      </c>
      <c r="F11" s="2">
        <f t="shared" si="5"/>
        <v>18750</v>
      </c>
      <c r="G11" s="2">
        <f>G7+G9+B18</f>
        <v>25250</v>
      </c>
    </row>
    <row r="12" spans="1:7">
      <c r="B12" s="2"/>
    </row>
    <row r="13" spans="1:7">
      <c r="A13" t="s">
        <v>1</v>
      </c>
      <c r="B13" s="12">
        <v>0.12</v>
      </c>
    </row>
    <row r="14" spans="1:7">
      <c r="A14" t="s">
        <v>2</v>
      </c>
      <c r="B14" s="3">
        <f>B8+NPV(B13,C11:G11)</f>
        <v>11277.828356139726</v>
      </c>
    </row>
    <row r="15" spans="1:7">
      <c r="B15" s="2"/>
    </row>
    <row r="16" spans="1:7">
      <c r="A16" t="s">
        <v>299</v>
      </c>
      <c r="B16" s="2">
        <v>10000</v>
      </c>
    </row>
    <row r="17" spans="1:8">
      <c r="A17" t="s">
        <v>300</v>
      </c>
      <c r="B17" s="2">
        <v>5000</v>
      </c>
    </row>
    <row r="18" spans="1:8">
      <c r="A18" t="s">
        <v>301</v>
      </c>
      <c r="B18" s="2">
        <f>B17-(B17-B16)*30%</f>
        <v>6500</v>
      </c>
      <c r="C18" s="13"/>
      <c r="D18" s="13"/>
      <c r="E18" s="13"/>
      <c r="F18" s="13"/>
      <c r="G18" s="13"/>
      <c r="H18" s="13"/>
    </row>
    <row r="19" spans="1:8">
      <c r="B19" s="2"/>
      <c r="C19" s="2"/>
      <c r="D19" s="2"/>
      <c r="E19" s="2"/>
      <c r="F19" s="2"/>
      <c r="G19" s="2"/>
      <c r="H19" s="2"/>
    </row>
    <row r="20" spans="1:8">
      <c r="B20" s="2"/>
      <c r="C20" s="2"/>
      <c r="D20" s="2"/>
      <c r="E20" s="2"/>
      <c r="F20" s="2"/>
      <c r="G20" s="2"/>
      <c r="H20" s="2"/>
    </row>
    <row r="21" spans="1:8">
      <c r="B21" s="2"/>
      <c r="C21" s="2"/>
      <c r="D21" s="2"/>
      <c r="E21" s="2"/>
      <c r="F21" s="2"/>
      <c r="G21" s="2"/>
      <c r="H21" s="2"/>
    </row>
    <row r="22" spans="1:8">
      <c r="B22" s="2"/>
      <c r="C22" s="2"/>
      <c r="D22" s="2"/>
      <c r="E22" s="2"/>
      <c r="F22" s="2"/>
      <c r="G22" s="2"/>
      <c r="H22" s="2"/>
    </row>
    <row r="23" spans="1:8">
      <c r="B23" s="2"/>
      <c r="C23" s="2"/>
      <c r="D23" s="2"/>
      <c r="E23" s="2"/>
      <c r="F23" s="2"/>
      <c r="G23" s="2"/>
      <c r="H23" s="2"/>
    </row>
    <row r="24" spans="1:8">
      <c r="B24" s="2"/>
      <c r="C24" s="2"/>
      <c r="D24" s="2"/>
      <c r="E24" s="2"/>
      <c r="F24" s="2"/>
      <c r="G24" s="2"/>
    </row>
    <row r="25" spans="1:8">
      <c r="B25" s="2"/>
      <c r="C25" s="2"/>
      <c r="D25" s="2"/>
      <c r="E25" s="2"/>
      <c r="F25" s="2"/>
      <c r="G25" s="2"/>
      <c r="H25" s="2"/>
    </row>
    <row r="26" spans="1:8">
      <c r="B26" s="2"/>
      <c r="C26" s="2"/>
      <c r="D26" s="2"/>
      <c r="E26" s="2"/>
      <c r="F26" s="2"/>
      <c r="G26" s="2"/>
      <c r="H26" s="2"/>
    </row>
    <row r="27" spans="1:8">
      <c r="B27" s="2"/>
    </row>
    <row r="28" spans="1:8">
      <c r="B28" s="12"/>
    </row>
    <row r="29" spans="1:8">
      <c r="B29" s="3"/>
    </row>
  </sheetData>
  <mergeCells count="1">
    <mergeCell ref="A1:G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K43"/>
  <sheetViews>
    <sheetView workbookViewId="0">
      <selection activeCell="E24" sqref="E24"/>
    </sheetView>
  </sheetViews>
  <sheetFormatPr baseColWidth="10" defaultColWidth="8.83203125" defaultRowHeight="14"/>
  <cols>
    <col min="1" max="1" width="32.33203125" bestFit="1" customWidth="1"/>
    <col min="2" max="10" width="8.5" customWidth="1"/>
    <col min="11" max="11" width="17.6640625" customWidth="1"/>
  </cols>
  <sheetData>
    <row r="1" spans="1:11" ht="18">
      <c r="A1" s="55" t="s">
        <v>302</v>
      </c>
      <c r="B1" s="55"/>
      <c r="C1" s="55"/>
      <c r="D1" s="55"/>
      <c r="E1" s="55"/>
      <c r="F1" s="55"/>
      <c r="G1" s="55"/>
      <c r="H1" s="55"/>
      <c r="I1" s="55"/>
      <c r="J1" s="55"/>
    </row>
    <row r="2" spans="1:11" ht="13.5" customHeight="1">
      <c r="A2" s="25" t="s">
        <v>72</v>
      </c>
      <c r="B2" s="2">
        <v>100000</v>
      </c>
      <c r="C2" s="35"/>
      <c r="D2" s="35"/>
      <c r="E2" s="35"/>
      <c r="F2" s="35"/>
      <c r="G2" s="35"/>
      <c r="H2" s="35"/>
      <c r="I2" s="35"/>
      <c r="J2" s="35"/>
    </row>
    <row r="3" spans="1:11" ht="13.5" customHeight="1">
      <c r="A3" s="25" t="s">
        <v>95</v>
      </c>
      <c r="B3">
        <v>8</v>
      </c>
      <c r="C3" s="35"/>
      <c r="D3" s="35"/>
      <c r="E3" s="35"/>
      <c r="F3" s="35"/>
      <c r="G3" s="35"/>
      <c r="H3" s="35"/>
      <c r="I3" s="35"/>
      <c r="J3" s="35"/>
    </row>
    <row r="4" spans="1:11" ht="13.5" customHeight="1">
      <c r="A4" s="25" t="s">
        <v>9</v>
      </c>
      <c r="B4">
        <f>B2/B3</f>
        <v>12500</v>
      </c>
      <c r="C4" s="35" t="str">
        <f ca="1">getformula(B4)</f>
        <v>&lt;-- =B2/B3</v>
      </c>
      <c r="D4" s="35"/>
      <c r="E4" s="35"/>
      <c r="F4" s="35"/>
      <c r="G4" s="35"/>
      <c r="H4" s="35"/>
      <c r="I4" s="35"/>
      <c r="J4" s="35"/>
    </row>
    <row r="5" spans="1:11" ht="13.5" customHeight="1">
      <c r="A5" s="25" t="s">
        <v>96</v>
      </c>
      <c r="B5" s="2">
        <v>15000</v>
      </c>
      <c r="C5" s="35"/>
      <c r="D5" s="35"/>
      <c r="E5" s="35"/>
      <c r="F5" s="35"/>
      <c r="G5" s="35"/>
      <c r="H5" s="35"/>
      <c r="I5" s="35"/>
      <c r="J5" s="35"/>
    </row>
    <row r="6" spans="1:11" ht="13.5" customHeight="1">
      <c r="A6" s="25" t="s">
        <v>97</v>
      </c>
      <c r="B6" s="2">
        <v>25000</v>
      </c>
      <c r="C6" s="35"/>
      <c r="D6" s="35"/>
      <c r="E6" s="35"/>
      <c r="F6" s="35"/>
      <c r="G6" s="35"/>
      <c r="H6" s="35"/>
      <c r="I6" s="35"/>
      <c r="J6" s="35"/>
    </row>
    <row r="7" spans="1:11" ht="13.5" customHeight="1">
      <c r="A7" s="25" t="s">
        <v>98</v>
      </c>
      <c r="B7" s="7">
        <v>0.15</v>
      </c>
      <c r="C7" s="35"/>
      <c r="D7" s="35"/>
      <c r="E7" s="35"/>
      <c r="F7" s="35"/>
      <c r="G7" s="35"/>
      <c r="H7" s="35"/>
      <c r="I7" s="35"/>
      <c r="J7" s="35"/>
    </row>
    <row r="8" spans="1:11" ht="13.5" customHeight="1">
      <c r="A8" s="25" t="s">
        <v>99</v>
      </c>
      <c r="B8" s="36">
        <v>0.4</v>
      </c>
      <c r="C8" s="35"/>
      <c r="D8" s="35"/>
      <c r="E8" s="35"/>
      <c r="F8" s="35"/>
      <c r="G8" s="35"/>
      <c r="H8" s="35"/>
      <c r="I8" s="35"/>
      <c r="J8" s="35"/>
    </row>
    <row r="9" spans="1:11" ht="13.5" customHeight="1">
      <c r="A9" s="25"/>
      <c r="B9" s="35"/>
      <c r="C9" s="35"/>
      <c r="D9" s="35"/>
      <c r="E9" s="35"/>
      <c r="F9" s="35"/>
      <c r="G9" s="35"/>
      <c r="H9" s="35"/>
      <c r="I9" s="35"/>
      <c r="J9" s="35"/>
    </row>
    <row r="10" spans="1:11" ht="13.5" customHeight="1">
      <c r="A10" s="25"/>
      <c r="B10" s="35"/>
      <c r="C10" s="35"/>
      <c r="D10" s="35"/>
      <c r="E10" s="35"/>
      <c r="F10" s="35"/>
      <c r="G10" s="35"/>
      <c r="H10" s="35"/>
      <c r="I10" s="35"/>
      <c r="J10" s="35"/>
    </row>
    <row r="11" spans="1:11">
      <c r="A11" t="s">
        <v>0</v>
      </c>
      <c r="B11" s="34">
        <v>0</v>
      </c>
      <c r="C11" s="34">
        <v>1</v>
      </c>
      <c r="D11" s="34">
        <v>2</v>
      </c>
      <c r="E11" s="34">
        <v>3</v>
      </c>
      <c r="F11" s="34">
        <v>4</v>
      </c>
      <c r="G11" s="34">
        <v>5</v>
      </c>
      <c r="H11" s="34">
        <v>6</v>
      </c>
      <c r="I11" s="34">
        <v>7</v>
      </c>
      <c r="J11" s="34">
        <v>8</v>
      </c>
    </row>
    <row r="12" spans="1:11" ht="13.5" customHeight="1">
      <c r="A12" t="s">
        <v>26</v>
      </c>
      <c r="B12" s="2"/>
      <c r="C12" s="2">
        <f>$B$5</f>
        <v>15000</v>
      </c>
      <c r="D12" s="2">
        <f t="shared" ref="D12:J12" si="0">$B$5</f>
        <v>15000</v>
      </c>
      <c r="E12" s="2">
        <f t="shared" si="0"/>
        <v>15000</v>
      </c>
      <c r="F12" s="2">
        <f t="shared" si="0"/>
        <v>15000</v>
      </c>
      <c r="G12" s="2">
        <f t="shared" si="0"/>
        <v>15000</v>
      </c>
      <c r="H12" s="2">
        <f t="shared" si="0"/>
        <v>15000</v>
      </c>
      <c r="I12" s="2">
        <f t="shared" si="0"/>
        <v>15000</v>
      </c>
      <c r="J12" s="2">
        <f t="shared" si="0"/>
        <v>15000</v>
      </c>
      <c r="K12" t="str">
        <f ca="1">getformula(J12)</f>
        <v>&lt;-- =$B$5</v>
      </c>
    </row>
    <row r="13" spans="1:11">
      <c r="A13" t="s">
        <v>14</v>
      </c>
      <c r="B13" s="2"/>
      <c r="C13" s="2">
        <f>-$B$4</f>
        <v>-12500</v>
      </c>
      <c r="D13" s="2">
        <f t="shared" ref="D13:J13" si="1">-$B$4</f>
        <v>-12500</v>
      </c>
      <c r="E13" s="2">
        <f t="shared" si="1"/>
        <v>-12500</v>
      </c>
      <c r="F13" s="2">
        <f t="shared" si="1"/>
        <v>-12500</v>
      </c>
      <c r="G13" s="2">
        <f t="shared" si="1"/>
        <v>-12500</v>
      </c>
      <c r="H13" s="2">
        <f t="shared" si="1"/>
        <v>-12500</v>
      </c>
      <c r="I13" s="2">
        <f t="shared" si="1"/>
        <v>-12500</v>
      </c>
      <c r="J13" s="2">
        <f t="shared" si="1"/>
        <v>-12500</v>
      </c>
      <c r="K13" t="str">
        <f ca="1">getformula(J13)</f>
        <v>&lt;-- =-$B$4</v>
      </c>
    </row>
    <row r="14" spans="1:11">
      <c r="A14" t="s">
        <v>18</v>
      </c>
      <c r="B14" s="2"/>
      <c r="C14" s="2">
        <f>C12+C13</f>
        <v>2500</v>
      </c>
      <c r="D14" s="2">
        <f t="shared" ref="D14:J14" si="2">D12+D13</f>
        <v>2500</v>
      </c>
      <c r="E14" s="2">
        <f t="shared" si="2"/>
        <v>2500</v>
      </c>
      <c r="F14" s="2">
        <f t="shared" si="2"/>
        <v>2500</v>
      </c>
      <c r="G14" s="2">
        <f t="shared" si="2"/>
        <v>2500</v>
      </c>
      <c r="H14" s="2">
        <f t="shared" si="2"/>
        <v>2500</v>
      </c>
      <c r="I14" s="2">
        <f t="shared" si="2"/>
        <v>2500</v>
      </c>
      <c r="J14" s="2">
        <f t="shared" si="2"/>
        <v>2500</v>
      </c>
      <c r="K14" t="str">
        <f ca="1">getformula(J14)</f>
        <v>&lt;-- =J12+J13</v>
      </c>
    </row>
    <row r="15" spans="1:11">
      <c r="A15" t="s">
        <v>27</v>
      </c>
      <c r="B15" s="2"/>
      <c r="C15" s="2">
        <f>-$B$8*C14</f>
        <v>-1000</v>
      </c>
      <c r="D15" s="2">
        <f t="shared" ref="D15:J15" si="3">-$B$8*D14</f>
        <v>-1000</v>
      </c>
      <c r="E15" s="2">
        <f t="shared" si="3"/>
        <v>-1000</v>
      </c>
      <c r="F15" s="2">
        <f t="shared" si="3"/>
        <v>-1000</v>
      </c>
      <c r="G15" s="2">
        <f t="shared" si="3"/>
        <v>-1000</v>
      </c>
      <c r="H15" s="2">
        <f t="shared" si="3"/>
        <v>-1000</v>
      </c>
      <c r="I15" s="2">
        <f t="shared" si="3"/>
        <v>-1000</v>
      </c>
      <c r="J15" s="2">
        <f t="shared" si="3"/>
        <v>-1000</v>
      </c>
      <c r="K15" t="str">
        <f ca="1">getformula(J15)</f>
        <v>&lt;-- =-$B$8*J14</v>
      </c>
    </row>
    <row r="16" spans="1:11">
      <c r="A16" t="s">
        <v>17</v>
      </c>
      <c r="B16" s="2"/>
      <c r="C16" s="2">
        <f>SUM(C14:C15)</f>
        <v>1500</v>
      </c>
      <c r="D16" s="2">
        <f t="shared" ref="D16:J16" si="4">SUM(D14:D15)</f>
        <v>1500</v>
      </c>
      <c r="E16" s="2">
        <f t="shared" si="4"/>
        <v>1500</v>
      </c>
      <c r="F16" s="2">
        <f t="shared" si="4"/>
        <v>1500</v>
      </c>
      <c r="G16" s="2">
        <f t="shared" si="4"/>
        <v>1500</v>
      </c>
      <c r="H16" s="2">
        <f t="shared" si="4"/>
        <v>1500</v>
      </c>
      <c r="I16" s="2">
        <f t="shared" si="4"/>
        <v>1500</v>
      </c>
      <c r="J16" s="2">
        <f t="shared" si="4"/>
        <v>1500</v>
      </c>
      <c r="K16" t="str">
        <f ca="1">getformula(J16)</f>
        <v>&lt;-- =SUM(J14:J15)</v>
      </c>
    </row>
    <row r="17" spans="1:11">
      <c r="B17" s="2"/>
      <c r="C17" s="2"/>
      <c r="D17" s="2"/>
      <c r="E17" s="2"/>
      <c r="F17" s="2"/>
      <c r="G17" s="2"/>
      <c r="H17" s="2"/>
      <c r="I17" s="2"/>
      <c r="J17" s="2"/>
    </row>
    <row r="18" spans="1:11">
      <c r="B18" s="2"/>
      <c r="C18" s="2"/>
      <c r="D18" s="2"/>
      <c r="E18" s="2"/>
      <c r="F18" s="2"/>
      <c r="G18" s="2"/>
      <c r="H18" s="2"/>
      <c r="I18" s="2"/>
      <c r="J18" s="2"/>
    </row>
    <row r="19" spans="1:11">
      <c r="A19" s="4" t="s">
        <v>19</v>
      </c>
      <c r="B19" s="34">
        <v>0</v>
      </c>
      <c r="C19" s="34">
        <v>1</v>
      </c>
      <c r="D19" s="34">
        <v>2</v>
      </c>
      <c r="E19" s="34">
        <v>3</v>
      </c>
      <c r="F19" s="34">
        <v>4</v>
      </c>
      <c r="G19" s="34">
        <v>5</v>
      </c>
      <c r="H19" s="34">
        <v>6</v>
      </c>
      <c r="I19" s="34">
        <v>7</v>
      </c>
      <c r="J19" s="34">
        <v>8</v>
      </c>
    </row>
    <row r="20" spans="1:11">
      <c r="A20" t="s">
        <v>31</v>
      </c>
      <c r="B20" s="2">
        <v>-100000</v>
      </c>
      <c r="C20" s="2"/>
      <c r="D20" s="2"/>
      <c r="E20" s="2"/>
      <c r="F20" s="2"/>
      <c r="G20" s="2"/>
      <c r="H20" s="2"/>
      <c r="I20" s="2"/>
      <c r="J20" s="2"/>
    </row>
    <row r="21" spans="1:11">
      <c r="A21" t="s">
        <v>17</v>
      </c>
      <c r="B21" s="2"/>
      <c r="C21" s="2">
        <f>C16</f>
        <v>1500</v>
      </c>
      <c r="D21" s="2">
        <f t="shared" ref="D21:J21" si="5">D16</f>
        <v>1500</v>
      </c>
      <c r="E21" s="2">
        <f t="shared" si="5"/>
        <v>1500</v>
      </c>
      <c r="F21" s="2">
        <f t="shared" si="5"/>
        <v>1500</v>
      </c>
      <c r="G21" s="2">
        <f t="shared" si="5"/>
        <v>1500</v>
      </c>
      <c r="H21" s="2">
        <f t="shared" si="5"/>
        <v>1500</v>
      </c>
      <c r="I21" s="2">
        <f t="shared" si="5"/>
        <v>1500</v>
      </c>
      <c r="J21" s="2">
        <f t="shared" si="5"/>
        <v>1500</v>
      </c>
      <c r="K21" t="str">
        <f ca="1">getformula(J21)</f>
        <v>&lt;-- =J16</v>
      </c>
    </row>
    <row r="22" spans="1:11">
      <c r="A22" t="s">
        <v>11</v>
      </c>
      <c r="B22" s="2"/>
      <c r="C22" s="2">
        <f>-C13</f>
        <v>12500</v>
      </c>
      <c r="D22" s="2">
        <f t="shared" ref="D22:J22" si="6">-D13</f>
        <v>12500</v>
      </c>
      <c r="E22" s="2">
        <f t="shared" si="6"/>
        <v>12500</v>
      </c>
      <c r="F22" s="2">
        <f t="shared" si="6"/>
        <v>12500</v>
      </c>
      <c r="G22" s="2">
        <f t="shared" si="6"/>
        <v>12500</v>
      </c>
      <c r="H22" s="2">
        <f t="shared" si="6"/>
        <v>12500</v>
      </c>
      <c r="I22" s="2">
        <f t="shared" si="6"/>
        <v>12500</v>
      </c>
      <c r="J22" s="2">
        <f t="shared" si="6"/>
        <v>12500</v>
      </c>
      <c r="K22" t="str">
        <f ca="1">getformula(J22)</f>
        <v>&lt;-- =-J13</v>
      </c>
    </row>
    <row r="23" spans="1:11">
      <c r="A23" t="s">
        <v>100</v>
      </c>
      <c r="B23" s="2"/>
      <c r="C23" s="2"/>
      <c r="D23" s="2"/>
      <c r="E23" s="2"/>
      <c r="F23" s="2"/>
      <c r="G23" s="2"/>
      <c r="H23" s="2"/>
      <c r="I23" s="2"/>
      <c r="J23" s="2">
        <f>B34</f>
        <v>9000</v>
      </c>
    </row>
    <row r="24" spans="1:11">
      <c r="A24" t="s">
        <v>19</v>
      </c>
      <c r="B24" s="2">
        <f>SUM(B20:B23)</f>
        <v>-100000</v>
      </c>
      <c r="C24" s="2">
        <f>SUM(C20:C23)</f>
        <v>14000</v>
      </c>
      <c r="D24" s="2">
        <f t="shared" ref="D24:J24" si="7">SUM(D20:D23)</f>
        <v>14000</v>
      </c>
      <c r="E24" s="2">
        <f t="shared" si="7"/>
        <v>14000</v>
      </c>
      <c r="F24" s="2">
        <f t="shared" si="7"/>
        <v>14000</v>
      </c>
      <c r="G24" s="2">
        <f t="shared" si="7"/>
        <v>14000</v>
      </c>
      <c r="H24" s="2">
        <f t="shared" si="7"/>
        <v>14000</v>
      </c>
      <c r="I24" s="2">
        <f t="shared" si="7"/>
        <v>14000</v>
      </c>
      <c r="J24" s="2">
        <f t="shared" si="7"/>
        <v>23000</v>
      </c>
      <c r="K24" t="str">
        <f ca="1">getformula(J24)</f>
        <v>&lt;-- =SUM(J20:J23)</v>
      </c>
    </row>
    <row r="25" spans="1:11">
      <c r="B25" s="2"/>
    </row>
    <row r="26" spans="1:11">
      <c r="A26" t="s">
        <v>1</v>
      </c>
      <c r="B26" s="12">
        <v>0.15</v>
      </c>
    </row>
    <row r="27" spans="1:11">
      <c r="A27" t="s">
        <v>2</v>
      </c>
      <c r="B27" s="24">
        <f>B24+NPV(B26,C24:J24)</f>
        <v>-34235.382927693427</v>
      </c>
      <c r="C27" t="str">
        <f ca="1">getformula(B27)</f>
        <v>&lt;-- =B24+NPV(B26,C24:J24)</v>
      </c>
    </row>
    <row r="28" spans="1:11">
      <c r="A28" t="s">
        <v>5</v>
      </c>
      <c r="B28" s="10">
        <f>IRR(B24:J24)</f>
        <v>4.1909609780447443E-2</v>
      </c>
      <c r="C28" t="str">
        <f ca="1">getformula(B28)</f>
        <v>&lt;-- =IRR(B24:J24)</v>
      </c>
    </row>
    <row r="29" spans="1:11">
      <c r="B29" s="2"/>
    </row>
    <row r="30" spans="1:11">
      <c r="A30" t="s">
        <v>28</v>
      </c>
      <c r="B30" s="2">
        <v>0</v>
      </c>
    </row>
    <row r="31" spans="1:11">
      <c r="A31" t="s">
        <v>29</v>
      </c>
      <c r="B31" s="2">
        <f>B5</f>
        <v>15000</v>
      </c>
    </row>
    <row r="32" spans="1:11">
      <c r="A32" t="s">
        <v>30</v>
      </c>
      <c r="B32" s="2">
        <f>B31-B30</f>
        <v>15000</v>
      </c>
      <c r="C32" s="13" t="str">
        <f ca="1">getformula(B32)</f>
        <v>&lt;-- =B31-B30</v>
      </c>
      <c r="D32" s="13"/>
      <c r="E32" s="13"/>
      <c r="F32" s="13"/>
      <c r="G32" s="13"/>
      <c r="H32" s="13"/>
      <c r="I32" s="13"/>
      <c r="J32" s="13"/>
      <c r="K32" s="13"/>
    </row>
    <row r="33" spans="1:11">
      <c r="A33" t="s">
        <v>90</v>
      </c>
      <c r="B33" s="2">
        <f>B8*B32</f>
        <v>6000</v>
      </c>
      <c r="C33" s="13" t="str">
        <f ca="1">getformula(B33)</f>
        <v>&lt;-- =B8*B32</v>
      </c>
      <c r="D33" s="2"/>
      <c r="E33" s="2"/>
      <c r="F33" s="2"/>
      <c r="G33" s="2"/>
      <c r="H33" s="2"/>
      <c r="I33" s="2"/>
      <c r="J33" s="2"/>
      <c r="K33" s="2"/>
    </row>
    <row r="34" spans="1:11">
      <c r="A34" t="s">
        <v>101</v>
      </c>
      <c r="B34" s="2">
        <f>B31-B33</f>
        <v>9000</v>
      </c>
      <c r="C34" s="2" t="str">
        <f ca="1">getformula(B34)</f>
        <v>&lt;-- =B31-B33</v>
      </c>
      <c r="D34" s="2"/>
      <c r="E34" s="2"/>
      <c r="F34" s="2"/>
      <c r="G34" s="2"/>
      <c r="H34" s="2"/>
      <c r="I34" s="2"/>
      <c r="J34" s="2"/>
      <c r="K34" s="2"/>
    </row>
    <row r="35" spans="1:11">
      <c r="B35" s="2"/>
      <c r="C35" s="2"/>
      <c r="D35" s="2"/>
      <c r="E35" s="2"/>
      <c r="F35" s="2"/>
      <c r="G35" s="2"/>
      <c r="H35" s="2"/>
      <c r="I35" s="2"/>
      <c r="J35" s="2"/>
      <c r="K35" s="2"/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B37" s="2"/>
      <c r="C37" s="2"/>
      <c r="D37" s="2"/>
      <c r="E37" s="2"/>
      <c r="F37" s="2"/>
      <c r="G37" s="2"/>
      <c r="H37" s="2"/>
      <c r="I37" s="2"/>
      <c r="J37" s="2"/>
      <c r="K37" s="2"/>
    </row>
    <row r="38" spans="1:11">
      <c r="B38" s="2"/>
      <c r="C38" s="2"/>
      <c r="D38" s="2"/>
      <c r="E38" s="2"/>
      <c r="F38" s="2"/>
      <c r="G38" s="2"/>
      <c r="H38" s="2"/>
      <c r="I38" s="2"/>
      <c r="J38" s="2"/>
    </row>
    <row r="39" spans="1:11">
      <c r="B39" s="2"/>
      <c r="C39" s="2"/>
      <c r="D39" s="2"/>
      <c r="E39" s="2"/>
      <c r="F39" s="2"/>
      <c r="G39" s="2"/>
      <c r="H39" s="2"/>
      <c r="I39" s="2"/>
      <c r="J39" s="2"/>
      <c r="K39" s="2"/>
    </row>
    <row r="40" spans="1:11">
      <c r="B40" s="2"/>
      <c r="C40" s="2"/>
      <c r="D40" s="2"/>
      <c r="E40" s="2"/>
      <c r="F40" s="2"/>
      <c r="G40" s="2"/>
      <c r="H40" s="2"/>
      <c r="I40" s="2"/>
      <c r="J40" s="2"/>
      <c r="K40" s="2"/>
    </row>
    <row r="41" spans="1:11">
      <c r="B41" s="2"/>
    </row>
    <row r="42" spans="1:11">
      <c r="B42" s="12"/>
    </row>
    <row r="43" spans="1:11">
      <c r="B43" s="3"/>
    </row>
  </sheetData>
  <mergeCells count="1">
    <mergeCell ref="A1:J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5"/>
  <dimension ref="A1:L48"/>
  <sheetViews>
    <sheetView workbookViewId="0">
      <selection activeCell="Q43" sqref="Q43"/>
    </sheetView>
  </sheetViews>
  <sheetFormatPr baseColWidth="10" defaultColWidth="8.6640625" defaultRowHeight="13"/>
  <cols>
    <col min="1" max="1" width="38.33203125" style="14" customWidth="1"/>
    <col min="2" max="3" width="9.83203125" style="14" customWidth="1"/>
    <col min="4" max="4" width="12.1640625" style="14" customWidth="1"/>
    <col min="5" max="5" width="11.1640625" style="14" customWidth="1"/>
    <col min="6" max="6" width="12.1640625" style="14" customWidth="1"/>
    <col min="7" max="12" width="9.83203125" style="14" customWidth="1"/>
    <col min="13" max="16384" width="8.6640625" style="14"/>
  </cols>
  <sheetData>
    <row r="1" spans="1:6" ht="18">
      <c r="A1" s="56" t="s">
        <v>50</v>
      </c>
      <c r="B1" s="56"/>
      <c r="C1" s="56"/>
      <c r="D1" s="56"/>
      <c r="E1" s="56"/>
      <c r="F1" s="56"/>
    </row>
    <row r="2" spans="1:6">
      <c r="A2" s="14" t="s">
        <v>1</v>
      </c>
      <c r="B2" s="19">
        <v>0.12</v>
      </c>
    </row>
    <row r="3" spans="1:6">
      <c r="A3" s="14" t="s">
        <v>48</v>
      </c>
      <c r="B3" s="19">
        <v>0.35</v>
      </c>
    </row>
    <row r="4" spans="1:6">
      <c r="A4" s="14" t="s">
        <v>102</v>
      </c>
      <c r="B4" s="17">
        <v>150000</v>
      </c>
    </row>
    <row r="5" spans="1:6">
      <c r="A5" s="14" t="s">
        <v>103</v>
      </c>
      <c r="B5" s="14">
        <v>10</v>
      </c>
    </row>
    <row r="6" spans="1:6">
      <c r="A6" s="14" t="s">
        <v>104</v>
      </c>
      <c r="B6" s="17">
        <f>B4/B5</f>
        <v>15000</v>
      </c>
      <c r="C6" s="14" t="str">
        <f ca="1">getformula(B6)</f>
        <v>&lt;-- =B4/B5</v>
      </c>
    </row>
    <row r="7" spans="1:6">
      <c r="A7" s="14" t="s">
        <v>306</v>
      </c>
      <c r="B7" s="17">
        <v>9000</v>
      </c>
      <c r="C7" s="14" t="s">
        <v>106</v>
      </c>
    </row>
    <row r="8" spans="1:6">
      <c r="A8" s="14" t="s">
        <v>307</v>
      </c>
      <c r="B8" s="17">
        <v>5000</v>
      </c>
    </row>
    <row r="9" spans="1:6">
      <c r="A9" s="14" t="s">
        <v>105</v>
      </c>
      <c r="B9" s="17">
        <v>20000</v>
      </c>
    </row>
    <row r="10" spans="1:6">
      <c r="B10" s="17"/>
    </row>
    <row r="11" spans="1:6">
      <c r="A11" s="14" t="s">
        <v>1</v>
      </c>
      <c r="B11" s="37">
        <v>0.12</v>
      </c>
    </row>
    <row r="12" spans="1:6">
      <c r="A12" s="14" t="s">
        <v>309</v>
      </c>
      <c r="B12" s="53">
        <f>(B11+1)^(1/12)-1</f>
        <v>9.4887929345830457E-3</v>
      </c>
    </row>
    <row r="13" spans="1:6">
      <c r="A13" s="14" t="s">
        <v>99</v>
      </c>
      <c r="B13" s="19">
        <v>0.35</v>
      </c>
    </row>
    <row r="14" spans="1:6">
      <c r="A14" s="16" t="s">
        <v>46</v>
      </c>
    </row>
    <row r="15" spans="1:6" s="18" customFormat="1" ht="42">
      <c r="B15" s="18" t="s">
        <v>45</v>
      </c>
      <c r="C15" s="18" t="s">
        <v>49</v>
      </c>
      <c r="D15" s="18" t="s">
        <v>305</v>
      </c>
      <c r="E15" s="18" t="s">
        <v>304</v>
      </c>
    </row>
    <row r="16" spans="1:6">
      <c r="A16" s="14" t="s">
        <v>44</v>
      </c>
      <c r="B16" s="17"/>
      <c r="C16" s="17"/>
      <c r="D16" s="17">
        <f>-$B$6/12</f>
        <v>-1250</v>
      </c>
      <c r="E16" s="15">
        <f>SUM(B16:D16)*((1+$B$12)^F16)</f>
        <v>-1386.8405571202063</v>
      </c>
      <c r="F16" s="14">
        <v>11</v>
      </c>
    </row>
    <row r="17" spans="1:12">
      <c r="A17" s="14" t="s">
        <v>43</v>
      </c>
      <c r="B17" s="17"/>
      <c r="C17" s="17"/>
      <c r="D17" s="17">
        <f t="shared" ref="D17:D27" si="0">-$B$6/12</f>
        <v>-1250</v>
      </c>
      <c r="E17" s="15">
        <f t="shared" ref="E17:E27" si="1">SUM(B17:D17)*((1+$B$12)^F17)</f>
        <v>-1373.8048077667727</v>
      </c>
      <c r="F17" s="14">
        <v>10</v>
      </c>
    </row>
    <row r="18" spans="1:12">
      <c r="A18" s="14" t="s">
        <v>42</v>
      </c>
      <c r="B18" s="17"/>
      <c r="C18" s="17"/>
      <c r="D18" s="17">
        <f t="shared" si="0"/>
        <v>-1250</v>
      </c>
      <c r="E18" s="15">
        <f t="shared" si="1"/>
        <v>-1360.891589269776</v>
      </c>
      <c r="F18" s="14">
        <v>9</v>
      </c>
    </row>
    <row r="19" spans="1:12">
      <c r="A19" s="14" t="s">
        <v>41</v>
      </c>
      <c r="B19" s="17"/>
      <c r="C19" s="17"/>
      <c r="D19" s="17">
        <f t="shared" si="0"/>
        <v>-1250</v>
      </c>
      <c r="E19" s="15">
        <f t="shared" si="1"/>
        <v>-1348.0997498879262</v>
      </c>
      <c r="F19" s="14">
        <v>8</v>
      </c>
    </row>
    <row r="20" spans="1:12">
      <c r="A20" s="14" t="s">
        <v>40</v>
      </c>
      <c r="B20" s="17"/>
      <c r="C20" s="17"/>
      <c r="D20" s="17">
        <f t="shared" si="0"/>
        <v>-1250</v>
      </c>
      <c r="E20" s="15">
        <f t="shared" si="1"/>
        <v>-1335.4281487058431</v>
      </c>
      <c r="F20" s="14">
        <v>7</v>
      </c>
    </row>
    <row r="21" spans="1:12">
      <c r="A21" s="14" t="s">
        <v>39</v>
      </c>
      <c r="B21" s="17">
        <f>$B$9</f>
        <v>20000</v>
      </c>
      <c r="C21" s="17">
        <f>-$B$7</f>
        <v>-9000</v>
      </c>
      <c r="D21" s="17">
        <f t="shared" si="0"/>
        <v>-1250</v>
      </c>
      <c r="E21" s="15">
        <f t="shared" si="1"/>
        <v>10318.430113151911</v>
      </c>
      <c r="F21" s="14">
        <v>6</v>
      </c>
    </row>
    <row r="22" spans="1:12">
      <c r="A22" s="14" t="s">
        <v>38</v>
      </c>
      <c r="B22" s="17">
        <f t="shared" ref="B22:B24" si="2">$B$9</f>
        <v>20000</v>
      </c>
      <c r="C22" s="17">
        <f t="shared" ref="C22:C24" si="3">-$B$7</f>
        <v>-9000</v>
      </c>
      <c r="D22" s="17">
        <f t="shared" si="0"/>
        <v>-1250</v>
      </c>
      <c r="E22" s="15">
        <f t="shared" si="1"/>
        <v>10221.44097623535</v>
      </c>
      <c r="F22" s="14">
        <v>5</v>
      </c>
    </row>
    <row r="23" spans="1:12">
      <c r="A23" s="14" t="s">
        <v>37</v>
      </c>
      <c r="B23" s="17">
        <f t="shared" si="2"/>
        <v>20000</v>
      </c>
      <c r="C23" s="17">
        <f t="shared" si="3"/>
        <v>-9000</v>
      </c>
      <c r="D23" s="17">
        <f t="shared" si="0"/>
        <v>-1250</v>
      </c>
      <c r="E23" s="15">
        <f t="shared" si="1"/>
        <v>10125.363498609657</v>
      </c>
      <c r="F23" s="14">
        <v>4</v>
      </c>
    </row>
    <row r="24" spans="1:12">
      <c r="A24" s="14" t="s">
        <v>36</v>
      </c>
      <c r="B24" s="17">
        <f t="shared" si="2"/>
        <v>20000</v>
      </c>
      <c r="C24" s="17">
        <f t="shared" si="3"/>
        <v>-9000</v>
      </c>
      <c r="D24" s="17">
        <f t="shared" si="0"/>
        <v>-1250</v>
      </c>
      <c r="E24" s="15">
        <f t="shared" si="1"/>
        <v>10030.189111040287</v>
      </c>
      <c r="F24" s="14">
        <v>3</v>
      </c>
    </row>
    <row r="25" spans="1:12">
      <c r="A25" s="14" t="s">
        <v>35</v>
      </c>
      <c r="B25" s="17"/>
      <c r="C25" s="17">
        <f>-B8</f>
        <v>-5000</v>
      </c>
      <c r="D25" s="17">
        <f t="shared" si="0"/>
        <v>-1250</v>
      </c>
      <c r="E25" s="15">
        <f t="shared" si="1"/>
        <v>-6369.1726441282599</v>
      </c>
      <c r="F25" s="14">
        <v>2</v>
      </c>
    </row>
    <row r="26" spans="1:12">
      <c r="A26" s="14" t="s">
        <v>34</v>
      </c>
      <c r="B26" s="17"/>
      <c r="C26" s="17"/>
      <c r="D26" s="17">
        <f t="shared" si="0"/>
        <v>-1250</v>
      </c>
      <c r="E26" s="15">
        <f t="shared" si="1"/>
        <v>-1261.8609911682288</v>
      </c>
      <c r="F26" s="14">
        <v>1</v>
      </c>
    </row>
    <row r="27" spans="1:12">
      <c r="A27" s="14" t="s">
        <v>33</v>
      </c>
      <c r="B27" s="17"/>
      <c r="C27" s="17"/>
      <c r="D27" s="17">
        <f t="shared" si="0"/>
        <v>-1250</v>
      </c>
      <c r="E27" s="15">
        <f t="shared" si="1"/>
        <v>-1250</v>
      </c>
      <c r="F27" s="14">
        <v>0</v>
      </c>
    </row>
    <row r="28" spans="1:12">
      <c r="E28" s="15"/>
    </row>
    <row r="29" spans="1:12">
      <c r="A29" s="14" t="s">
        <v>303</v>
      </c>
      <c r="E29" s="21">
        <f>SUM(E16:E27)*(1-B13)+B6</f>
        <v>31256.061387143629</v>
      </c>
      <c r="F29" s="14" t="str">
        <f ca="1">getformula(E29)</f>
        <v>&lt;-- =SUM(E16:E27)*(1-B13)+B6</v>
      </c>
    </row>
    <row r="31" spans="1:12">
      <c r="A31" s="16" t="s">
        <v>32</v>
      </c>
    </row>
    <row r="32" spans="1:12">
      <c r="A32" s="20" t="s">
        <v>0</v>
      </c>
      <c r="B32" s="38">
        <v>0</v>
      </c>
      <c r="C32" s="38">
        <v>1</v>
      </c>
      <c r="D32" s="38">
        <v>2</v>
      </c>
      <c r="E32" s="38">
        <v>3</v>
      </c>
      <c r="F32" s="38">
        <v>4</v>
      </c>
      <c r="G32" s="38">
        <v>5</v>
      </c>
      <c r="H32" s="38">
        <v>6</v>
      </c>
      <c r="I32" s="38">
        <v>7</v>
      </c>
      <c r="J32" s="38">
        <v>8</v>
      </c>
      <c r="K32" s="38">
        <v>9</v>
      </c>
      <c r="L32" s="38">
        <v>10</v>
      </c>
    </row>
    <row r="33" spans="1:12">
      <c r="A33" s="14" t="s">
        <v>308</v>
      </c>
      <c r="B33" s="17">
        <f>-B4</f>
        <v>-150000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</row>
    <row r="34" spans="1:12" s="15" customFormat="1">
      <c r="A34" s="15" t="s">
        <v>19</v>
      </c>
      <c r="C34" s="17">
        <f>$E$29</f>
        <v>31256.061387143629</v>
      </c>
      <c r="D34" s="17">
        <f t="shared" ref="D34:L34" si="4">$E$29</f>
        <v>31256.061387143629</v>
      </c>
      <c r="E34" s="17">
        <f t="shared" si="4"/>
        <v>31256.061387143629</v>
      </c>
      <c r="F34" s="17">
        <f t="shared" si="4"/>
        <v>31256.061387143629</v>
      </c>
      <c r="G34" s="17">
        <f t="shared" si="4"/>
        <v>31256.061387143629</v>
      </c>
      <c r="H34" s="17">
        <f t="shared" si="4"/>
        <v>31256.061387143629</v>
      </c>
      <c r="I34" s="17">
        <f t="shared" si="4"/>
        <v>31256.061387143629</v>
      </c>
      <c r="J34" s="17">
        <f t="shared" si="4"/>
        <v>31256.061387143629</v>
      </c>
      <c r="K34" s="17">
        <f t="shared" si="4"/>
        <v>31256.061387143629</v>
      </c>
      <c r="L34" s="17">
        <f t="shared" si="4"/>
        <v>31256.061387143629</v>
      </c>
    </row>
    <row r="35" spans="1:12" s="15" customFormat="1">
      <c r="A35" s="15" t="s">
        <v>107</v>
      </c>
      <c r="L35" s="15">
        <v>0</v>
      </c>
    </row>
    <row r="36" spans="1:12" s="15" customFormat="1">
      <c r="A36" s="15" t="s">
        <v>108</v>
      </c>
      <c r="B36" s="17">
        <f>SUM(B33:B35)</f>
        <v>-150000</v>
      </c>
      <c r="C36" s="17">
        <f t="shared" ref="C36:L36" si="5">SUM(C33:C35)</f>
        <v>31256.061387143629</v>
      </c>
      <c r="D36" s="17">
        <f t="shared" si="5"/>
        <v>31256.061387143629</v>
      </c>
      <c r="E36" s="17">
        <f t="shared" si="5"/>
        <v>31256.061387143629</v>
      </c>
      <c r="F36" s="17">
        <f t="shared" si="5"/>
        <v>31256.061387143629</v>
      </c>
      <c r="G36" s="17">
        <f t="shared" si="5"/>
        <v>31256.061387143629</v>
      </c>
      <c r="H36" s="17">
        <f t="shared" si="5"/>
        <v>31256.061387143629</v>
      </c>
      <c r="I36" s="17">
        <f t="shared" si="5"/>
        <v>31256.061387143629</v>
      </c>
      <c r="J36" s="17">
        <f t="shared" si="5"/>
        <v>31256.061387143629</v>
      </c>
      <c r="K36" s="17">
        <f t="shared" si="5"/>
        <v>31256.061387143629</v>
      </c>
      <c r="L36" s="17">
        <f t="shared" si="5"/>
        <v>31256.061387143629</v>
      </c>
    </row>
    <row r="37" spans="1:12" s="15" customFormat="1"/>
    <row r="38" spans="1:12" s="15" customFormat="1">
      <c r="A38" s="15" t="s">
        <v>109</v>
      </c>
      <c r="B38" s="15">
        <f>B36+NPV(B11,C36:L36)</f>
        <v>26603.717827062501</v>
      </c>
    </row>
    <row r="39" spans="1:12" s="15" customFormat="1"/>
    <row r="40" spans="1:12" s="15" customFormat="1"/>
    <row r="41" spans="1:12" s="15" customFormat="1"/>
    <row r="42" spans="1:12" s="15" customFormat="1"/>
    <row r="43" spans="1:12" s="15" customFormat="1"/>
    <row r="44" spans="1:12" s="15" customFormat="1"/>
    <row r="45" spans="1:12" s="15" customFormat="1"/>
    <row r="46" spans="1:12" s="15" customFormat="1"/>
    <row r="47" spans="1:12" s="15" customFormat="1"/>
    <row r="48" spans="1:12" s="15" customFormat="1"/>
  </sheetData>
  <mergeCells count="1">
    <mergeCell ref="A1:F1"/>
  </mergeCells>
  <phoneticPr fontId="10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12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G86"/>
  <sheetViews>
    <sheetView topLeftCell="A48" workbookViewId="0">
      <selection activeCell="G28" sqref="G28"/>
    </sheetView>
  </sheetViews>
  <sheetFormatPr baseColWidth="10" defaultColWidth="8.83203125" defaultRowHeight="14"/>
  <cols>
    <col min="1" max="1" width="38.83203125" bestFit="1" customWidth="1"/>
    <col min="2" max="2" width="11" bestFit="1" customWidth="1"/>
    <col min="3" max="4" width="10.5" customWidth="1"/>
    <col min="5" max="5" width="15.33203125" bestFit="1" customWidth="1"/>
    <col min="6" max="7" width="10.5" customWidth="1"/>
    <col min="8" max="8" width="21.1640625" bestFit="1" customWidth="1"/>
  </cols>
  <sheetData>
    <row r="1" spans="1:7" ht="18">
      <c r="A1" s="55" t="s">
        <v>51</v>
      </c>
      <c r="B1" s="55"/>
      <c r="C1" s="55"/>
      <c r="D1" s="55"/>
      <c r="E1" s="55"/>
      <c r="F1" s="55"/>
      <c r="G1" s="55"/>
    </row>
    <row r="2" spans="1:7">
      <c r="A2" t="s">
        <v>70</v>
      </c>
    </row>
    <row r="3" spans="1:7">
      <c r="A3" s="22" t="s">
        <v>52</v>
      </c>
      <c r="B3" s="2">
        <v>900000</v>
      </c>
      <c r="E3" t="s">
        <v>63</v>
      </c>
      <c r="F3" s="7">
        <v>0.3</v>
      </c>
    </row>
    <row r="4" spans="1:7">
      <c r="A4" s="22" t="s">
        <v>8</v>
      </c>
      <c r="B4" s="2">
        <v>0</v>
      </c>
      <c r="E4" t="s">
        <v>64</v>
      </c>
      <c r="F4" s="7">
        <v>0.14000000000000001</v>
      </c>
    </row>
    <row r="5" spans="1:7">
      <c r="A5" s="22" t="s">
        <v>53</v>
      </c>
      <c r="B5" s="2">
        <v>10</v>
      </c>
    </row>
    <row r="6" spans="1:7">
      <c r="A6" s="23" t="s">
        <v>54</v>
      </c>
      <c r="B6" s="2"/>
    </row>
    <row r="8" spans="1:7">
      <c r="A8" s="22" t="s">
        <v>55</v>
      </c>
      <c r="B8" s="2">
        <v>100000</v>
      </c>
    </row>
    <row r="9" spans="1:7">
      <c r="A9" s="22" t="s">
        <v>310</v>
      </c>
      <c r="B9" s="2">
        <f>B3/B5*5</f>
        <v>450000</v>
      </c>
    </row>
    <row r="10" spans="1:7">
      <c r="A10" s="22" t="s">
        <v>56</v>
      </c>
      <c r="B10" s="24">
        <f>B8-B9</f>
        <v>-350000</v>
      </c>
    </row>
    <row r="11" spans="1:7">
      <c r="A11" s="22" t="s">
        <v>112</v>
      </c>
      <c r="B11" s="24">
        <f>-B10*F3</f>
        <v>105000</v>
      </c>
    </row>
    <row r="12" spans="1:7">
      <c r="A12" s="22" t="s">
        <v>111</v>
      </c>
      <c r="B12" s="24">
        <f>B8+B11</f>
        <v>205000</v>
      </c>
    </row>
    <row r="14" spans="1:7">
      <c r="A14" t="s">
        <v>0</v>
      </c>
      <c r="B14" s="34">
        <v>0</v>
      </c>
      <c r="C14" s="34">
        <v>1</v>
      </c>
      <c r="D14" s="34">
        <v>2</v>
      </c>
      <c r="E14" s="34">
        <v>3</v>
      </c>
      <c r="F14" s="34">
        <v>4</v>
      </c>
      <c r="G14" s="34">
        <v>5</v>
      </c>
    </row>
    <row r="15" spans="1:7">
      <c r="A15" s="25" t="s">
        <v>57</v>
      </c>
      <c r="C15" s="26">
        <v>600000</v>
      </c>
      <c r="D15" s="26">
        <v>600000</v>
      </c>
      <c r="E15" s="26">
        <v>600000</v>
      </c>
      <c r="F15" s="26">
        <v>600000</v>
      </c>
      <c r="G15" s="26">
        <v>600000</v>
      </c>
    </row>
    <row r="16" spans="1:7">
      <c r="A16" t="s">
        <v>58</v>
      </c>
      <c r="C16">
        <v>1.3</v>
      </c>
      <c r="D16">
        <v>1.3</v>
      </c>
      <c r="E16">
        <v>1.3</v>
      </c>
      <c r="F16">
        <v>1.3</v>
      </c>
      <c r="G16">
        <v>1.3</v>
      </c>
    </row>
    <row r="17" spans="1:7">
      <c r="A17" t="s">
        <v>311</v>
      </c>
      <c r="B17" s="2"/>
      <c r="C17" s="2">
        <f>C15*C16</f>
        <v>780000</v>
      </c>
      <c r="D17" s="2">
        <f t="shared" ref="D17:G17" si="0">D15*D16</f>
        <v>780000</v>
      </c>
      <c r="E17" s="2">
        <f t="shared" si="0"/>
        <v>780000</v>
      </c>
      <c r="F17" s="2">
        <f>F15*F16</f>
        <v>780000</v>
      </c>
      <c r="G17" s="2">
        <f t="shared" si="0"/>
        <v>780000</v>
      </c>
    </row>
    <row r="18" spans="1:7">
      <c r="A18" t="s">
        <v>60</v>
      </c>
      <c r="B18" s="2"/>
      <c r="C18" s="27">
        <v>0.5</v>
      </c>
      <c r="D18" s="27">
        <v>0.5</v>
      </c>
      <c r="E18" s="27">
        <v>0.5</v>
      </c>
      <c r="F18" s="27">
        <v>0.5</v>
      </c>
      <c r="G18" s="27">
        <v>0.5</v>
      </c>
    </row>
    <row r="19" spans="1:7">
      <c r="A19" t="s">
        <v>61</v>
      </c>
      <c r="B19" s="2"/>
      <c r="C19" s="2">
        <f>-C18*C15</f>
        <v>-300000</v>
      </c>
      <c r="D19" s="2">
        <f t="shared" ref="D19:G19" si="1">-D18*D15</f>
        <v>-300000</v>
      </c>
      <c r="E19" s="2">
        <f t="shared" si="1"/>
        <v>-300000</v>
      </c>
      <c r="F19" s="2">
        <f t="shared" si="1"/>
        <v>-300000</v>
      </c>
      <c r="G19" s="2">
        <f t="shared" si="1"/>
        <v>-300000</v>
      </c>
    </row>
    <row r="20" spans="1:7">
      <c r="A20" t="s">
        <v>246</v>
      </c>
      <c r="B20" s="2"/>
      <c r="C20" s="2">
        <v>-40000</v>
      </c>
      <c r="D20" s="2">
        <v>-40000</v>
      </c>
      <c r="E20" s="2">
        <v>-40000</v>
      </c>
      <c r="F20" s="2">
        <v>-40000</v>
      </c>
      <c r="G20" s="2">
        <v>-40000</v>
      </c>
    </row>
    <row r="21" spans="1:7">
      <c r="A21" t="s">
        <v>62</v>
      </c>
      <c r="B21" s="2"/>
      <c r="C21" s="2">
        <v>-30000</v>
      </c>
      <c r="D21" s="2">
        <v>-10000</v>
      </c>
      <c r="E21" s="2">
        <v>-10000</v>
      </c>
      <c r="F21" s="2">
        <v>-10000</v>
      </c>
      <c r="G21" s="2">
        <v>-10000</v>
      </c>
    </row>
    <row r="22" spans="1:7">
      <c r="A22" t="s">
        <v>14</v>
      </c>
      <c r="B22" s="2"/>
      <c r="C22" s="2">
        <f>-$B$3/$B$5</f>
        <v>-90000</v>
      </c>
      <c r="D22" s="2">
        <f t="shared" ref="D22:G22" si="2">-$B$3/$B$5</f>
        <v>-90000</v>
      </c>
      <c r="E22" s="2">
        <f t="shared" si="2"/>
        <v>-90000</v>
      </c>
      <c r="F22" s="2">
        <f t="shared" si="2"/>
        <v>-90000</v>
      </c>
      <c r="G22" s="2">
        <f t="shared" si="2"/>
        <v>-90000</v>
      </c>
    </row>
    <row r="23" spans="1:7">
      <c r="A23" t="s">
        <v>18</v>
      </c>
      <c r="B23" s="2"/>
      <c r="C23" s="2">
        <f>C17+SUM(C19:C22)</f>
        <v>320000</v>
      </c>
      <c r="D23" s="2">
        <f t="shared" ref="D23:G23" si="3">D17+SUM(D19:D22)</f>
        <v>340000</v>
      </c>
      <c r="E23" s="2">
        <f t="shared" si="3"/>
        <v>340000</v>
      </c>
      <c r="F23" s="2">
        <f t="shared" si="3"/>
        <v>340000</v>
      </c>
      <c r="G23" s="2">
        <f t="shared" si="3"/>
        <v>340000</v>
      </c>
    </row>
    <row r="24" spans="1:7">
      <c r="A24" t="s">
        <v>48</v>
      </c>
      <c r="B24" s="2"/>
      <c r="C24" s="2">
        <f>-C23*$F$3</f>
        <v>-96000</v>
      </c>
      <c r="D24" s="2">
        <f t="shared" ref="D24:G24" si="4">-D23*$F$3</f>
        <v>-102000</v>
      </c>
      <c r="E24" s="2">
        <f t="shared" si="4"/>
        <v>-102000</v>
      </c>
      <c r="F24" s="2">
        <f t="shared" si="4"/>
        <v>-102000</v>
      </c>
      <c r="G24" s="2">
        <f t="shared" si="4"/>
        <v>-102000</v>
      </c>
    </row>
    <row r="25" spans="1:7">
      <c r="A25" t="s">
        <v>17</v>
      </c>
      <c r="B25" s="2"/>
      <c r="C25" s="2">
        <f>SUM(C23:C24)</f>
        <v>224000</v>
      </c>
      <c r="D25" s="2">
        <f t="shared" ref="D25:G25" si="5">SUM(D23:D24)</f>
        <v>238000</v>
      </c>
      <c r="E25" s="2">
        <f t="shared" si="5"/>
        <v>238000</v>
      </c>
      <c r="F25" s="2">
        <f t="shared" si="5"/>
        <v>238000</v>
      </c>
      <c r="G25" s="2">
        <f t="shared" si="5"/>
        <v>238000</v>
      </c>
    </row>
    <row r="26" spans="1:7">
      <c r="A26" t="s">
        <v>110</v>
      </c>
      <c r="B26" s="2">
        <f>-B3</f>
        <v>-900000</v>
      </c>
      <c r="C26" s="2"/>
      <c r="D26" s="2"/>
      <c r="E26" s="2"/>
      <c r="F26" s="2"/>
      <c r="G26" s="2">
        <f>B12</f>
        <v>205000</v>
      </c>
    </row>
    <row r="27" spans="1:7">
      <c r="A27" t="s">
        <v>11</v>
      </c>
      <c r="B27" s="2"/>
      <c r="C27" s="2">
        <f>$B$3/$B$5</f>
        <v>90000</v>
      </c>
      <c r="D27" s="2">
        <f t="shared" ref="D27:G27" si="6">$B$3/$B$5</f>
        <v>90000</v>
      </c>
      <c r="E27" s="2">
        <f t="shared" si="6"/>
        <v>90000</v>
      </c>
      <c r="F27" s="2">
        <f t="shared" si="6"/>
        <v>90000</v>
      </c>
      <c r="G27" s="2">
        <f t="shared" si="6"/>
        <v>90000</v>
      </c>
    </row>
    <row r="28" spans="1:7">
      <c r="A28" t="s">
        <v>19</v>
      </c>
      <c r="B28" s="2">
        <f>SUM(B25:B27)</f>
        <v>-900000</v>
      </c>
      <c r="C28" s="2">
        <f t="shared" ref="C28:G28" si="7">SUM(C25:C27)</f>
        <v>314000</v>
      </c>
      <c r="D28" s="2">
        <f t="shared" si="7"/>
        <v>328000</v>
      </c>
      <c r="E28" s="2">
        <f t="shared" si="7"/>
        <v>328000</v>
      </c>
      <c r="F28" s="2">
        <f t="shared" si="7"/>
        <v>328000</v>
      </c>
      <c r="G28" s="2">
        <f t="shared" si="7"/>
        <v>533000</v>
      </c>
    </row>
    <row r="29" spans="1:7">
      <c r="B29" s="2"/>
    </row>
    <row r="30" spans="1:7">
      <c r="A30" t="s">
        <v>65</v>
      </c>
      <c r="B30" s="9">
        <f>B28+NPV(F4,C28:G28)</f>
        <v>320240.43222495075</v>
      </c>
    </row>
    <row r="31" spans="1:7">
      <c r="B31" s="2"/>
    </row>
    <row r="32" spans="1:7">
      <c r="A32" s="8" t="s">
        <v>66</v>
      </c>
      <c r="B32" s="2"/>
      <c r="C32" s="2"/>
      <c r="D32" s="2"/>
      <c r="E32" s="2"/>
      <c r="F32" s="2"/>
      <c r="G32" s="2"/>
    </row>
    <row r="33" spans="1:7">
      <c r="A33" t="s">
        <v>67</v>
      </c>
      <c r="B33" s="3">
        <v>1.0779029313611705</v>
      </c>
      <c r="C33" s="28" t="s">
        <v>71</v>
      </c>
      <c r="D33" s="2"/>
      <c r="E33" s="2"/>
      <c r="F33" s="2"/>
      <c r="G33" s="2"/>
    </row>
    <row r="34" spans="1:7">
      <c r="A34" t="s">
        <v>0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</row>
    <row r="35" spans="1:7">
      <c r="A35" s="25" t="s">
        <v>57</v>
      </c>
      <c r="C35" s="26">
        <v>600000</v>
      </c>
      <c r="D35" s="26">
        <v>600000</v>
      </c>
      <c r="E35" s="26">
        <v>600000</v>
      </c>
      <c r="F35" s="26">
        <v>600000</v>
      </c>
      <c r="G35" s="26">
        <v>600000</v>
      </c>
    </row>
    <row r="36" spans="1:7">
      <c r="A36" t="s">
        <v>58</v>
      </c>
      <c r="C36" s="3">
        <f>$B$33</f>
        <v>1.0779029313611705</v>
      </c>
      <c r="D36" s="3">
        <f t="shared" ref="D36:G36" si="8">$B$33</f>
        <v>1.0779029313611705</v>
      </c>
      <c r="E36" s="3">
        <f t="shared" si="8"/>
        <v>1.0779029313611705</v>
      </c>
      <c r="F36" s="3">
        <f t="shared" si="8"/>
        <v>1.0779029313611705</v>
      </c>
      <c r="G36" s="3">
        <f t="shared" si="8"/>
        <v>1.0779029313611705</v>
      </c>
    </row>
    <row r="37" spans="1:7">
      <c r="A37" t="s">
        <v>59</v>
      </c>
      <c r="B37" s="2"/>
      <c r="C37" s="2">
        <f>C35*C36</f>
        <v>646741.75881670229</v>
      </c>
      <c r="D37" s="2">
        <f t="shared" ref="D37:G37" si="9">D35*D36</f>
        <v>646741.75881670229</v>
      </c>
      <c r="E37" s="2">
        <f t="shared" si="9"/>
        <v>646741.75881670229</v>
      </c>
      <c r="F37" s="2">
        <f t="shared" si="9"/>
        <v>646741.75881670229</v>
      </c>
      <c r="G37" s="2">
        <f t="shared" si="9"/>
        <v>646741.75881670229</v>
      </c>
    </row>
    <row r="38" spans="1:7">
      <c r="A38" t="s">
        <v>60</v>
      </c>
      <c r="B38" s="2"/>
      <c r="C38" s="27">
        <v>0.5</v>
      </c>
      <c r="D38" s="27">
        <v>0.5</v>
      </c>
      <c r="E38" s="27">
        <v>0.5</v>
      </c>
      <c r="F38" s="27">
        <v>0.5</v>
      </c>
      <c r="G38" s="27">
        <v>0.5</v>
      </c>
    </row>
    <row r="39" spans="1:7">
      <c r="A39" t="s">
        <v>61</v>
      </c>
      <c r="B39" s="2"/>
      <c r="C39" s="2">
        <f>-C38*C35</f>
        <v>-300000</v>
      </c>
      <c r="D39" s="2">
        <f t="shared" ref="D39:G39" si="10">-D38*D35</f>
        <v>-300000</v>
      </c>
      <c r="E39" s="2">
        <f t="shared" si="10"/>
        <v>-300000</v>
      </c>
      <c r="F39" s="2">
        <f t="shared" si="10"/>
        <v>-300000</v>
      </c>
      <c r="G39" s="2">
        <f t="shared" si="10"/>
        <v>-300000</v>
      </c>
    </row>
    <row r="40" spans="1:7">
      <c r="A40" t="s">
        <v>246</v>
      </c>
      <c r="B40" s="2"/>
      <c r="C40" s="2">
        <v>-40000</v>
      </c>
      <c r="D40" s="2">
        <v>-40000</v>
      </c>
      <c r="E40" s="2">
        <v>-40000</v>
      </c>
      <c r="F40" s="2">
        <v>-40000</v>
      </c>
      <c r="G40" s="2">
        <v>-40000</v>
      </c>
    </row>
    <row r="41" spans="1:7">
      <c r="A41" t="s">
        <v>62</v>
      </c>
      <c r="B41" s="2"/>
      <c r="C41" s="2">
        <v>-30000</v>
      </c>
      <c r="D41" s="2">
        <v>-10000</v>
      </c>
      <c r="E41" s="2">
        <v>-10000</v>
      </c>
      <c r="F41" s="2">
        <v>-10000</v>
      </c>
      <c r="G41" s="2">
        <v>-10000</v>
      </c>
    </row>
    <row r="42" spans="1:7">
      <c r="A42" t="s">
        <v>14</v>
      </c>
      <c r="B42" s="2"/>
      <c r="C42" s="2">
        <f>-$B$3/$B$5</f>
        <v>-90000</v>
      </c>
      <c r="D42" s="2">
        <f t="shared" ref="D42:G42" si="11">-$B$3/$B$5</f>
        <v>-90000</v>
      </c>
      <c r="E42" s="2">
        <f t="shared" si="11"/>
        <v>-90000</v>
      </c>
      <c r="F42" s="2">
        <f t="shared" si="11"/>
        <v>-90000</v>
      </c>
      <c r="G42" s="2">
        <f t="shared" si="11"/>
        <v>-90000</v>
      </c>
    </row>
    <row r="43" spans="1:7">
      <c r="A43" t="s">
        <v>18</v>
      </c>
      <c r="B43" s="2"/>
      <c r="C43" s="2">
        <f>C37+SUM(C39:C42)</f>
        <v>186741.75881670229</v>
      </c>
      <c r="D43" s="2">
        <f t="shared" ref="D43:G43" si="12">D37+SUM(D39:D42)</f>
        <v>206741.75881670229</v>
      </c>
      <c r="E43" s="2">
        <f t="shared" si="12"/>
        <v>206741.75881670229</v>
      </c>
      <c r="F43" s="2">
        <f t="shared" si="12"/>
        <v>206741.75881670229</v>
      </c>
      <c r="G43" s="2">
        <f t="shared" si="12"/>
        <v>206741.75881670229</v>
      </c>
    </row>
    <row r="44" spans="1:7">
      <c r="A44" t="s">
        <v>48</v>
      </c>
      <c r="B44" s="2"/>
      <c r="C44" s="2">
        <f>-C43*$F$3</f>
        <v>-56022.527645010683</v>
      </c>
      <c r="D44" s="2">
        <f t="shared" ref="D44:G44" si="13">-D43*$F$3</f>
        <v>-62022.527645010683</v>
      </c>
      <c r="E44" s="2">
        <f t="shared" si="13"/>
        <v>-62022.527645010683</v>
      </c>
      <c r="F44" s="2">
        <f t="shared" si="13"/>
        <v>-62022.527645010683</v>
      </c>
      <c r="G44" s="2">
        <f t="shared" si="13"/>
        <v>-62022.527645010683</v>
      </c>
    </row>
    <row r="45" spans="1:7">
      <c r="A45" t="s">
        <v>17</v>
      </c>
      <c r="B45" s="2"/>
      <c r="C45" s="2">
        <f>SUM(C43:C44)</f>
        <v>130719.23117169162</v>
      </c>
      <c r="D45" s="2">
        <f t="shared" ref="D45:G45" si="14">SUM(D43:D44)</f>
        <v>144719.23117169162</v>
      </c>
      <c r="E45" s="2">
        <f t="shared" si="14"/>
        <v>144719.23117169162</v>
      </c>
      <c r="F45" s="2">
        <f t="shared" si="14"/>
        <v>144719.23117169162</v>
      </c>
      <c r="G45" s="2">
        <f t="shared" si="14"/>
        <v>144719.23117169162</v>
      </c>
    </row>
    <row r="46" spans="1:7">
      <c r="A46" t="s">
        <v>31</v>
      </c>
      <c r="B46" s="2">
        <f>-B3</f>
        <v>-900000</v>
      </c>
      <c r="C46" s="2"/>
      <c r="D46" s="2"/>
      <c r="E46" s="2"/>
      <c r="F46" s="2"/>
      <c r="G46" s="2">
        <f>B12</f>
        <v>205000</v>
      </c>
    </row>
    <row r="47" spans="1:7">
      <c r="A47" t="s">
        <v>11</v>
      </c>
      <c r="B47" s="2"/>
      <c r="C47" s="2">
        <f>$B$3/$B$5</f>
        <v>90000</v>
      </c>
      <c r="D47" s="2">
        <f t="shared" ref="D47:G47" si="15">$B$3/$B$5</f>
        <v>90000</v>
      </c>
      <c r="E47" s="2">
        <f t="shared" si="15"/>
        <v>90000</v>
      </c>
      <c r="F47" s="2">
        <f t="shared" si="15"/>
        <v>90000</v>
      </c>
      <c r="G47" s="2">
        <f t="shared" si="15"/>
        <v>90000</v>
      </c>
    </row>
    <row r="48" spans="1:7">
      <c r="A48" t="s">
        <v>19</v>
      </c>
      <c r="B48" s="2">
        <f>SUM(B45:B47)</f>
        <v>-900000</v>
      </c>
      <c r="C48" s="2">
        <f t="shared" ref="C48:G48" si="16">SUM(C45:C47)</f>
        <v>220719.23117169162</v>
      </c>
      <c r="D48" s="2">
        <f t="shared" si="16"/>
        <v>234719.23117169162</v>
      </c>
      <c r="E48" s="2">
        <f t="shared" si="16"/>
        <v>234719.23117169162</v>
      </c>
      <c r="F48" s="2">
        <f t="shared" si="16"/>
        <v>234719.23117169162</v>
      </c>
      <c r="G48" s="2">
        <f t="shared" si="16"/>
        <v>439719.23117169162</v>
      </c>
    </row>
    <row r="49" spans="1:7">
      <c r="B49" s="2"/>
    </row>
    <row r="50" spans="1:7">
      <c r="A50" t="s">
        <v>2</v>
      </c>
      <c r="B50" s="9">
        <f>B48+NPV(F4,C48:G48)</f>
        <v>0</v>
      </c>
    </row>
    <row r="52" spans="1:7">
      <c r="A52" s="8" t="s">
        <v>68</v>
      </c>
      <c r="B52" s="2"/>
      <c r="C52" s="2"/>
      <c r="D52" s="2"/>
      <c r="E52" s="2"/>
      <c r="F52" s="2"/>
      <c r="G52" s="2"/>
    </row>
    <row r="53" spans="1:7">
      <c r="A53" t="s">
        <v>69</v>
      </c>
      <c r="B53" s="3">
        <v>414539.40144870564</v>
      </c>
      <c r="C53" s="28" t="s">
        <v>71</v>
      </c>
      <c r="D53" s="2"/>
      <c r="E53" s="2"/>
      <c r="F53" s="2"/>
      <c r="G53" s="2"/>
    </row>
    <row r="54" spans="1:7">
      <c r="A54" t="s">
        <v>312</v>
      </c>
      <c r="B54" s="3">
        <v>1.3</v>
      </c>
      <c r="C54" s="28"/>
      <c r="D54" s="2"/>
      <c r="E54" s="2"/>
      <c r="F54" s="2"/>
      <c r="G54" s="2"/>
    </row>
    <row r="55" spans="1:7">
      <c r="A55" t="s">
        <v>0</v>
      </c>
      <c r="B55">
        <v>0</v>
      </c>
      <c r="C55">
        <v>1</v>
      </c>
      <c r="D55">
        <v>2</v>
      </c>
      <c r="E55">
        <v>3</v>
      </c>
      <c r="F55">
        <v>4</v>
      </c>
      <c r="G55">
        <v>5</v>
      </c>
    </row>
    <row r="56" spans="1:7">
      <c r="A56" s="25" t="s">
        <v>57</v>
      </c>
      <c r="C56" s="26">
        <f>$B$53</f>
        <v>414539.40144870564</v>
      </c>
      <c r="D56" s="26">
        <f t="shared" ref="D56:G56" si="17">$B$53</f>
        <v>414539.40144870564</v>
      </c>
      <c r="E56" s="26">
        <f t="shared" si="17"/>
        <v>414539.40144870564</v>
      </c>
      <c r="F56" s="26">
        <f t="shared" si="17"/>
        <v>414539.40144870564</v>
      </c>
      <c r="G56" s="26">
        <f t="shared" si="17"/>
        <v>414539.40144870564</v>
      </c>
    </row>
    <row r="57" spans="1:7">
      <c r="A57" t="s">
        <v>58</v>
      </c>
      <c r="C57" s="3">
        <f>$B$54</f>
        <v>1.3</v>
      </c>
      <c r="D57" s="3">
        <f t="shared" ref="D57:G57" si="18">$B$54</f>
        <v>1.3</v>
      </c>
      <c r="E57" s="3">
        <f t="shared" si="18"/>
        <v>1.3</v>
      </c>
      <c r="F57" s="3">
        <f t="shared" si="18"/>
        <v>1.3</v>
      </c>
      <c r="G57" s="3">
        <f t="shared" si="18"/>
        <v>1.3</v>
      </c>
    </row>
    <row r="58" spans="1:7">
      <c r="A58" t="s">
        <v>59</v>
      </c>
      <c r="B58" s="2"/>
      <c r="C58" s="2">
        <f>C56*C57</f>
        <v>538901.22188331734</v>
      </c>
      <c r="D58" s="2">
        <f t="shared" ref="D58" si="19">D56*D57</f>
        <v>538901.22188331734</v>
      </c>
      <c r="E58" s="2">
        <f t="shared" ref="E58" si="20">E56*E57</f>
        <v>538901.22188331734</v>
      </c>
      <c r="F58" s="2">
        <f>F56*F57</f>
        <v>538901.22188331734</v>
      </c>
      <c r="G58" s="2">
        <f t="shared" ref="G58" si="21">G56*G57</f>
        <v>538901.22188331734</v>
      </c>
    </row>
    <row r="59" spans="1:7">
      <c r="A59" t="s">
        <v>60</v>
      </c>
      <c r="B59" s="2"/>
      <c r="C59" s="27">
        <v>0.5</v>
      </c>
      <c r="D59" s="27">
        <v>0.5</v>
      </c>
      <c r="E59" s="27">
        <v>0.5</v>
      </c>
      <c r="F59" s="27">
        <v>0.5</v>
      </c>
      <c r="G59" s="27">
        <v>0.5</v>
      </c>
    </row>
    <row r="60" spans="1:7">
      <c r="A60" t="s">
        <v>61</v>
      </c>
      <c r="B60" s="2"/>
      <c r="C60" s="2">
        <f>-C59*C56</f>
        <v>-207269.70072435282</v>
      </c>
      <c r="D60" s="2">
        <f t="shared" ref="D60" si="22">-D59*D56</f>
        <v>-207269.70072435282</v>
      </c>
      <c r="E60" s="2">
        <f t="shared" ref="E60" si="23">-E59*E56</f>
        <v>-207269.70072435282</v>
      </c>
      <c r="F60" s="2">
        <f t="shared" ref="F60" si="24">-F59*F56</f>
        <v>-207269.70072435282</v>
      </c>
      <c r="G60" s="2">
        <f t="shared" ref="G60" si="25">-G59*G56</f>
        <v>-207269.70072435282</v>
      </c>
    </row>
    <row r="61" spans="1:7">
      <c r="A61" t="s">
        <v>246</v>
      </c>
      <c r="B61" s="2"/>
      <c r="C61" s="2">
        <v>-40000</v>
      </c>
      <c r="D61" s="2">
        <v>-40000</v>
      </c>
      <c r="E61" s="2">
        <v>-40000</v>
      </c>
      <c r="F61" s="2">
        <v>-40000</v>
      </c>
      <c r="G61" s="2">
        <v>-40000</v>
      </c>
    </row>
    <row r="62" spans="1:7">
      <c r="A62" t="s">
        <v>62</v>
      </c>
      <c r="B62" s="2"/>
      <c r="C62" s="2">
        <v>0</v>
      </c>
      <c r="D62" s="2">
        <v>0</v>
      </c>
      <c r="E62" s="2">
        <v>0</v>
      </c>
      <c r="F62" s="2">
        <v>0</v>
      </c>
      <c r="G62" s="2">
        <v>0</v>
      </c>
    </row>
    <row r="63" spans="1:7">
      <c r="A63" t="s">
        <v>14</v>
      </c>
      <c r="B63" s="2"/>
      <c r="C63" s="2">
        <f>-$B$3/$B$5</f>
        <v>-90000</v>
      </c>
      <c r="D63" s="2">
        <f t="shared" ref="D63:G63" si="26">-$B$3/$B$5</f>
        <v>-90000</v>
      </c>
      <c r="E63" s="2">
        <f t="shared" si="26"/>
        <v>-90000</v>
      </c>
      <c r="F63" s="2">
        <f t="shared" si="26"/>
        <v>-90000</v>
      </c>
      <c r="G63" s="2">
        <f t="shared" si="26"/>
        <v>-90000</v>
      </c>
    </row>
    <row r="64" spans="1:7">
      <c r="A64" t="s">
        <v>18</v>
      </c>
      <c r="B64" s="2"/>
      <c r="C64" s="2">
        <f>C58+SUM(C60:C63)</f>
        <v>201631.52115896449</v>
      </c>
      <c r="D64" s="2">
        <f t="shared" ref="D64" si="27">D58+SUM(D60:D63)</f>
        <v>201631.52115896449</v>
      </c>
      <c r="E64" s="2">
        <f t="shared" ref="E64" si="28">E58+SUM(E60:E63)</f>
        <v>201631.52115896449</v>
      </c>
      <c r="F64" s="2">
        <f t="shared" ref="F64" si="29">F58+SUM(F60:F63)</f>
        <v>201631.52115896449</v>
      </c>
      <c r="G64" s="2">
        <f t="shared" ref="G64" si="30">G58+SUM(G60:G63)</f>
        <v>201631.52115896449</v>
      </c>
    </row>
    <row r="65" spans="1:7">
      <c r="A65" t="s">
        <v>48</v>
      </c>
      <c r="B65" s="2"/>
      <c r="C65" s="2">
        <f>-C64*$F$3</f>
        <v>-60489.456347689345</v>
      </c>
      <c r="D65" s="2">
        <f t="shared" ref="D65" si="31">-D64*$F$3</f>
        <v>-60489.456347689345</v>
      </c>
      <c r="E65" s="2">
        <f t="shared" ref="E65" si="32">-E64*$F$3</f>
        <v>-60489.456347689345</v>
      </c>
      <c r="F65" s="2">
        <f t="shared" ref="F65" si="33">-F64*$F$3</f>
        <v>-60489.456347689345</v>
      </c>
      <c r="G65" s="2">
        <f t="shared" ref="G65" si="34">-G64*$F$3</f>
        <v>-60489.456347689345</v>
      </c>
    </row>
    <row r="66" spans="1:7">
      <c r="A66" t="s">
        <v>17</v>
      </c>
      <c r="B66" s="2"/>
      <c r="C66" s="2">
        <f>SUM(C64:C65)</f>
        <v>141142.06481127514</v>
      </c>
      <c r="D66" s="2">
        <f t="shared" ref="D66" si="35">SUM(D64:D65)</f>
        <v>141142.06481127514</v>
      </c>
      <c r="E66" s="2">
        <f t="shared" ref="E66" si="36">SUM(E64:E65)</f>
        <v>141142.06481127514</v>
      </c>
      <c r="F66" s="2">
        <f t="shared" ref="F66" si="37">SUM(F64:F65)</f>
        <v>141142.06481127514</v>
      </c>
      <c r="G66" s="2">
        <f t="shared" ref="G66" si="38">SUM(G64:G65)</f>
        <v>141142.06481127514</v>
      </c>
    </row>
    <row r="67" spans="1:7">
      <c r="A67" t="s">
        <v>31</v>
      </c>
      <c r="B67" s="2">
        <f>-$B$3</f>
        <v>-900000</v>
      </c>
      <c r="C67" s="2"/>
      <c r="D67" s="2"/>
      <c r="E67" s="2"/>
      <c r="F67" s="2"/>
      <c r="G67" s="2">
        <f>$B$12</f>
        <v>205000</v>
      </c>
    </row>
    <row r="68" spans="1:7">
      <c r="A68" t="s">
        <v>11</v>
      </c>
      <c r="B68" s="2"/>
      <c r="C68" s="2">
        <f>$B$3/$B$5</f>
        <v>90000</v>
      </c>
      <c r="D68" s="2">
        <f t="shared" ref="D68:G68" si="39">$B$3/$B$5</f>
        <v>90000</v>
      </c>
      <c r="E68" s="2">
        <f t="shared" si="39"/>
        <v>90000</v>
      </c>
      <c r="F68" s="2">
        <f t="shared" si="39"/>
        <v>90000</v>
      </c>
      <c r="G68" s="2">
        <f t="shared" si="39"/>
        <v>90000</v>
      </c>
    </row>
    <row r="69" spans="1:7">
      <c r="A69" t="s">
        <v>19</v>
      </c>
      <c r="B69" s="2">
        <f>SUM(B66:B68)</f>
        <v>-900000</v>
      </c>
      <c r="C69" s="2">
        <f t="shared" ref="C69" si="40">SUM(C66:C68)</f>
        <v>231142.06481127514</v>
      </c>
      <c r="D69" s="2">
        <f t="shared" ref="D69" si="41">SUM(D66:D68)</f>
        <v>231142.06481127514</v>
      </c>
      <c r="E69" s="2">
        <f t="shared" ref="E69" si="42">SUM(E66:E68)</f>
        <v>231142.06481127514</v>
      </c>
      <c r="F69" s="2">
        <f t="shared" ref="F69" si="43">SUM(F66:F68)</f>
        <v>231142.06481127514</v>
      </c>
      <c r="G69" s="2">
        <f t="shared" ref="G69" si="44">SUM(G66:G68)</f>
        <v>436142.06481127511</v>
      </c>
    </row>
    <row r="70" spans="1:7">
      <c r="B70" s="2"/>
    </row>
    <row r="71" spans="1:7">
      <c r="A71" t="s">
        <v>2</v>
      </c>
      <c r="B71" s="9">
        <f>B69+NPV($F$4,C69:G69)</f>
        <v>0</v>
      </c>
    </row>
    <row r="73" spans="1:7">
      <c r="A73" s="8" t="s">
        <v>247</v>
      </c>
    </row>
    <row r="74" spans="1:7">
      <c r="A74" t="s">
        <v>248</v>
      </c>
    </row>
    <row r="75" spans="1:7">
      <c r="A75" s="48">
        <f>B71</f>
        <v>0</v>
      </c>
      <c r="B75" s="8">
        <v>1.2</v>
      </c>
      <c r="C75" s="8">
        <v>1.3</v>
      </c>
      <c r="D75" s="8">
        <v>1.4</v>
      </c>
      <c r="E75" s="8">
        <v>1.5</v>
      </c>
      <c r="F75" s="8">
        <v>1.6</v>
      </c>
      <c r="G75" s="8">
        <v>1.7</v>
      </c>
    </row>
    <row r="76" spans="1:7">
      <c r="A76" s="49">
        <v>400000</v>
      </c>
      <c r="B76" s="2">
        <f t="dataTable" ref="B76:G86" dt2D="1" dtr="1" r1="B54" r2="B53"/>
        <v>-124078.63487883832</v>
      </c>
      <c r="C76" s="2">
        <v>-27952.367750801495</v>
      </c>
      <c r="D76" s="2">
        <v>68173.899377235561</v>
      </c>
      <c r="E76" s="2">
        <v>164300.1665052725</v>
      </c>
      <c r="F76" s="2">
        <v>260426.43363330932</v>
      </c>
      <c r="G76" s="2">
        <v>356552.70076134615</v>
      </c>
    </row>
    <row r="77" spans="1:7">
      <c r="A77" s="49">
        <v>450000</v>
      </c>
      <c r="B77" s="2">
        <v>-39968.15114180604</v>
      </c>
      <c r="C77" s="2">
        <v>68173.899377235561</v>
      </c>
      <c r="D77" s="2">
        <v>176315.94989627716</v>
      </c>
      <c r="E77" s="2">
        <v>284458.00041531841</v>
      </c>
      <c r="F77" s="2">
        <v>392600.0509343599</v>
      </c>
      <c r="G77" s="2">
        <v>500742.10145340138</v>
      </c>
    </row>
    <row r="78" spans="1:7">
      <c r="A78" s="49">
        <v>500000</v>
      </c>
      <c r="B78" s="2">
        <v>44142.332595226238</v>
      </c>
      <c r="C78" s="2">
        <v>164300.1665052725</v>
      </c>
      <c r="D78" s="2">
        <v>284458.00041531841</v>
      </c>
      <c r="E78" s="2">
        <v>404615.83432536433</v>
      </c>
      <c r="F78" s="2">
        <v>524773.6682354107</v>
      </c>
      <c r="G78" s="2">
        <v>644931.50214545685</v>
      </c>
    </row>
    <row r="79" spans="1:7">
      <c r="A79" s="49">
        <v>550000</v>
      </c>
      <c r="B79" s="2">
        <v>128252.81633225852</v>
      </c>
      <c r="C79" s="2">
        <v>260426.43363330932</v>
      </c>
      <c r="D79" s="2">
        <v>392600.0509343599</v>
      </c>
      <c r="E79" s="2">
        <v>524773.6682354107</v>
      </c>
      <c r="F79" s="2">
        <v>656947.28553646151</v>
      </c>
      <c r="G79" s="2">
        <v>789120.90283751208</v>
      </c>
    </row>
    <row r="80" spans="1:7">
      <c r="A80" s="49">
        <v>600000</v>
      </c>
      <c r="B80" s="2">
        <v>212363.30006929068</v>
      </c>
      <c r="C80" s="2">
        <v>356552.70076134615</v>
      </c>
      <c r="D80" s="2">
        <v>500742.10145340138</v>
      </c>
      <c r="E80" s="2">
        <v>644931.50214545685</v>
      </c>
      <c r="F80" s="2">
        <v>789120.90283751208</v>
      </c>
      <c r="G80" s="2">
        <v>933310.30352956709</v>
      </c>
    </row>
    <row r="81" spans="1:7">
      <c r="A81" s="49">
        <v>650000</v>
      </c>
      <c r="B81" s="2">
        <v>296473.78380632307</v>
      </c>
      <c r="C81" s="2">
        <v>452678.96788938297</v>
      </c>
      <c r="D81" s="2">
        <v>608884.15197244287</v>
      </c>
      <c r="E81" s="2">
        <v>765089.33605550276</v>
      </c>
      <c r="F81" s="2">
        <v>921294.52013856242</v>
      </c>
      <c r="G81" s="2">
        <v>1077499.7042216223</v>
      </c>
    </row>
    <row r="82" spans="1:7">
      <c r="A82" s="49">
        <v>700000</v>
      </c>
      <c r="B82" s="2">
        <v>380584.26754335524</v>
      </c>
      <c r="C82" s="2">
        <v>548805.23501741979</v>
      </c>
      <c r="D82" s="2">
        <v>717026.20249148388</v>
      </c>
      <c r="E82" s="2">
        <v>885247.16996554914</v>
      </c>
      <c r="F82" s="2">
        <v>1053468.1374396135</v>
      </c>
      <c r="G82" s="2">
        <v>1221689.104913678</v>
      </c>
    </row>
    <row r="83" spans="1:7">
      <c r="A83" s="49">
        <v>750000</v>
      </c>
      <c r="B83" s="2">
        <v>464694.75128038763</v>
      </c>
      <c r="C83" s="2">
        <v>644931.50214545685</v>
      </c>
      <c r="D83" s="2">
        <v>825168.2530105256</v>
      </c>
      <c r="E83" s="2">
        <v>1005405.0038755946</v>
      </c>
      <c r="F83" s="2">
        <v>1185641.7547406643</v>
      </c>
      <c r="G83" s="2">
        <v>1365878.5056057335</v>
      </c>
    </row>
    <row r="84" spans="1:7">
      <c r="A84" s="49">
        <v>800000</v>
      </c>
      <c r="B84" s="2">
        <v>548805.23501741979</v>
      </c>
      <c r="C84" s="2">
        <v>741057.76927349344</v>
      </c>
      <c r="D84" s="2">
        <v>933310.30352956709</v>
      </c>
      <c r="E84" s="2">
        <v>1125562.8377856412</v>
      </c>
      <c r="F84" s="2">
        <v>1317815.3720417148</v>
      </c>
      <c r="G84" s="2">
        <v>1510067.9062977885</v>
      </c>
    </row>
    <row r="85" spans="1:7">
      <c r="A85" s="49">
        <v>850000</v>
      </c>
      <c r="B85" s="2">
        <v>632915.71875445195</v>
      </c>
      <c r="C85" s="2">
        <v>837184.03640153049</v>
      </c>
      <c r="D85" s="2">
        <v>1041452.354048609</v>
      </c>
      <c r="E85" s="2">
        <v>1245720.6716956869</v>
      </c>
      <c r="F85" s="2">
        <v>1449988.9893427654</v>
      </c>
      <c r="G85" s="2">
        <v>1654257.3069898435</v>
      </c>
    </row>
    <row r="86" spans="1:7">
      <c r="A86" s="49">
        <v>900000</v>
      </c>
      <c r="B86" s="2">
        <v>717026.20249148435</v>
      </c>
      <c r="C86" s="2">
        <v>933310.30352956709</v>
      </c>
      <c r="D86" s="2">
        <v>1149594.4045676501</v>
      </c>
      <c r="E86" s="2">
        <v>1365878.5056057335</v>
      </c>
      <c r="F86" s="2">
        <v>1582162.6066438155</v>
      </c>
      <c r="G86" s="2">
        <v>1798446.707681899</v>
      </c>
    </row>
  </sheetData>
  <mergeCells count="1">
    <mergeCell ref="A1:G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H49"/>
  <sheetViews>
    <sheetView zoomScale="144" zoomScaleNormal="100" workbookViewId="0">
      <selection activeCell="H24" sqref="H24"/>
    </sheetView>
  </sheetViews>
  <sheetFormatPr baseColWidth="10" defaultColWidth="8.6640625" defaultRowHeight="13"/>
  <cols>
    <col min="1" max="1" width="26.83203125" style="14" customWidth="1"/>
    <col min="2" max="2" width="9" style="14" bestFit="1" customWidth="1"/>
    <col min="3" max="7" width="8.83203125" style="14" bestFit="1" customWidth="1"/>
    <col min="8" max="8" width="31.83203125" style="14" bestFit="1" customWidth="1"/>
    <col min="9" max="16384" width="8.6640625" style="14"/>
  </cols>
  <sheetData>
    <row r="1" spans="1:8" ht="18">
      <c r="A1" s="56" t="s">
        <v>86</v>
      </c>
      <c r="B1" s="56"/>
      <c r="C1" s="56"/>
      <c r="D1" s="56"/>
      <c r="E1" s="56"/>
      <c r="F1" s="56"/>
      <c r="G1" s="56"/>
      <c r="H1" s="56"/>
    </row>
    <row r="2" spans="1:8">
      <c r="A2" s="14" t="s">
        <v>72</v>
      </c>
      <c r="B2" s="17">
        <v>150000</v>
      </c>
      <c r="F2" s="30" t="s">
        <v>1</v>
      </c>
      <c r="G2" s="19">
        <v>0.1</v>
      </c>
    </row>
    <row r="3" spans="1:8">
      <c r="A3" s="14" t="s">
        <v>113</v>
      </c>
      <c r="B3" s="17">
        <v>0</v>
      </c>
      <c r="F3" s="30" t="s">
        <v>48</v>
      </c>
      <c r="G3" s="19">
        <v>0.36</v>
      </c>
    </row>
    <row r="4" spans="1:8">
      <c r="A4" s="14" t="s">
        <v>47</v>
      </c>
      <c r="B4" s="14">
        <v>5</v>
      </c>
    </row>
    <row r="5" spans="1:8">
      <c r="A5" s="14" t="s">
        <v>9</v>
      </c>
      <c r="B5" s="17">
        <f>B2/B4</f>
        <v>30000</v>
      </c>
    </row>
    <row r="6" spans="1:8">
      <c r="A6" s="14" t="s">
        <v>114</v>
      </c>
      <c r="B6" s="17">
        <v>20000</v>
      </c>
    </row>
    <row r="8" spans="1:8">
      <c r="A8" s="14" t="s">
        <v>91</v>
      </c>
      <c r="B8" s="32">
        <v>7658.3649626824581</v>
      </c>
      <c r="C8" s="31"/>
      <c r="F8" s="14" t="s">
        <v>87</v>
      </c>
    </row>
    <row r="9" spans="1:8">
      <c r="A9" s="14" t="s">
        <v>73</v>
      </c>
      <c r="B9" s="29">
        <v>45</v>
      </c>
      <c r="F9" s="30" t="s">
        <v>7</v>
      </c>
      <c r="G9" s="17">
        <f>B6</f>
        <v>20000</v>
      </c>
    </row>
    <row r="10" spans="1:8">
      <c r="A10" s="14" t="s">
        <v>74</v>
      </c>
      <c r="B10" s="19">
        <v>0.1</v>
      </c>
      <c r="F10" s="30" t="s">
        <v>88</v>
      </c>
      <c r="G10" s="17">
        <f>B3</f>
        <v>0</v>
      </c>
    </row>
    <row r="11" spans="1:8">
      <c r="A11" s="14" t="s">
        <v>75</v>
      </c>
      <c r="B11" s="29">
        <v>30</v>
      </c>
      <c r="F11" s="30" t="s">
        <v>89</v>
      </c>
      <c r="G11" s="17">
        <f>G9-G10</f>
        <v>20000</v>
      </c>
    </row>
    <row r="12" spans="1:8">
      <c r="A12" s="14" t="s">
        <v>76</v>
      </c>
      <c r="B12" s="19">
        <v>0.05</v>
      </c>
      <c r="F12" s="30" t="s">
        <v>90</v>
      </c>
      <c r="G12" s="17">
        <f>G11*G3</f>
        <v>7200</v>
      </c>
    </row>
    <row r="13" spans="1:8">
      <c r="B13" s="19"/>
    </row>
    <row r="14" spans="1:8">
      <c r="B14" s="16">
        <v>0</v>
      </c>
      <c r="C14" s="16">
        <v>1</v>
      </c>
      <c r="D14" s="16">
        <v>2</v>
      </c>
      <c r="E14" s="16">
        <v>3</v>
      </c>
      <c r="F14" s="16">
        <v>4</v>
      </c>
      <c r="G14" s="16">
        <v>5</v>
      </c>
    </row>
    <row r="15" spans="1:8">
      <c r="A15" s="14" t="s">
        <v>92</v>
      </c>
      <c r="B15" s="17"/>
      <c r="C15" s="15">
        <f>$B$9*(1+$B$10)^(C14-1)</f>
        <v>45</v>
      </c>
      <c r="D15" s="15">
        <f t="shared" ref="D15:G15" si="0">$B$9*(1+$B$10)^(D14-1)</f>
        <v>49.500000000000007</v>
      </c>
      <c r="E15" s="15">
        <f t="shared" si="0"/>
        <v>54.45000000000001</v>
      </c>
      <c r="F15" s="15">
        <f t="shared" si="0"/>
        <v>59.895000000000017</v>
      </c>
      <c r="G15" s="15">
        <f t="shared" si="0"/>
        <v>65.884500000000017</v>
      </c>
    </row>
    <row r="16" spans="1:8">
      <c r="A16" s="14" t="s">
        <v>93</v>
      </c>
      <c r="B16" s="17"/>
      <c r="C16" s="17">
        <f>C15*$B$8</f>
        <v>344626.4233207106</v>
      </c>
      <c r="D16" s="17">
        <f t="shared" ref="D16:G16" si="1">D15*$B$8</f>
        <v>379089.06565278175</v>
      </c>
      <c r="E16" s="17">
        <f t="shared" si="1"/>
        <v>416997.97221805993</v>
      </c>
      <c r="F16" s="17">
        <f t="shared" si="1"/>
        <v>458697.76943986595</v>
      </c>
      <c r="G16" s="17">
        <f t="shared" si="1"/>
        <v>504567.54638385255</v>
      </c>
    </row>
    <row r="17" spans="1:7">
      <c r="A17" s="14" t="s">
        <v>77</v>
      </c>
      <c r="B17" s="17"/>
      <c r="C17" s="17">
        <v>-40000</v>
      </c>
      <c r="D17" s="17">
        <v>-40000</v>
      </c>
      <c r="E17" s="17">
        <v>-40000</v>
      </c>
      <c r="F17" s="17">
        <v>-40000</v>
      </c>
      <c r="G17" s="17">
        <v>-40000</v>
      </c>
    </row>
    <row r="18" spans="1:7">
      <c r="A18" s="14" t="s">
        <v>94</v>
      </c>
      <c r="B18" s="17"/>
      <c r="C18" s="15">
        <f>-$B$11*(1+$B$12)^(C14-1)</f>
        <v>-30</v>
      </c>
      <c r="D18" s="15">
        <f t="shared" ref="D18:G18" si="2">-$B$11*(1+$B$12)^(D14-1)</f>
        <v>-31.5</v>
      </c>
      <c r="E18" s="15">
        <f t="shared" si="2"/>
        <v>-33.075000000000003</v>
      </c>
      <c r="F18" s="15">
        <f t="shared" si="2"/>
        <v>-34.728750000000005</v>
      </c>
      <c r="G18" s="15">
        <f t="shared" si="2"/>
        <v>-36.465187499999999</v>
      </c>
    </row>
    <row r="19" spans="1:7">
      <c r="A19" s="14" t="s">
        <v>78</v>
      </c>
      <c r="B19" s="17"/>
      <c r="C19" s="17">
        <f>C18*$B$8</f>
        <v>-229750.94888047373</v>
      </c>
      <c r="D19" s="17">
        <f t="shared" ref="D19:G19" si="3">D18*$B$8</f>
        <v>-241238.49632449742</v>
      </c>
      <c r="E19" s="17">
        <f t="shared" si="3"/>
        <v>-253300.42114072232</v>
      </c>
      <c r="F19" s="17">
        <f t="shared" si="3"/>
        <v>-265965.44219775847</v>
      </c>
      <c r="G19" s="17">
        <f t="shared" si="3"/>
        <v>-279263.71430764633</v>
      </c>
    </row>
    <row r="20" spans="1:7">
      <c r="A20" s="14" t="s">
        <v>79</v>
      </c>
      <c r="B20" s="17"/>
      <c r="C20" s="17">
        <v>-80000</v>
      </c>
      <c r="D20" s="17">
        <v>-80000</v>
      </c>
      <c r="E20" s="17">
        <v>-80000</v>
      </c>
      <c r="F20" s="17">
        <v>-80000</v>
      </c>
      <c r="G20" s="17">
        <v>-80000</v>
      </c>
    </row>
    <row r="21" spans="1:7">
      <c r="A21" s="14" t="s">
        <v>80</v>
      </c>
      <c r="B21" s="17"/>
      <c r="C21" s="17">
        <f>C16+C17+C19+C20</f>
        <v>-5124.5255597631331</v>
      </c>
      <c r="D21" s="17">
        <f>D16+D17+D19+D20</f>
        <v>17850.569328284328</v>
      </c>
      <c r="E21" s="17">
        <f t="shared" ref="D21:G21" si="4">E16+E17+E19+E20</f>
        <v>43697.551077337615</v>
      </c>
      <c r="F21" s="17">
        <f t="shared" si="4"/>
        <v>72732.32724210748</v>
      </c>
      <c r="G21" s="17">
        <f t="shared" si="4"/>
        <v>105303.83207620622</v>
      </c>
    </row>
    <row r="22" spans="1:7">
      <c r="A22" s="14" t="s">
        <v>14</v>
      </c>
      <c r="B22" s="17"/>
      <c r="C22" s="17">
        <f>-$B$5</f>
        <v>-30000</v>
      </c>
      <c r="D22" s="17">
        <f t="shared" ref="D22:G22" si="5">-$B$5</f>
        <v>-30000</v>
      </c>
      <c r="E22" s="17">
        <f t="shared" si="5"/>
        <v>-30000</v>
      </c>
      <c r="F22" s="17">
        <f t="shared" si="5"/>
        <v>-30000</v>
      </c>
      <c r="G22" s="17">
        <f t="shared" si="5"/>
        <v>-30000</v>
      </c>
    </row>
    <row r="23" spans="1:7">
      <c r="A23" s="14" t="s">
        <v>81</v>
      </c>
      <c r="B23" s="17"/>
      <c r="C23" s="17">
        <f>SUM(C21:C22)</f>
        <v>-35124.525559763133</v>
      </c>
      <c r="D23" s="17">
        <f t="shared" ref="D23:G23" si="6">SUM(D21:D22)</f>
        <v>-12149.430671715672</v>
      </c>
      <c r="E23" s="17">
        <f t="shared" si="6"/>
        <v>13697.551077337615</v>
      </c>
      <c r="F23" s="17">
        <f t="shared" si="6"/>
        <v>42732.32724210748</v>
      </c>
      <c r="G23" s="17">
        <f t="shared" si="6"/>
        <v>75303.832076206221</v>
      </c>
    </row>
    <row r="24" spans="1:7">
      <c r="A24" s="14" t="s">
        <v>82</v>
      </c>
      <c r="B24" s="17"/>
      <c r="C24" s="17">
        <f>-C23*$G$3</f>
        <v>12644.829201514727</v>
      </c>
      <c r="D24" s="17">
        <f t="shared" ref="D24:G25" si="7">-D23*$G$3</f>
        <v>4373.7950418176415</v>
      </c>
      <c r="E24" s="17">
        <f t="shared" si="7"/>
        <v>-4931.1183878415413</v>
      </c>
      <c r="F24" s="17">
        <f t="shared" si="7"/>
        <v>-15383.637807158691</v>
      </c>
      <c r="G24" s="17">
        <f t="shared" si="7"/>
        <v>-27109.379547434237</v>
      </c>
    </row>
    <row r="25" spans="1:7">
      <c r="A25" s="14" t="s">
        <v>83</v>
      </c>
      <c r="B25" s="17"/>
      <c r="C25" s="17">
        <f>SUM(C23:C24)</f>
        <v>-22479.696358248406</v>
      </c>
      <c r="D25" s="17">
        <f t="shared" ref="D25:G25" si="8">SUM(D23:D24)</f>
        <v>-7775.6356298980309</v>
      </c>
      <c r="E25" s="17">
        <f t="shared" si="8"/>
        <v>8766.4326894960741</v>
      </c>
      <c r="F25" s="17">
        <f t="shared" si="8"/>
        <v>27348.689434948788</v>
      </c>
      <c r="G25" s="17">
        <f t="shared" si="8"/>
        <v>48194.452528771988</v>
      </c>
    </row>
    <row r="26" spans="1:7">
      <c r="A26" s="14" t="s">
        <v>3</v>
      </c>
      <c r="B26" s="17">
        <f>-B2</f>
        <v>-150000</v>
      </c>
      <c r="C26" s="17"/>
      <c r="D26" s="17"/>
      <c r="E26" s="17"/>
      <c r="F26" s="17"/>
      <c r="G26" s="17"/>
    </row>
    <row r="27" spans="1:7">
      <c r="A27" s="14" t="s">
        <v>11</v>
      </c>
      <c r="B27" s="17"/>
      <c r="C27" s="17">
        <f>$B$5</f>
        <v>30000</v>
      </c>
      <c r="D27" s="17">
        <f t="shared" ref="D27:G27" si="9">$B$5</f>
        <v>30000</v>
      </c>
      <c r="E27" s="17">
        <f t="shared" si="9"/>
        <v>30000</v>
      </c>
      <c r="F27" s="17">
        <f t="shared" si="9"/>
        <v>30000</v>
      </c>
      <c r="G27" s="17">
        <f t="shared" si="9"/>
        <v>30000</v>
      </c>
    </row>
    <row r="28" spans="1:7">
      <c r="A28" s="14" t="s">
        <v>84</v>
      </c>
      <c r="B28" s="17"/>
      <c r="C28" s="17"/>
      <c r="D28" s="17"/>
      <c r="E28" s="17"/>
      <c r="F28" s="17"/>
      <c r="G28" s="17">
        <f>G11-G12</f>
        <v>12800</v>
      </c>
    </row>
    <row r="29" spans="1:7">
      <c r="A29" s="14" t="s">
        <v>85</v>
      </c>
      <c r="B29" s="17">
        <f>SUM(B25:B28)</f>
        <v>-150000</v>
      </c>
      <c r="C29" s="17">
        <f t="shared" ref="C29:G29" si="10">SUM(C25:C28)</f>
        <v>7520.3036417515941</v>
      </c>
      <c r="D29" s="17">
        <f t="shared" si="10"/>
        <v>22224.364370101968</v>
      </c>
      <c r="E29" s="17">
        <f t="shared" si="10"/>
        <v>38766.432689496076</v>
      </c>
      <c r="F29" s="17">
        <f t="shared" si="10"/>
        <v>57348.689434948785</v>
      </c>
      <c r="G29" s="17">
        <f t="shared" si="10"/>
        <v>90994.452528771988</v>
      </c>
    </row>
    <row r="30" spans="1:7">
      <c r="B30" s="17"/>
      <c r="C30" s="17"/>
      <c r="D30" s="17"/>
      <c r="E30" s="17"/>
      <c r="F30" s="17"/>
      <c r="G30" s="17"/>
    </row>
    <row r="31" spans="1:7">
      <c r="A31" s="14" t="s">
        <v>2</v>
      </c>
      <c r="B31" s="17">
        <f>B29+NPV(G2,C29:G29)</f>
        <v>0</v>
      </c>
      <c r="C31" s="17"/>
      <c r="D31" s="17"/>
      <c r="E31" s="17"/>
      <c r="F31" s="17"/>
      <c r="G31" s="17"/>
    </row>
    <row r="33" spans="1:2">
      <c r="A33" s="17"/>
      <c r="B33" s="17">
        <f>B31</f>
        <v>0</v>
      </c>
    </row>
    <row r="34" spans="1:2">
      <c r="A34" s="14">
        <v>0</v>
      </c>
      <c r="B34" s="14">
        <f t="dataTable" ref="B34:B49" dt2D="0" dtr="0" r1="B8"/>
        <v>-392244.13384580036</v>
      </c>
    </row>
    <row r="35" spans="1:2">
      <c r="A35" s="14">
        <v>1000</v>
      </c>
      <c r="B35" s="14">
        <v>-341026.3953654432</v>
      </c>
    </row>
    <row r="36" spans="1:2">
      <c r="A36" s="14">
        <v>2000</v>
      </c>
      <c r="B36" s="14">
        <v>-289808.65688508603</v>
      </c>
    </row>
    <row r="37" spans="1:2">
      <c r="A37" s="14">
        <v>3000</v>
      </c>
      <c r="B37" s="14">
        <v>-238590.91840472887</v>
      </c>
    </row>
    <row r="38" spans="1:2">
      <c r="A38" s="14">
        <v>4000</v>
      </c>
      <c r="B38" s="14">
        <v>-187373.17992437171</v>
      </c>
    </row>
    <row r="39" spans="1:2">
      <c r="A39" s="14">
        <v>5000</v>
      </c>
      <c r="B39" s="14">
        <v>-136155.44144401458</v>
      </c>
    </row>
    <row r="40" spans="1:2">
      <c r="A40" s="14">
        <v>6000</v>
      </c>
      <c r="B40" s="14">
        <v>-84937.702963657386</v>
      </c>
    </row>
    <row r="41" spans="1:2">
      <c r="A41" s="14">
        <v>7000</v>
      </c>
      <c r="B41" s="14">
        <v>-33719.964483300238</v>
      </c>
    </row>
    <row r="42" spans="1:2">
      <c r="A42" s="14">
        <v>8000</v>
      </c>
      <c r="B42" s="14">
        <v>17497.773997056909</v>
      </c>
    </row>
    <row r="43" spans="1:2">
      <c r="A43" s="14">
        <v>9000</v>
      </c>
      <c r="B43" s="14">
        <v>68715.512477414071</v>
      </c>
    </row>
    <row r="44" spans="1:2">
      <c r="A44" s="14">
        <v>10000</v>
      </c>
      <c r="B44" s="14">
        <v>119933.2509577712</v>
      </c>
    </row>
    <row r="45" spans="1:2">
      <c r="A45" s="14">
        <v>11000</v>
      </c>
      <c r="B45" s="14">
        <v>171150.98943812842</v>
      </c>
    </row>
    <row r="46" spans="1:2">
      <c r="A46" s="14">
        <v>12000</v>
      </c>
      <c r="B46" s="14">
        <v>222368.72791848553</v>
      </c>
    </row>
    <row r="47" spans="1:2">
      <c r="A47" s="14">
        <v>13000</v>
      </c>
      <c r="B47" s="14">
        <v>273586.46639884275</v>
      </c>
    </row>
    <row r="48" spans="1:2">
      <c r="A48" s="14">
        <v>14000</v>
      </c>
      <c r="B48" s="14">
        <v>324804.20487919985</v>
      </c>
    </row>
    <row r="49" spans="1:2">
      <c r="A49" s="14">
        <v>15000</v>
      </c>
      <c r="B49" s="14">
        <v>376021.94335955696</v>
      </c>
    </row>
  </sheetData>
  <mergeCells count="1">
    <mergeCell ref="A1:H1"/>
  </mergeCells>
  <phoneticPr fontId="10" type="noConversion"/>
  <pageMargins left="0.75" right="0.75" top="1" bottom="1" header="0.5" footer="0.5"/>
  <pageSetup paperSize="9" orientation="portrait" horizontalDpi="0" verticalDpi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7"/>
  <dimension ref="A1:H36"/>
  <sheetViews>
    <sheetView topLeftCell="A14" zoomScaleNormal="100" workbookViewId="0">
      <selection activeCell="B12" sqref="B12"/>
    </sheetView>
  </sheetViews>
  <sheetFormatPr baseColWidth="10" defaultColWidth="8.83203125" defaultRowHeight="14"/>
  <cols>
    <col min="1" max="1" width="26.33203125" customWidth="1"/>
    <col min="2" max="2" width="9.1640625" bestFit="1" customWidth="1"/>
    <col min="7" max="7" width="24.6640625" bestFit="1" customWidth="1"/>
  </cols>
  <sheetData>
    <row r="1" spans="1:8" ht="18">
      <c r="A1" s="55" t="s">
        <v>115</v>
      </c>
      <c r="B1" s="55"/>
      <c r="C1" s="55"/>
      <c r="D1" s="55"/>
      <c r="E1" s="55"/>
      <c r="F1" s="55"/>
      <c r="G1" s="55"/>
      <c r="H1" s="55"/>
    </row>
    <row r="2" spans="1:8">
      <c r="A2" t="s">
        <v>1</v>
      </c>
      <c r="B2" s="7">
        <v>0.15</v>
      </c>
    </row>
    <row r="3" spans="1:8">
      <c r="A3" s="25" t="s">
        <v>99</v>
      </c>
      <c r="B3" s="36">
        <v>0.4</v>
      </c>
    </row>
    <row r="4" spans="1:8">
      <c r="A4" s="35"/>
      <c r="B4" s="35"/>
    </row>
    <row r="5" spans="1:8">
      <c r="A5" s="57" t="s">
        <v>116</v>
      </c>
      <c r="B5" s="57"/>
    </row>
    <row r="6" spans="1:8">
      <c r="A6" t="s">
        <v>52</v>
      </c>
      <c r="B6" s="2">
        <v>60000</v>
      </c>
    </row>
    <row r="7" spans="1:8">
      <c r="A7" t="s">
        <v>117</v>
      </c>
      <c r="B7">
        <v>6</v>
      </c>
    </row>
    <row r="8" spans="1:8">
      <c r="A8" t="s">
        <v>14</v>
      </c>
      <c r="B8" s="2">
        <f>B6/B7</f>
        <v>10000</v>
      </c>
    </row>
    <row r="9" spans="1:8">
      <c r="A9" t="s">
        <v>118</v>
      </c>
      <c r="B9" s="2">
        <v>20000</v>
      </c>
      <c r="C9" t="s">
        <v>119</v>
      </c>
    </row>
    <row r="10" spans="1:8">
      <c r="A10" t="s">
        <v>120</v>
      </c>
      <c r="B10" s="2">
        <f>B6-B8*2</f>
        <v>40000</v>
      </c>
      <c r="C10" t="str">
        <f ca="1">getformula(B10)</f>
        <v>&lt;-- =B6-B8*2</v>
      </c>
    </row>
    <row r="11" spans="1:8">
      <c r="A11" t="s">
        <v>121</v>
      </c>
      <c r="B11" s="2">
        <f>B9-B10</f>
        <v>-20000</v>
      </c>
      <c r="C11" t="str">
        <f ca="1">getformula(B11)</f>
        <v>&lt;-- =B9-B10</v>
      </c>
    </row>
    <row r="12" spans="1:8" ht="30">
      <c r="A12" s="39" t="s">
        <v>130</v>
      </c>
      <c r="B12" s="2">
        <f>B9-B11*B3</f>
        <v>28000</v>
      </c>
      <c r="C12" t="str">
        <f ca="1">getformula(B12)</f>
        <v>&lt;-- =B9-B11*B3</v>
      </c>
    </row>
    <row r="14" spans="1:8">
      <c r="A14" s="57" t="s">
        <v>122</v>
      </c>
      <c r="B14" s="57"/>
    </row>
    <row r="15" spans="1:8">
      <c r="A15" t="s">
        <v>52</v>
      </c>
      <c r="B15" s="2">
        <v>100000</v>
      </c>
    </row>
    <row r="16" spans="1:8">
      <c r="A16" t="s">
        <v>117</v>
      </c>
      <c r="B16">
        <v>4</v>
      </c>
    </row>
    <row r="17" spans="1:6">
      <c r="A17" t="s">
        <v>123</v>
      </c>
      <c r="B17" s="2">
        <v>15000</v>
      </c>
      <c r="C17" t="s">
        <v>124</v>
      </c>
    </row>
    <row r="18" spans="1:6">
      <c r="A18" t="s">
        <v>14</v>
      </c>
      <c r="B18" s="2">
        <f>(B15-B17)/4</f>
        <v>21250</v>
      </c>
      <c r="C18" t="str">
        <f ca="1">getformula(B18)</f>
        <v>&lt;-- =(B15-B17)/4</v>
      </c>
    </row>
    <row r="19" spans="1:6">
      <c r="B19" s="2"/>
    </row>
    <row r="20" spans="1:6">
      <c r="A20" t="s">
        <v>128</v>
      </c>
      <c r="B20" s="2">
        <f>B22-B21</f>
        <v>30000</v>
      </c>
    </row>
    <row r="21" spans="1:6">
      <c r="A21" s="22" t="s">
        <v>125</v>
      </c>
      <c r="B21" s="2">
        <v>1000000</v>
      </c>
    </row>
    <row r="22" spans="1:6">
      <c r="A22" s="22" t="s">
        <v>126</v>
      </c>
      <c r="B22" s="2">
        <v>1030000</v>
      </c>
    </row>
    <row r="23" spans="1:6">
      <c r="A23" t="s">
        <v>127</v>
      </c>
      <c r="B23" s="2">
        <v>10000</v>
      </c>
    </row>
    <row r="26" spans="1:6">
      <c r="A26" s="4" t="s">
        <v>0</v>
      </c>
      <c r="B26" s="2">
        <v>0</v>
      </c>
      <c r="C26">
        <v>1</v>
      </c>
      <c r="D26">
        <v>2</v>
      </c>
      <c r="E26">
        <v>3</v>
      </c>
      <c r="F26">
        <v>4</v>
      </c>
    </row>
    <row r="27" spans="1:6">
      <c r="A27" t="s">
        <v>10</v>
      </c>
      <c r="B27" s="2">
        <f>-B15</f>
        <v>-100000</v>
      </c>
    </row>
    <row r="28" spans="1:6">
      <c r="A28" t="s">
        <v>129</v>
      </c>
      <c r="B28" s="2">
        <f>B12</f>
        <v>28000</v>
      </c>
    </row>
    <row r="29" spans="1:6">
      <c r="B29" s="2"/>
    </row>
    <row r="30" spans="1:6">
      <c r="A30" t="s">
        <v>131</v>
      </c>
      <c r="B30" s="2"/>
      <c r="C30" s="2">
        <f>$B$20*(1-$B$3)</f>
        <v>18000</v>
      </c>
      <c r="D30" s="2">
        <f t="shared" ref="D30:F30" si="0">$B$20*(1-$B$3)</f>
        <v>18000</v>
      </c>
      <c r="E30" s="2">
        <f t="shared" si="0"/>
        <v>18000</v>
      </c>
      <c r="F30" s="2">
        <f t="shared" si="0"/>
        <v>18000</v>
      </c>
    </row>
    <row r="31" spans="1:6">
      <c r="A31" t="s">
        <v>132</v>
      </c>
      <c r="B31" s="2"/>
      <c r="C31" s="2">
        <f>$B$23*(1-$B$3)</f>
        <v>6000</v>
      </c>
      <c r="D31" s="2">
        <f t="shared" ref="D31:F31" si="1">$B$23*(1-$B$3)</f>
        <v>6000</v>
      </c>
      <c r="E31" s="2">
        <f t="shared" si="1"/>
        <v>6000</v>
      </c>
      <c r="F31" s="2">
        <f t="shared" si="1"/>
        <v>6000</v>
      </c>
    </row>
    <row r="32" spans="1:6" ht="45">
      <c r="A32" s="39" t="s">
        <v>134</v>
      </c>
      <c r="B32" s="2"/>
      <c r="C32" s="2">
        <f>$B$18*$B$3</f>
        <v>8500</v>
      </c>
      <c r="D32" s="2">
        <f t="shared" ref="D32:F32" si="2">$B$18*$B$3</f>
        <v>8500</v>
      </c>
      <c r="E32" s="2">
        <f t="shared" si="2"/>
        <v>8500</v>
      </c>
      <c r="F32" s="2">
        <f t="shared" si="2"/>
        <v>8500</v>
      </c>
    </row>
    <row r="33" spans="1:6">
      <c r="A33" t="s">
        <v>135</v>
      </c>
      <c r="F33" s="2">
        <f>B17</f>
        <v>15000</v>
      </c>
    </row>
    <row r="34" spans="1:6">
      <c r="A34" t="s">
        <v>19</v>
      </c>
      <c r="B34" s="2">
        <f>SUM(B27:B33)</f>
        <v>-72000</v>
      </c>
      <c r="C34" s="2">
        <f t="shared" ref="C34:F34" si="3">SUM(C27:C33)</f>
        <v>32500</v>
      </c>
      <c r="D34" s="2">
        <f t="shared" si="3"/>
        <v>32500</v>
      </c>
      <c r="E34" s="2">
        <f t="shared" si="3"/>
        <v>32500</v>
      </c>
      <c r="F34" s="2">
        <f t="shared" si="3"/>
        <v>47500</v>
      </c>
    </row>
    <row r="36" spans="1:6">
      <c r="A36" t="s">
        <v>2</v>
      </c>
      <c r="B36" s="2">
        <f>B34+NPV(B2,C34:F34)</f>
        <v>29363.095472071655</v>
      </c>
    </row>
  </sheetData>
  <mergeCells count="3">
    <mergeCell ref="A1:H1"/>
    <mergeCell ref="A5:B5"/>
    <mergeCell ref="A14:B14"/>
  </mergeCells>
  <phoneticPr fontId="10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9"/>
  <dimension ref="A1:M37"/>
  <sheetViews>
    <sheetView topLeftCell="A7" zoomScaleNormal="100" workbookViewId="0">
      <selection activeCell="B37" sqref="B37"/>
    </sheetView>
  </sheetViews>
  <sheetFormatPr baseColWidth="10" defaultColWidth="8.83203125" defaultRowHeight="14"/>
  <cols>
    <col min="1" max="1" width="25" customWidth="1"/>
  </cols>
  <sheetData>
    <row r="1" spans="1:4" ht="18">
      <c r="A1" s="55" t="s">
        <v>136</v>
      </c>
      <c r="B1" s="55"/>
      <c r="C1" s="55"/>
      <c r="D1" s="55"/>
    </row>
    <row r="2" spans="1:4">
      <c r="A2" t="s">
        <v>1</v>
      </c>
      <c r="B2" s="7">
        <v>0.11</v>
      </c>
    </row>
    <row r="3" spans="1:4">
      <c r="A3" t="s">
        <v>99</v>
      </c>
      <c r="B3" s="7">
        <v>0.4</v>
      </c>
    </row>
    <row r="5" spans="1:4">
      <c r="A5" s="57" t="s">
        <v>137</v>
      </c>
      <c r="B5" s="57"/>
    </row>
    <row r="6" spans="1:4">
      <c r="A6" t="s">
        <v>52</v>
      </c>
      <c r="B6" s="2">
        <v>10000</v>
      </c>
    </row>
    <row r="7" spans="1:4">
      <c r="A7" t="s">
        <v>117</v>
      </c>
      <c r="B7">
        <v>5</v>
      </c>
    </row>
    <row r="8" spans="1:4">
      <c r="A8" t="s">
        <v>14</v>
      </c>
      <c r="B8" s="2">
        <f>B6/B7</f>
        <v>2000</v>
      </c>
    </row>
    <row r="9" spans="1:4">
      <c r="A9" t="s">
        <v>139</v>
      </c>
      <c r="B9" s="2">
        <v>1500</v>
      </c>
    </row>
    <row r="11" spans="1:4">
      <c r="A11" s="57" t="s">
        <v>138</v>
      </c>
      <c r="B11" s="57"/>
    </row>
    <row r="12" spans="1:4">
      <c r="A12" t="s">
        <v>52</v>
      </c>
      <c r="B12" s="2">
        <v>30000</v>
      </c>
    </row>
    <row r="13" spans="1:4">
      <c r="A13" t="s">
        <v>117</v>
      </c>
      <c r="B13">
        <v>5</v>
      </c>
    </row>
    <row r="14" spans="1:4">
      <c r="A14" t="s">
        <v>14</v>
      </c>
      <c r="B14" s="2">
        <f>B12/B13</f>
        <v>6000</v>
      </c>
    </row>
    <row r="15" spans="1:4">
      <c r="A15" t="s">
        <v>139</v>
      </c>
      <c r="B15" s="2">
        <v>4500</v>
      </c>
    </row>
    <row r="16" spans="1:4">
      <c r="A16" t="s">
        <v>140</v>
      </c>
      <c r="B16" s="2">
        <v>8500</v>
      </c>
    </row>
    <row r="18" spans="1:13">
      <c r="A18" s="57" t="s">
        <v>144</v>
      </c>
      <c r="B18" s="57"/>
    </row>
    <row r="19" spans="1:13">
      <c r="A19" s="34" t="s">
        <v>0</v>
      </c>
      <c r="B19" s="34">
        <v>0</v>
      </c>
      <c r="C19" s="34">
        <v>1</v>
      </c>
      <c r="D19" s="34">
        <v>2</v>
      </c>
      <c r="E19" s="34">
        <v>3</v>
      </c>
      <c r="F19" s="34">
        <v>4</v>
      </c>
      <c r="G19" s="34">
        <v>5</v>
      </c>
    </row>
    <row r="20" spans="1:13">
      <c r="A20" t="s">
        <v>141</v>
      </c>
      <c r="B20" s="2">
        <f>-B6</f>
        <v>-10000</v>
      </c>
    </row>
    <row r="21" spans="1:13">
      <c r="A21" t="s">
        <v>133</v>
      </c>
      <c r="C21">
        <f>$B$8*$B$3</f>
        <v>800</v>
      </c>
      <c r="D21">
        <f t="shared" ref="D21:G21" si="0">$B$8*$B$3</f>
        <v>800</v>
      </c>
      <c r="E21">
        <f t="shared" si="0"/>
        <v>800</v>
      </c>
      <c r="F21">
        <f t="shared" si="0"/>
        <v>800</v>
      </c>
      <c r="G21">
        <f t="shared" si="0"/>
        <v>800</v>
      </c>
    </row>
    <row r="22" spans="1:13">
      <c r="A22" t="s">
        <v>142</v>
      </c>
      <c r="C22">
        <f>-$B$9*(1-$B$3)</f>
        <v>-900</v>
      </c>
      <c r="D22">
        <f t="shared" ref="D22:G22" si="1">-$B$9*(1-$B$3)</f>
        <v>-900</v>
      </c>
      <c r="E22">
        <f t="shared" si="1"/>
        <v>-900</v>
      </c>
      <c r="F22">
        <f t="shared" si="1"/>
        <v>-900</v>
      </c>
      <c r="G22">
        <f t="shared" si="1"/>
        <v>-900</v>
      </c>
    </row>
    <row r="23" spans="1:13">
      <c r="A23" t="s">
        <v>143</v>
      </c>
      <c r="B23" s="2">
        <f>SUM(B20:B22)</f>
        <v>-10000</v>
      </c>
      <c r="C23" s="2">
        <f t="shared" ref="C23:G23" si="2">SUM(C20:C22)</f>
        <v>-100</v>
      </c>
      <c r="D23" s="2">
        <f t="shared" si="2"/>
        <v>-100</v>
      </c>
      <c r="E23" s="2">
        <f t="shared" si="2"/>
        <v>-100</v>
      </c>
      <c r="F23" s="2">
        <f t="shared" si="2"/>
        <v>-100</v>
      </c>
      <c r="G23" s="2">
        <f t="shared" si="2"/>
        <v>-100</v>
      </c>
    </row>
    <row r="24" spans="1:13">
      <c r="A24" s="11" t="s">
        <v>2</v>
      </c>
      <c r="B24" s="24">
        <f>B23+NPV(B2,C23:G23)</f>
        <v>-10369.589701764946</v>
      </c>
    </row>
    <row r="27" spans="1:13">
      <c r="A27" s="57" t="s">
        <v>145</v>
      </c>
      <c r="B27" s="57"/>
    </row>
    <row r="28" spans="1:13">
      <c r="A28" s="34" t="s">
        <v>0</v>
      </c>
      <c r="B28" s="34">
        <v>0</v>
      </c>
      <c r="C28" s="34">
        <v>1</v>
      </c>
      <c r="D28" s="34">
        <v>2</v>
      </c>
      <c r="E28" s="34">
        <v>3</v>
      </c>
      <c r="F28" s="34">
        <v>4</v>
      </c>
      <c r="G28" s="34">
        <v>5</v>
      </c>
    </row>
    <row r="29" spans="1:13">
      <c r="A29" t="s">
        <v>141</v>
      </c>
      <c r="B29" s="2">
        <f>-B12</f>
        <v>-30000</v>
      </c>
      <c r="C29" s="2"/>
      <c r="D29" s="2"/>
      <c r="E29" s="2"/>
      <c r="F29" s="2"/>
      <c r="G29" s="2"/>
    </row>
    <row r="30" spans="1:13">
      <c r="A30" t="s">
        <v>133</v>
      </c>
      <c r="B30" s="2"/>
      <c r="C30" s="2">
        <f>$B$14*$B$3</f>
        <v>2400</v>
      </c>
      <c r="D30" s="2">
        <f t="shared" ref="D30:G30" si="3">$B$14*$B$3</f>
        <v>2400</v>
      </c>
      <c r="E30" s="2">
        <f t="shared" si="3"/>
        <v>2400</v>
      </c>
      <c r="F30" s="2">
        <f t="shared" si="3"/>
        <v>2400</v>
      </c>
      <c r="G30" s="2">
        <f t="shared" si="3"/>
        <v>2400</v>
      </c>
      <c r="I30" s="2"/>
      <c r="J30" s="2"/>
      <c r="K30" s="2"/>
      <c r="L30" s="2"/>
      <c r="M30" s="2"/>
    </row>
    <row r="31" spans="1:13">
      <c r="A31" t="s">
        <v>142</v>
      </c>
      <c r="B31" s="2"/>
      <c r="C31" s="2">
        <f>-$B$15*(1-$B$3)</f>
        <v>-2700</v>
      </c>
      <c r="D31" s="2">
        <f t="shared" ref="D31:G31" si="4">-$B$15*(1-$B$3)</f>
        <v>-2700</v>
      </c>
      <c r="E31" s="2">
        <f t="shared" si="4"/>
        <v>-2700</v>
      </c>
      <c r="F31" s="2">
        <f t="shared" si="4"/>
        <v>-2700</v>
      </c>
      <c r="G31" s="2">
        <f t="shared" si="4"/>
        <v>-2700</v>
      </c>
      <c r="I31" s="2"/>
      <c r="J31" s="2"/>
      <c r="K31" s="2"/>
      <c r="L31" s="2"/>
      <c r="M31" s="2"/>
    </row>
    <row r="32" spans="1:13">
      <c r="A32" t="s">
        <v>146</v>
      </c>
      <c r="B32" s="2"/>
      <c r="C32" s="2">
        <f>$B$16*(1-$B$3)</f>
        <v>5100</v>
      </c>
      <c r="D32" s="2">
        <f t="shared" ref="D32:G32" si="5">$B$16*(1-$B$3)</f>
        <v>5100</v>
      </c>
      <c r="E32" s="2">
        <f t="shared" si="5"/>
        <v>5100</v>
      </c>
      <c r="F32" s="2">
        <f t="shared" si="5"/>
        <v>5100</v>
      </c>
      <c r="G32" s="2">
        <f t="shared" si="5"/>
        <v>5100</v>
      </c>
      <c r="I32" s="2"/>
      <c r="J32" s="2"/>
      <c r="K32" s="2"/>
      <c r="L32" s="2"/>
      <c r="M32" s="2"/>
    </row>
    <row r="33" spans="1:13">
      <c r="A33" t="s">
        <v>143</v>
      </c>
      <c r="B33" s="2">
        <f>SUM(B29:B32)</f>
        <v>-30000</v>
      </c>
      <c r="C33" s="2">
        <f t="shared" ref="C33:F33" si="6">SUM(C29:C32)</f>
        <v>4800</v>
      </c>
      <c r="D33" s="2">
        <f t="shared" si="6"/>
        <v>4800</v>
      </c>
      <c r="E33" s="2">
        <f t="shared" si="6"/>
        <v>4800</v>
      </c>
      <c r="F33" s="2">
        <f t="shared" si="6"/>
        <v>4800</v>
      </c>
      <c r="G33" s="2">
        <f>SUM(G29:G32)</f>
        <v>4800</v>
      </c>
      <c r="I33" s="2"/>
      <c r="J33" s="2"/>
      <c r="K33" s="2"/>
      <c r="L33" s="2"/>
      <c r="M33" s="2"/>
    </row>
    <row r="34" spans="1:13">
      <c r="A34" s="11" t="s">
        <v>2</v>
      </c>
      <c r="B34" s="24">
        <f>B33+NPV(B2,C33:G33)</f>
        <v>-12259.694315282573</v>
      </c>
    </row>
    <row r="35" spans="1:13">
      <c r="I35" s="2"/>
      <c r="J35" s="2"/>
      <c r="K35" s="2"/>
      <c r="L35" s="2"/>
      <c r="M35" s="2"/>
    </row>
    <row r="36" spans="1:13">
      <c r="A36" s="4" t="s">
        <v>147</v>
      </c>
      <c r="B36" t="s">
        <v>313</v>
      </c>
      <c r="I36" s="2"/>
      <c r="J36" s="2"/>
      <c r="K36" s="2"/>
      <c r="L36" s="2"/>
      <c r="M36" s="2"/>
    </row>
    <row r="37" spans="1:13">
      <c r="I37" s="2"/>
      <c r="J37" s="2"/>
      <c r="K37" s="2"/>
      <c r="L37" s="2"/>
      <c r="M37" s="2"/>
    </row>
  </sheetData>
  <mergeCells count="5">
    <mergeCell ref="A1:D1"/>
    <mergeCell ref="A5:B5"/>
    <mergeCell ref="A11:B11"/>
    <mergeCell ref="A18:B18"/>
    <mergeCell ref="A27:B27"/>
  </mergeCells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1"/>
  <dimension ref="A1:O39"/>
  <sheetViews>
    <sheetView topLeftCell="A14" zoomScaleNormal="100" workbookViewId="0">
      <selection activeCell="P41" sqref="P41"/>
    </sheetView>
  </sheetViews>
  <sheetFormatPr baseColWidth="10" defaultColWidth="8.83203125" defaultRowHeight="14"/>
  <cols>
    <col min="1" max="1" width="31.83203125" bestFit="1" customWidth="1"/>
    <col min="2" max="2" width="11" bestFit="1" customWidth="1"/>
    <col min="3" max="3" width="13" bestFit="1" customWidth="1"/>
  </cols>
  <sheetData>
    <row r="1" spans="1:7" ht="18">
      <c r="A1" s="55" t="s">
        <v>148</v>
      </c>
      <c r="B1" s="55"/>
      <c r="C1" s="55"/>
      <c r="D1" s="55"/>
      <c r="E1" s="55"/>
      <c r="F1" s="55"/>
      <c r="G1" s="55"/>
    </row>
    <row r="2" spans="1:7">
      <c r="A2" t="s">
        <v>64</v>
      </c>
      <c r="B2" s="7">
        <v>0.11</v>
      </c>
    </row>
    <row r="3" spans="1:7">
      <c r="A3" t="s">
        <v>99</v>
      </c>
      <c r="B3" s="7">
        <v>0.4</v>
      </c>
    </row>
    <row r="5" spans="1:7">
      <c r="A5" s="57" t="s">
        <v>316</v>
      </c>
      <c r="B5" s="57"/>
    </row>
    <row r="6" spans="1:7">
      <c r="A6" t="s">
        <v>149</v>
      </c>
      <c r="B6" s="40">
        <v>0.2</v>
      </c>
    </row>
    <row r="7" spans="1:7">
      <c r="A7" t="s">
        <v>314</v>
      </c>
      <c r="B7" s="2">
        <v>1000</v>
      </c>
    </row>
    <row r="8" spans="1:7">
      <c r="A8" t="s">
        <v>316</v>
      </c>
      <c r="B8" s="58">
        <f>B6+B7/10000</f>
        <v>0.30000000000000004</v>
      </c>
    </row>
    <row r="10" spans="1:7">
      <c r="A10" s="57" t="s">
        <v>150</v>
      </c>
      <c r="B10" s="57"/>
    </row>
    <row r="11" spans="1:7">
      <c r="A11" t="s">
        <v>315</v>
      </c>
      <c r="B11" s="2">
        <v>1000000</v>
      </c>
    </row>
    <row r="12" spans="1:7">
      <c r="A12" t="s">
        <v>151</v>
      </c>
      <c r="B12">
        <v>12</v>
      </c>
    </row>
    <row r="13" spans="1:7">
      <c r="A13" t="s">
        <v>9</v>
      </c>
      <c r="B13" s="2">
        <f>B11/B12</f>
        <v>83333.333333333328</v>
      </c>
    </row>
    <row r="14" spans="1:7">
      <c r="A14" t="s">
        <v>152</v>
      </c>
      <c r="B14" s="2">
        <v>160000</v>
      </c>
    </row>
    <row r="15" spans="1:7">
      <c r="A15" t="s">
        <v>153</v>
      </c>
      <c r="B15" s="2">
        <v>150000</v>
      </c>
    </row>
    <row r="16" spans="1:7">
      <c r="A16" t="s">
        <v>154</v>
      </c>
      <c r="B16" s="3">
        <v>0.17</v>
      </c>
    </row>
    <row r="17" spans="1:15">
      <c r="A17" t="s">
        <v>317</v>
      </c>
      <c r="B17" s="3">
        <v>100000</v>
      </c>
    </row>
    <row r="19" spans="1:15">
      <c r="A19" t="s">
        <v>155</v>
      </c>
      <c r="B19" s="2">
        <v>3120468.074912766</v>
      </c>
      <c r="C19" t="s">
        <v>156</v>
      </c>
    </row>
    <row r="21" spans="1:15">
      <c r="A21" t="s">
        <v>0</v>
      </c>
      <c r="B21" s="34">
        <v>0</v>
      </c>
      <c r="C21" s="34">
        <v>1</v>
      </c>
      <c r="D21" s="34">
        <v>2</v>
      </c>
      <c r="E21" s="34">
        <v>3</v>
      </c>
      <c r="F21" s="34">
        <v>4</v>
      </c>
      <c r="G21" s="34">
        <v>5</v>
      </c>
      <c r="H21" s="34">
        <v>6</v>
      </c>
      <c r="I21" s="34">
        <v>7</v>
      </c>
      <c r="J21" s="34">
        <v>8</v>
      </c>
      <c r="K21" s="34">
        <v>9</v>
      </c>
      <c r="L21" s="34">
        <v>10</v>
      </c>
      <c r="M21" s="34">
        <v>11</v>
      </c>
      <c r="N21" s="34">
        <v>12</v>
      </c>
    </row>
    <row r="22" spans="1:15">
      <c r="A22" t="s">
        <v>157</v>
      </c>
      <c r="B22" s="2">
        <f>-B11</f>
        <v>-1000000</v>
      </c>
      <c r="C22" s="2">
        <f>-$B$17</f>
        <v>-100000</v>
      </c>
      <c r="D22" s="2">
        <f t="shared" ref="D22:N22" si="0">-$B$17</f>
        <v>-100000</v>
      </c>
      <c r="E22" s="2">
        <f t="shared" si="0"/>
        <v>-100000</v>
      </c>
      <c r="F22" s="2">
        <f t="shared" si="0"/>
        <v>-100000</v>
      </c>
      <c r="G22" s="2">
        <f t="shared" si="0"/>
        <v>-100000</v>
      </c>
      <c r="H22" s="2">
        <f t="shared" si="0"/>
        <v>-100000</v>
      </c>
      <c r="I22" s="2">
        <f t="shared" si="0"/>
        <v>-100000</v>
      </c>
      <c r="J22" s="2">
        <f t="shared" si="0"/>
        <v>-100000</v>
      </c>
      <c r="K22" s="2">
        <f t="shared" si="0"/>
        <v>-100000</v>
      </c>
      <c r="L22" s="2">
        <f t="shared" si="0"/>
        <v>-100000</v>
      </c>
      <c r="M22" s="2">
        <f t="shared" si="0"/>
        <v>-100000</v>
      </c>
      <c r="N22" s="2">
        <f t="shared" si="0"/>
        <v>-100000</v>
      </c>
    </row>
    <row r="23" spans="1:15">
      <c r="A23" t="s">
        <v>133</v>
      </c>
      <c r="B23" s="2"/>
      <c r="C23" s="2">
        <f>$B$13*$B$3</f>
        <v>33333.333333333336</v>
      </c>
      <c r="D23" s="2">
        <f t="shared" ref="D23:N23" si="1">$B$13*$B$3</f>
        <v>33333.333333333336</v>
      </c>
      <c r="E23" s="2">
        <f t="shared" si="1"/>
        <v>33333.333333333336</v>
      </c>
      <c r="F23" s="2">
        <f t="shared" si="1"/>
        <v>33333.333333333336</v>
      </c>
      <c r="G23" s="2">
        <f t="shared" si="1"/>
        <v>33333.333333333336</v>
      </c>
      <c r="H23" s="2">
        <f t="shared" si="1"/>
        <v>33333.333333333336</v>
      </c>
      <c r="I23" s="2">
        <f t="shared" si="1"/>
        <v>33333.333333333336</v>
      </c>
      <c r="J23" s="2">
        <f t="shared" si="1"/>
        <v>33333.333333333336</v>
      </c>
      <c r="K23" s="2">
        <f t="shared" si="1"/>
        <v>33333.333333333336</v>
      </c>
      <c r="L23" s="2">
        <f t="shared" si="1"/>
        <v>33333.333333333336</v>
      </c>
      <c r="M23" s="2">
        <f t="shared" si="1"/>
        <v>33333.333333333336</v>
      </c>
      <c r="N23" s="2">
        <f t="shared" si="1"/>
        <v>33333.333333333336</v>
      </c>
      <c r="O23" t="str">
        <f ca="1">getformula(N23)</f>
        <v>&lt;-- =$B$13*$B$3</v>
      </c>
    </row>
    <row r="24" spans="1:15">
      <c r="A24" t="s">
        <v>158</v>
      </c>
      <c r="B24" s="2"/>
      <c r="C24" s="2">
        <f>(($B$8-$B$16)*$B$19)*(1-$B$3)</f>
        <v>243396.50984319579</v>
      </c>
      <c r="D24" s="2">
        <f t="shared" ref="D24:N24" si="2">(($B$8-$B$16)*$B$19)*(1-$B$3)</f>
        <v>243396.50984319579</v>
      </c>
      <c r="E24" s="2">
        <f t="shared" si="2"/>
        <v>243396.50984319579</v>
      </c>
      <c r="F24" s="2">
        <f t="shared" si="2"/>
        <v>243396.50984319579</v>
      </c>
      <c r="G24" s="2">
        <f t="shared" si="2"/>
        <v>243396.50984319579</v>
      </c>
      <c r="H24" s="2">
        <f t="shared" si="2"/>
        <v>243396.50984319579</v>
      </c>
      <c r="I24" s="2">
        <f t="shared" si="2"/>
        <v>243396.50984319579</v>
      </c>
      <c r="J24" s="2">
        <f t="shared" si="2"/>
        <v>243396.50984319579</v>
      </c>
      <c r="K24" s="2">
        <f t="shared" si="2"/>
        <v>243396.50984319579</v>
      </c>
      <c r="L24" s="2">
        <f t="shared" si="2"/>
        <v>243396.50984319579</v>
      </c>
      <c r="M24" s="2">
        <f t="shared" si="2"/>
        <v>243396.50984319579</v>
      </c>
      <c r="N24" s="2">
        <f t="shared" si="2"/>
        <v>243396.50984319579</v>
      </c>
      <c r="O24" t="str">
        <f t="shared" ref="O24:O27" ca="1" si="3">getformula(N24)</f>
        <v>&lt;-- =(($B$8-$B$16)*$B$19)*(1-$B$3)</v>
      </c>
    </row>
    <row r="25" spans="1:15">
      <c r="A25" t="s">
        <v>159</v>
      </c>
      <c r="B25" s="2"/>
      <c r="C25" s="2"/>
      <c r="D25" s="2"/>
      <c r="E25" s="2">
        <f>-$B$15*(1-$B$3)</f>
        <v>-90000</v>
      </c>
      <c r="F25" s="2"/>
      <c r="G25" s="2"/>
      <c r="H25" s="2">
        <f>-$B$15*(1-$B$3)</f>
        <v>-90000</v>
      </c>
      <c r="I25" s="2"/>
      <c r="J25" s="2"/>
      <c r="K25" s="2">
        <f>-$B$15*(1-$B$3)</f>
        <v>-90000</v>
      </c>
      <c r="L25" s="2"/>
      <c r="M25" s="2"/>
      <c r="N25" s="2">
        <f>-$B$15*(1-$B$3)</f>
        <v>-90000</v>
      </c>
      <c r="O25" t="str">
        <f t="shared" ca="1" si="3"/>
        <v>&lt;-- =-$B$15*(1-$B$3)</v>
      </c>
    </row>
    <row r="26" spans="1:15">
      <c r="A26" t="s">
        <v>160</v>
      </c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>
        <f>B14*(1-B3)</f>
        <v>96000</v>
      </c>
      <c r="O26" t="str">
        <f t="shared" ca="1" si="3"/>
        <v>&lt;-- =B14*(1-B3)</v>
      </c>
    </row>
    <row r="27" spans="1:15">
      <c r="A27" t="s">
        <v>4</v>
      </c>
      <c r="B27" s="2">
        <f>SUM(B22:B26)</f>
        <v>-1000000</v>
      </c>
      <c r="C27" s="2">
        <f t="shared" ref="C27:N27" si="4">SUM(C22:C26)</f>
        <v>176729.84317652913</v>
      </c>
      <c r="D27" s="2">
        <f t="shared" si="4"/>
        <v>176729.84317652913</v>
      </c>
      <c r="E27" s="2">
        <f t="shared" si="4"/>
        <v>86729.843176529132</v>
      </c>
      <c r="F27" s="2">
        <f t="shared" si="4"/>
        <v>176729.84317652913</v>
      </c>
      <c r="G27" s="2">
        <f t="shared" si="4"/>
        <v>176729.84317652913</v>
      </c>
      <c r="H27" s="2">
        <f t="shared" si="4"/>
        <v>86729.843176529132</v>
      </c>
      <c r="I27" s="2">
        <f t="shared" si="4"/>
        <v>176729.84317652913</v>
      </c>
      <c r="J27" s="2">
        <f t="shared" si="4"/>
        <v>176729.84317652913</v>
      </c>
      <c r="K27" s="2">
        <f t="shared" si="4"/>
        <v>86729.843176529132</v>
      </c>
      <c r="L27" s="2">
        <f t="shared" si="4"/>
        <v>176729.84317652913</v>
      </c>
      <c r="M27" s="2">
        <f t="shared" si="4"/>
        <v>176729.84317652913</v>
      </c>
      <c r="N27" s="2">
        <f t="shared" si="4"/>
        <v>182729.84317652913</v>
      </c>
      <c r="O27" t="str">
        <f t="shared" ca="1" si="3"/>
        <v>&lt;-- =SUM(N22:N26)</v>
      </c>
    </row>
    <row r="29" spans="1:15">
      <c r="A29" s="11" t="s">
        <v>161</v>
      </c>
      <c r="B29" s="24">
        <f>B27+NPV(B2,C27:N27)</f>
        <v>0</v>
      </c>
    </row>
    <row r="30" spans="1:15">
      <c r="A30" t="s">
        <v>270</v>
      </c>
      <c r="B30" s="7">
        <f>IRR(B27:N27)</f>
        <v>0.1100000000000001</v>
      </c>
    </row>
    <row r="31" spans="1:15">
      <c r="B31" t="s">
        <v>269</v>
      </c>
      <c r="C31" t="s">
        <v>270</v>
      </c>
    </row>
    <row r="32" spans="1:15">
      <c r="B32" s="2">
        <f>B29</f>
        <v>0</v>
      </c>
      <c r="C32" s="7">
        <f>B30</f>
        <v>0.1100000000000001</v>
      </c>
    </row>
    <row r="33" spans="1:3">
      <c r="A33">
        <v>2000000</v>
      </c>
      <c r="B33">
        <f t="dataTable" ref="B33:C39" dt2D="0" dtr="0" r1="B19"/>
        <v>-567409.26807865337</v>
      </c>
      <c r="C33" s="13">
        <v>-3.0334006740782793E-2</v>
      </c>
    </row>
    <row r="34" spans="1:3">
      <c r="A34">
        <v>3000000</v>
      </c>
      <c r="B34">
        <v>-61005.488459292683</v>
      </c>
      <c r="C34" s="13">
        <v>9.7030052683606094E-2</v>
      </c>
    </row>
    <row r="35" spans="1:3">
      <c r="A35">
        <v>4000000</v>
      </c>
      <c r="B35">
        <v>445398.29116006754</v>
      </c>
      <c r="C35" s="13">
        <v>0.19732004545988691</v>
      </c>
    </row>
    <row r="36" spans="1:3">
      <c r="A36">
        <v>5000000</v>
      </c>
      <c r="B36">
        <v>951802.07077942789</v>
      </c>
      <c r="C36" s="13">
        <v>0.28734313860472316</v>
      </c>
    </row>
    <row r="37" spans="1:3">
      <c r="A37">
        <v>6000000</v>
      </c>
      <c r="B37">
        <v>1458205.8503987887</v>
      </c>
      <c r="C37" s="13">
        <v>0.37247790017273186</v>
      </c>
    </row>
    <row r="38" spans="1:3">
      <c r="A38">
        <v>7000000</v>
      </c>
      <c r="B38">
        <v>1964609.63001815</v>
      </c>
      <c r="C38" s="13">
        <v>0.45502937699388668</v>
      </c>
    </row>
    <row r="39" spans="1:3">
      <c r="A39">
        <v>8000000</v>
      </c>
      <c r="B39">
        <v>2471013.4096375098</v>
      </c>
      <c r="C39" s="13">
        <v>0.53612646341018566</v>
      </c>
    </row>
  </sheetData>
  <mergeCells count="3">
    <mergeCell ref="A1:G1"/>
    <mergeCell ref="A5:B5"/>
    <mergeCell ref="A10:B10"/>
  </mergeCells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4"/>
  <dimension ref="A1:F41"/>
  <sheetViews>
    <sheetView zoomScaleNormal="100" workbookViewId="0">
      <selection activeCell="I43" sqref="I43"/>
    </sheetView>
  </sheetViews>
  <sheetFormatPr baseColWidth="10" defaultColWidth="8.83203125" defaultRowHeight="14"/>
  <cols>
    <col min="1" max="1" width="20.1640625" bestFit="1" customWidth="1"/>
    <col min="2" max="2" width="20" bestFit="1" customWidth="1"/>
    <col min="3" max="3" width="12" bestFit="1" customWidth="1"/>
  </cols>
  <sheetData>
    <row r="1" spans="1:6" ht="18">
      <c r="A1" s="55" t="s">
        <v>163</v>
      </c>
      <c r="B1" s="55"/>
      <c r="C1" s="55"/>
      <c r="D1" s="6"/>
      <c r="E1" s="6"/>
      <c r="F1" s="6"/>
    </row>
    <row r="2" spans="1:6">
      <c r="A2" t="s">
        <v>64</v>
      </c>
      <c r="B2" s="7">
        <v>0.12</v>
      </c>
    </row>
    <row r="3" spans="1:6">
      <c r="A3" t="s">
        <v>99</v>
      </c>
      <c r="B3" s="7">
        <v>0.35</v>
      </c>
    </row>
    <row r="4" spans="1:6">
      <c r="A4" t="s">
        <v>170</v>
      </c>
      <c r="B4" s="3">
        <v>6</v>
      </c>
    </row>
    <row r="5" spans="1:6" ht="15">
      <c r="B5" s="33" t="s">
        <v>164</v>
      </c>
      <c r="C5" s="33" t="s">
        <v>165</v>
      </c>
    </row>
    <row r="6" spans="1:6">
      <c r="A6" t="s">
        <v>52</v>
      </c>
      <c r="B6" s="2">
        <v>4000000</v>
      </c>
      <c r="C6" s="2">
        <v>10000000</v>
      </c>
    </row>
    <row r="7" spans="1:6">
      <c r="A7" t="s">
        <v>166</v>
      </c>
      <c r="B7" s="2">
        <v>300000</v>
      </c>
      <c r="C7" s="2">
        <v>210000</v>
      </c>
    </row>
    <row r="8" spans="1:6">
      <c r="A8" t="s">
        <v>167</v>
      </c>
      <c r="B8" s="40">
        <v>1.2</v>
      </c>
      <c r="C8" s="40">
        <v>0.8</v>
      </c>
    </row>
    <row r="9" spans="1:6">
      <c r="A9" t="s">
        <v>151</v>
      </c>
      <c r="B9">
        <v>5</v>
      </c>
      <c r="C9">
        <v>5</v>
      </c>
    </row>
    <row r="10" spans="1:6">
      <c r="A10" t="s">
        <v>9</v>
      </c>
      <c r="B10" s="2">
        <f>B6/B9</f>
        <v>800000</v>
      </c>
      <c r="C10" s="2">
        <f>C6/C9</f>
        <v>2000000</v>
      </c>
    </row>
    <row r="12" spans="1:6">
      <c r="A12" s="4" t="s">
        <v>168</v>
      </c>
    </row>
    <row r="13" spans="1:6">
      <c r="A13" t="s">
        <v>162</v>
      </c>
      <c r="B13" s="2">
        <v>1000000</v>
      </c>
    </row>
    <row r="14" spans="1:6">
      <c r="A14" t="s">
        <v>171</v>
      </c>
      <c r="B14" s="2">
        <f>$B$13*$B$4</f>
        <v>6000000</v>
      </c>
      <c r="C14" s="2">
        <f>$B$13*$B$4</f>
        <v>6000000</v>
      </c>
    </row>
    <row r="15" spans="1:6">
      <c r="A15" t="s">
        <v>6</v>
      </c>
      <c r="B15" s="2">
        <f>-B7</f>
        <v>-300000</v>
      </c>
      <c r="C15" s="2">
        <f>-C7</f>
        <v>-210000</v>
      </c>
    </row>
    <row r="16" spans="1:6">
      <c r="A16" t="s">
        <v>169</v>
      </c>
      <c r="B16" s="2">
        <f>-$B$13*B8</f>
        <v>-1200000</v>
      </c>
      <c r="C16" s="2">
        <f>-$B$13*C8</f>
        <v>-800000</v>
      </c>
    </row>
    <row r="17" spans="1:4">
      <c r="A17" t="s">
        <v>14</v>
      </c>
      <c r="B17" s="2">
        <f>-B10</f>
        <v>-800000</v>
      </c>
      <c r="C17" s="2">
        <f>-C10</f>
        <v>-2000000</v>
      </c>
    </row>
    <row r="18" spans="1:4">
      <c r="A18" t="s">
        <v>172</v>
      </c>
      <c r="B18" s="2">
        <f>SUM(B14:B17)</f>
        <v>3700000</v>
      </c>
      <c r="C18" s="2">
        <f>SUM(C14:C17)</f>
        <v>2990000</v>
      </c>
    </row>
    <row r="19" spans="1:4">
      <c r="A19" t="s">
        <v>11</v>
      </c>
      <c r="B19" s="2">
        <f>B10</f>
        <v>800000</v>
      </c>
      <c r="C19" s="2">
        <f>C10</f>
        <v>2000000</v>
      </c>
    </row>
    <row r="20" spans="1:4">
      <c r="A20" t="s">
        <v>143</v>
      </c>
      <c r="B20" s="2">
        <f>B18*(1-$B$3)+B19</f>
        <v>3205000</v>
      </c>
      <c r="C20" s="2">
        <f>C18*(1-$B$3)+C19</f>
        <v>3943500</v>
      </c>
    </row>
    <row r="22" spans="1:4">
      <c r="A22" s="11" t="s">
        <v>173</v>
      </c>
      <c r="B22" s="24">
        <f>-B6+PV(B2,5,-B20)</f>
        <v>7553307.7285157461</v>
      </c>
      <c r="C22" s="24">
        <f>-C6+PV(C2,5,-C20)</f>
        <v>9717500</v>
      </c>
      <c r="D22" t="str">
        <f ca="1">getformula(C22)</f>
        <v>&lt;-- =-C6+PV(C2,5,-C20)</v>
      </c>
    </row>
    <row r="25" spans="1:4">
      <c r="A25" s="4" t="s">
        <v>174</v>
      </c>
    </row>
    <row r="26" spans="1:4">
      <c r="A26" s="34" t="s">
        <v>162</v>
      </c>
      <c r="B26" s="34" t="s">
        <v>164</v>
      </c>
      <c r="C26" s="34" t="s">
        <v>165</v>
      </c>
    </row>
    <row r="27" spans="1:4">
      <c r="B27" s="2">
        <f>B22</f>
        <v>7553307.7285157461</v>
      </c>
      <c r="C27" s="2">
        <f>C22</f>
        <v>9717500</v>
      </c>
    </row>
    <row r="28" spans="1:4">
      <c r="A28" s="2">
        <v>10000</v>
      </c>
      <c r="B28" s="2">
        <f t="dataTable" ref="B28:C41" dt2D="0" dtr="0" r1="B13"/>
        <v>-3581125.0052875103</v>
      </c>
      <c r="C28" s="2">
        <v>-7013500</v>
      </c>
    </row>
    <row r="29" spans="1:4">
      <c r="A29" s="2">
        <v>500000</v>
      </c>
      <c r="B29" s="2">
        <v>1929856.8528575357</v>
      </c>
      <c r="C29" s="2">
        <v>1267500</v>
      </c>
    </row>
    <row r="30" spans="1:4">
      <c r="A30" s="2">
        <v>1000000</v>
      </c>
      <c r="B30" s="2">
        <v>7553307.7285157461</v>
      </c>
      <c r="C30" s="2">
        <v>9717500</v>
      </c>
    </row>
    <row r="31" spans="1:4">
      <c r="A31" s="2">
        <v>1500000</v>
      </c>
      <c r="B31" s="2">
        <v>13176758.604173958</v>
      </c>
      <c r="C31" s="2">
        <v>18167500</v>
      </c>
    </row>
    <row r="32" spans="1:4">
      <c r="A32" s="2">
        <v>2000000</v>
      </c>
      <c r="B32" s="2">
        <v>18800209.479832169</v>
      </c>
      <c r="C32" s="2">
        <v>26617500</v>
      </c>
    </row>
    <row r="33" spans="1:3">
      <c r="A33" s="2">
        <v>2500000</v>
      </c>
      <c r="B33" s="2">
        <v>24423660.355490379</v>
      </c>
      <c r="C33" s="2">
        <v>35067500</v>
      </c>
    </row>
    <row r="34" spans="1:3">
      <c r="A34" s="2">
        <v>3000000</v>
      </c>
      <c r="B34" s="2">
        <v>30047111.231148586</v>
      </c>
      <c r="C34" s="2">
        <v>43517500</v>
      </c>
    </row>
    <row r="35" spans="1:3">
      <c r="A35" s="2">
        <v>3500000</v>
      </c>
      <c r="B35" s="2">
        <v>35670562.1068068</v>
      </c>
      <c r="C35" s="2">
        <v>51967500</v>
      </c>
    </row>
    <row r="36" spans="1:3">
      <c r="A36" s="2">
        <v>4000000</v>
      </c>
      <c r="B36" s="2">
        <v>41294012.982465006</v>
      </c>
      <c r="C36" s="2">
        <v>60417500</v>
      </c>
    </row>
    <row r="37" spans="1:3">
      <c r="A37" s="2">
        <v>4500000</v>
      </c>
      <c r="B37" s="2">
        <v>46917463.858123221</v>
      </c>
      <c r="C37" s="2">
        <v>68867500</v>
      </c>
    </row>
    <row r="38" spans="1:3">
      <c r="A38" s="2">
        <v>5000000</v>
      </c>
      <c r="B38" s="2">
        <v>52540914.733781427</v>
      </c>
      <c r="C38" s="2">
        <v>77317500</v>
      </c>
    </row>
    <row r="39" spans="1:3">
      <c r="A39" s="2">
        <v>5500000</v>
      </c>
      <c r="B39" s="2">
        <v>58164365.609439641</v>
      </c>
      <c r="C39" s="2">
        <v>85767500</v>
      </c>
    </row>
    <row r="40" spans="1:3">
      <c r="A40" s="2">
        <v>6000000</v>
      </c>
      <c r="B40" s="2">
        <v>63787816.485097855</v>
      </c>
      <c r="C40" s="2">
        <v>94217500</v>
      </c>
    </row>
    <row r="41" spans="1:3">
      <c r="A41" s="2">
        <v>6500000</v>
      </c>
      <c r="B41" s="2">
        <v>69411267.360756069</v>
      </c>
      <c r="C41" s="2">
        <v>102667500</v>
      </c>
    </row>
  </sheetData>
  <mergeCells count="1">
    <mergeCell ref="A1:C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6"/>
  <dimension ref="A1:M35"/>
  <sheetViews>
    <sheetView topLeftCell="A21" zoomScaleNormal="100" workbookViewId="0">
      <selection activeCell="B35" sqref="B35"/>
    </sheetView>
  </sheetViews>
  <sheetFormatPr baseColWidth="10" defaultColWidth="8.83203125" defaultRowHeight="14"/>
  <cols>
    <col min="1" max="1" width="30.1640625" customWidth="1"/>
    <col min="2" max="2" width="10.33203125" bestFit="1" customWidth="1"/>
  </cols>
  <sheetData>
    <row r="1" spans="1:13" ht="18">
      <c r="A1" s="55" t="s">
        <v>175</v>
      </c>
      <c r="B1" s="55"/>
      <c r="C1" s="55"/>
      <c r="D1" s="55"/>
      <c r="E1" s="55"/>
      <c r="F1" s="55"/>
    </row>
    <row r="3" spans="1:13">
      <c r="A3" t="s">
        <v>318</v>
      </c>
      <c r="B3" s="7">
        <v>0.1</v>
      </c>
    </row>
    <row r="4" spans="1:13">
      <c r="A4" t="s">
        <v>99</v>
      </c>
      <c r="B4" s="7">
        <v>0.25</v>
      </c>
    </row>
    <row r="6" spans="1:13" ht="30">
      <c r="B6" s="33" t="s">
        <v>116</v>
      </c>
      <c r="C6" s="33" t="s">
        <v>176</v>
      </c>
    </row>
    <row r="7" spans="1:13">
      <c r="A7" t="s">
        <v>319</v>
      </c>
      <c r="B7" s="33"/>
      <c r="C7" s="33"/>
    </row>
    <row r="8" spans="1:13">
      <c r="A8" t="s">
        <v>177</v>
      </c>
      <c r="B8" s="2">
        <v>10000</v>
      </c>
      <c r="C8" s="2"/>
    </row>
    <row r="9" spans="1:13">
      <c r="A9" t="s">
        <v>52</v>
      </c>
      <c r="B9" s="2"/>
      <c r="C9" s="2">
        <v>20000</v>
      </c>
    </row>
    <row r="10" spans="1:13">
      <c r="A10" t="s">
        <v>178</v>
      </c>
      <c r="B10">
        <v>5</v>
      </c>
      <c r="C10">
        <v>5</v>
      </c>
    </row>
    <row r="11" spans="1:13">
      <c r="A11" t="s">
        <v>14</v>
      </c>
      <c r="B11" s="2">
        <f>B8/B10</f>
        <v>2000</v>
      </c>
      <c r="C11" s="2">
        <f>C9/C10</f>
        <v>4000</v>
      </c>
    </row>
    <row r="12" spans="1:13">
      <c r="A12" t="s">
        <v>179</v>
      </c>
      <c r="B12" s="2">
        <v>6000</v>
      </c>
    </row>
    <row r="14" spans="1:13" ht="12.5" customHeight="1">
      <c r="A14" s="42" t="s">
        <v>180</v>
      </c>
      <c r="C14">
        <v>0.85</v>
      </c>
    </row>
    <row r="16" spans="1:13">
      <c r="A16" s="57" t="s">
        <v>192</v>
      </c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</row>
    <row r="17" spans="1:13">
      <c r="A17" t="s">
        <v>181</v>
      </c>
      <c r="B17" s="35" t="s">
        <v>44</v>
      </c>
      <c r="C17" s="35" t="s">
        <v>43</v>
      </c>
      <c r="D17" s="35" t="s">
        <v>42</v>
      </c>
      <c r="E17" s="35" t="s">
        <v>41</v>
      </c>
      <c r="F17" s="35" t="s">
        <v>40</v>
      </c>
      <c r="G17" s="35" t="s">
        <v>39</v>
      </c>
      <c r="H17" s="35" t="s">
        <v>38</v>
      </c>
      <c r="I17" s="35" t="s">
        <v>37</v>
      </c>
      <c r="J17" s="35" t="s">
        <v>36</v>
      </c>
      <c r="K17" s="35" t="s">
        <v>35</v>
      </c>
      <c r="L17" s="35" t="s">
        <v>34</v>
      </c>
      <c r="M17" s="35" t="s">
        <v>33</v>
      </c>
    </row>
    <row r="18" spans="1:13">
      <c r="A18" t="s">
        <v>182</v>
      </c>
      <c r="B18" s="2">
        <v>1000</v>
      </c>
      <c r="C18" s="2">
        <v>1000</v>
      </c>
      <c r="D18" s="2">
        <v>1000</v>
      </c>
      <c r="E18" s="2">
        <v>1000</v>
      </c>
      <c r="F18" s="2">
        <v>2000</v>
      </c>
      <c r="G18" s="2">
        <v>2000</v>
      </c>
      <c r="H18" s="2">
        <v>2000</v>
      </c>
      <c r="I18" s="2">
        <v>2000</v>
      </c>
      <c r="J18" s="2">
        <v>2000</v>
      </c>
      <c r="K18" s="2">
        <v>1000</v>
      </c>
      <c r="L18" s="2">
        <v>1000</v>
      </c>
      <c r="M18" s="2">
        <v>1000</v>
      </c>
    </row>
    <row r="19" spans="1:13">
      <c r="A19" t="s">
        <v>183</v>
      </c>
      <c r="B19" s="2">
        <f>B18*$C$14</f>
        <v>850</v>
      </c>
      <c r="C19" s="2">
        <f t="shared" ref="C19:M19" si="0">C18*$C$14</f>
        <v>850</v>
      </c>
      <c r="D19" s="2">
        <f t="shared" si="0"/>
        <v>850</v>
      </c>
      <c r="E19" s="2">
        <f t="shared" si="0"/>
        <v>850</v>
      </c>
      <c r="F19" s="2">
        <f t="shared" si="0"/>
        <v>1700</v>
      </c>
      <c r="G19" s="2">
        <f t="shared" si="0"/>
        <v>1700</v>
      </c>
      <c r="H19" s="2">
        <f t="shared" si="0"/>
        <v>1700</v>
      </c>
      <c r="I19" s="2">
        <f t="shared" si="0"/>
        <v>1700</v>
      </c>
      <c r="J19" s="2">
        <f t="shared" si="0"/>
        <v>1700</v>
      </c>
      <c r="K19" s="2">
        <f t="shared" si="0"/>
        <v>850</v>
      </c>
      <c r="L19" s="2">
        <f t="shared" si="0"/>
        <v>850</v>
      </c>
      <c r="M19" s="2">
        <f t="shared" si="0"/>
        <v>850</v>
      </c>
    </row>
    <row r="20" spans="1:13">
      <c r="A20" t="s">
        <v>184</v>
      </c>
      <c r="B20" s="2">
        <f>B19*(1-$B$4)</f>
        <v>637.5</v>
      </c>
      <c r="C20" s="2">
        <f t="shared" ref="C20:M20" si="1">C19*(1-$B$4)</f>
        <v>637.5</v>
      </c>
      <c r="D20" s="2">
        <f t="shared" si="1"/>
        <v>637.5</v>
      </c>
      <c r="E20" s="2">
        <f t="shared" si="1"/>
        <v>637.5</v>
      </c>
      <c r="F20" s="2">
        <f t="shared" si="1"/>
        <v>1275</v>
      </c>
      <c r="G20" s="2">
        <f t="shared" si="1"/>
        <v>1275</v>
      </c>
      <c r="H20" s="2">
        <f t="shared" si="1"/>
        <v>1275</v>
      </c>
      <c r="I20" s="2">
        <f t="shared" si="1"/>
        <v>1275</v>
      </c>
      <c r="J20" s="2">
        <f t="shared" si="1"/>
        <v>1275</v>
      </c>
      <c r="K20" s="2">
        <f t="shared" si="1"/>
        <v>637.5</v>
      </c>
      <c r="L20" s="2">
        <f t="shared" si="1"/>
        <v>637.5</v>
      </c>
      <c r="M20" s="2">
        <f t="shared" si="1"/>
        <v>637.5</v>
      </c>
    </row>
    <row r="21" spans="1:13">
      <c r="A21" t="s">
        <v>185</v>
      </c>
      <c r="B21">
        <f>($C$11-$B$11)*$B$4*2</f>
        <v>1000</v>
      </c>
      <c r="C21">
        <f t="shared" ref="C21:M21" si="2">($C$11-$B$11)*$B$4*2</f>
        <v>1000</v>
      </c>
      <c r="D21">
        <f t="shared" si="2"/>
        <v>1000</v>
      </c>
      <c r="E21">
        <f t="shared" si="2"/>
        <v>1000</v>
      </c>
      <c r="F21">
        <f t="shared" si="2"/>
        <v>1000</v>
      </c>
      <c r="G21">
        <f t="shared" si="2"/>
        <v>1000</v>
      </c>
      <c r="H21">
        <f t="shared" si="2"/>
        <v>1000</v>
      </c>
      <c r="I21">
        <f t="shared" si="2"/>
        <v>1000</v>
      </c>
      <c r="J21">
        <f t="shared" si="2"/>
        <v>1000</v>
      </c>
      <c r="K21">
        <f t="shared" si="2"/>
        <v>1000</v>
      </c>
      <c r="L21">
        <f t="shared" si="2"/>
        <v>1000</v>
      </c>
      <c r="M21">
        <f t="shared" si="2"/>
        <v>1000</v>
      </c>
    </row>
    <row r="22" spans="1:13">
      <c r="A22" s="11" t="s">
        <v>186</v>
      </c>
      <c r="B22" s="24">
        <f>SUM(B20:M21)</f>
        <v>22837.5</v>
      </c>
    </row>
    <row r="24" spans="1:13">
      <c r="A24" s="57" t="s">
        <v>187</v>
      </c>
      <c r="B24" s="57"/>
      <c r="C24" s="57"/>
    </row>
    <row r="25" spans="1:13">
      <c r="A25" t="s">
        <v>188</v>
      </c>
      <c r="B25" s="2">
        <f>B12*2</f>
        <v>12000</v>
      </c>
    </row>
    <row r="26" spans="1:13">
      <c r="A26" t="s">
        <v>177</v>
      </c>
      <c r="B26" s="2">
        <f>B8*2</f>
        <v>20000</v>
      </c>
    </row>
    <row r="27" spans="1:13">
      <c r="A27" t="s">
        <v>189</v>
      </c>
      <c r="B27" s="2">
        <f>B26-B25</f>
        <v>8000</v>
      </c>
    </row>
    <row r="28" spans="1:13">
      <c r="A28" t="s">
        <v>191</v>
      </c>
      <c r="B28" s="2">
        <f>B27*B4</f>
        <v>2000</v>
      </c>
    </row>
    <row r="29" spans="1:13">
      <c r="A29" s="11" t="s">
        <v>190</v>
      </c>
      <c r="B29" s="24">
        <f>B28+B25</f>
        <v>14000</v>
      </c>
    </row>
    <row r="31" spans="1:13">
      <c r="A31" s="57" t="s">
        <v>193</v>
      </c>
      <c r="B31" s="57"/>
      <c r="C31" s="57"/>
    </row>
    <row r="32" spans="1:13">
      <c r="A32" t="s">
        <v>194</v>
      </c>
      <c r="B32" s="2">
        <f>PV(B3,5,-B22)</f>
        <v>86572.092846365485</v>
      </c>
    </row>
    <row r="33" spans="1:2">
      <c r="A33" t="s">
        <v>195</v>
      </c>
      <c r="B33" s="2">
        <f>B29</f>
        <v>14000</v>
      </c>
    </row>
    <row r="34" spans="1:2">
      <c r="A34" t="s">
        <v>157</v>
      </c>
      <c r="B34" s="2">
        <f>-C9*2</f>
        <v>-40000</v>
      </c>
    </row>
    <row r="35" spans="1:2">
      <c r="A35" s="43" t="s">
        <v>196</v>
      </c>
      <c r="B35" s="44">
        <f>SUM(B32:B34)</f>
        <v>60572.092846365485</v>
      </c>
    </row>
  </sheetData>
  <mergeCells count="4">
    <mergeCell ref="A1:F1"/>
    <mergeCell ref="A16:M16"/>
    <mergeCell ref="A24:C24"/>
    <mergeCell ref="A31:C31"/>
  </mergeCells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/>
  <dimension ref="A1:G25"/>
  <sheetViews>
    <sheetView zoomScaleNormal="100" workbookViewId="0">
      <selection activeCell="B26" sqref="B26"/>
    </sheetView>
  </sheetViews>
  <sheetFormatPr baseColWidth="10" defaultColWidth="8.83203125" defaultRowHeight="14"/>
  <cols>
    <col min="1" max="1" width="25.6640625" bestFit="1" customWidth="1"/>
    <col min="2" max="2" width="9.6640625" bestFit="1" customWidth="1"/>
    <col min="5" max="5" width="9.6640625" bestFit="1" customWidth="1"/>
  </cols>
  <sheetData>
    <row r="1" spans="1:7" ht="18">
      <c r="A1" s="55" t="s">
        <v>197</v>
      </c>
      <c r="B1" s="55"/>
      <c r="C1" s="55"/>
      <c r="D1" s="55"/>
      <c r="E1" s="55"/>
      <c r="F1" s="55"/>
      <c r="G1" s="55"/>
    </row>
    <row r="2" spans="1:7">
      <c r="A2" t="s">
        <v>200</v>
      </c>
      <c r="B2" s="12">
        <v>0.08</v>
      </c>
    </row>
    <row r="3" spans="1:7">
      <c r="A3" t="s">
        <v>99</v>
      </c>
      <c r="B3" s="13">
        <v>2.5560178725512292E-2</v>
      </c>
    </row>
    <row r="4" spans="1:7">
      <c r="B4" s="2"/>
    </row>
    <row r="5" spans="1:7">
      <c r="A5" t="s">
        <v>198</v>
      </c>
      <c r="B5" s="2">
        <v>1000</v>
      </c>
    </row>
    <row r="6" spans="1:7">
      <c r="A6" t="s">
        <v>199</v>
      </c>
      <c r="B6">
        <v>300</v>
      </c>
    </row>
    <row r="7" spans="1:7">
      <c r="A7" t="s">
        <v>205</v>
      </c>
      <c r="B7" s="7">
        <v>0.05</v>
      </c>
    </row>
    <row r="8" spans="1:7">
      <c r="A8" t="s">
        <v>201</v>
      </c>
      <c r="B8">
        <v>60</v>
      </c>
    </row>
    <row r="10" spans="1:7" s="33" customFormat="1" ht="45">
      <c r="A10" s="33" t="s">
        <v>0</v>
      </c>
      <c r="B10" s="33" t="s">
        <v>202</v>
      </c>
      <c r="C10" s="33" t="s">
        <v>203</v>
      </c>
      <c r="D10" s="33" t="s">
        <v>204</v>
      </c>
      <c r="E10" s="33" t="s">
        <v>4</v>
      </c>
    </row>
    <row r="11" spans="1:7">
      <c r="A11" s="35">
        <v>0</v>
      </c>
      <c r="B11" s="3">
        <f>-B5*2</f>
        <v>-2000</v>
      </c>
      <c r="C11" s="3"/>
      <c r="D11" s="3"/>
      <c r="E11" s="3">
        <f>SUM(B11:D11)</f>
        <v>-2000</v>
      </c>
      <c r="F11" t="str">
        <f ca="1">getformula(B11)</f>
        <v>&lt;-- =-B5*2</v>
      </c>
    </row>
    <row r="12" spans="1:7">
      <c r="A12" s="35">
        <v>1</v>
      </c>
      <c r="B12" s="3"/>
      <c r="C12" s="3">
        <f>($B$6*(1+$B$7)^(A12-1))*(1-$B$3)</f>
        <v>292.3319463823463</v>
      </c>
      <c r="D12" s="3">
        <f t="shared" ref="D12:D21" si="0">-$B$8*(1-$B$3)</f>
        <v>-58.466389276469265</v>
      </c>
      <c r="E12" s="3">
        <f t="shared" ref="E12:E21" si="1">SUM(B12:D12)</f>
        <v>233.86555710587703</v>
      </c>
    </row>
    <row r="13" spans="1:7">
      <c r="A13" s="35">
        <v>2</v>
      </c>
      <c r="B13" s="3"/>
      <c r="C13" s="3">
        <f t="shared" ref="C13:C21" si="2">($B$6*(1+$B$7)^(A13-1))*(1-$B$3)</f>
        <v>306.94854370146362</v>
      </c>
      <c r="D13" s="3">
        <f t="shared" si="0"/>
        <v>-58.466389276469265</v>
      </c>
      <c r="E13" s="3">
        <f t="shared" si="1"/>
        <v>248.48215442499435</v>
      </c>
    </row>
    <row r="14" spans="1:7">
      <c r="A14" s="35">
        <v>3</v>
      </c>
      <c r="B14" s="3"/>
      <c r="C14" s="3">
        <f t="shared" si="2"/>
        <v>322.29597088653679</v>
      </c>
      <c r="D14" s="3">
        <f t="shared" si="0"/>
        <v>-58.466389276469265</v>
      </c>
      <c r="E14" s="3">
        <f t="shared" si="1"/>
        <v>263.82958161006752</v>
      </c>
    </row>
    <row r="15" spans="1:7">
      <c r="A15" s="35">
        <v>4</v>
      </c>
      <c r="B15" s="3"/>
      <c r="C15" s="3">
        <f t="shared" si="2"/>
        <v>338.4107694308637</v>
      </c>
      <c r="D15" s="3">
        <f t="shared" si="0"/>
        <v>-58.466389276469265</v>
      </c>
      <c r="E15" s="3">
        <f t="shared" si="1"/>
        <v>279.94438015439442</v>
      </c>
    </row>
    <row r="16" spans="1:7">
      <c r="A16" s="35">
        <v>5</v>
      </c>
      <c r="B16" s="3"/>
      <c r="C16" s="3">
        <f t="shared" si="2"/>
        <v>355.33130790240682</v>
      </c>
      <c r="D16" s="3">
        <f t="shared" si="0"/>
        <v>-58.466389276469265</v>
      </c>
      <c r="E16" s="3">
        <f t="shared" si="1"/>
        <v>296.86491862593755</v>
      </c>
    </row>
    <row r="17" spans="1:5">
      <c r="A17" s="35">
        <v>6</v>
      </c>
      <c r="B17" s="3"/>
      <c r="C17" s="3">
        <f t="shared" si="2"/>
        <v>373.0978732975272</v>
      </c>
      <c r="D17" s="3">
        <f t="shared" si="0"/>
        <v>-58.466389276469265</v>
      </c>
      <c r="E17" s="3">
        <f t="shared" si="1"/>
        <v>314.63148402105793</v>
      </c>
    </row>
    <row r="18" spans="1:5">
      <c r="A18" s="35">
        <v>7</v>
      </c>
      <c r="B18" s="3"/>
      <c r="C18" s="3">
        <f t="shared" si="2"/>
        <v>391.75276696240348</v>
      </c>
      <c r="D18" s="3">
        <f t="shared" si="0"/>
        <v>-58.466389276469265</v>
      </c>
      <c r="E18" s="3">
        <f t="shared" si="1"/>
        <v>333.28637768593421</v>
      </c>
    </row>
    <row r="19" spans="1:5">
      <c r="A19" s="35">
        <v>8</v>
      </c>
      <c r="B19" s="3"/>
      <c r="C19" s="3">
        <f t="shared" si="2"/>
        <v>411.34040531052375</v>
      </c>
      <c r="D19" s="3">
        <f t="shared" si="0"/>
        <v>-58.466389276469265</v>
      </c>
      <c r="E19" s="3">
        <f t="shared" si="1"/>
        <v>352.87401603405448</v>
      </c>
    </row>
    <row r="20" spans="1:5">
      <c r="A20" s="35">
        <v>9</v>
      </c>
      <c r="B20" s="3"/>
      <c r="C20" s="3">
        <f t="shared" si="2"/>
        <v>431.90742557604989</v>
      </c>
      <c r="D20" s="3">
        <f t="shared" si="0"/>
        <v>-58.466389276469265</v>
      </c>
      <c r="E20" s="3">
        <f t="shared" si="1"/>
        <v>373.44103629958062</v>
      </c>
    </row>
    <row r="21" spans="1:5">
      <c r="A21" s="35">
        <v>10</v>
      </c>
      <c r="B21" s="3"/>
      <c r="C21" s="3">
        <f t="shared" si="2"/>
        <v>453.50279685485242</v>
      </c>
      <c r="D21" s="3">
        <f t="shared" si="0"/>
        <v>-58.466389276469265</v>
      </c>
      <c r="E21" s="3">
        <f t="shared" si="1"/>
        <v>395.03640757838315</v>
      </c>
    </row>
    <row r="23" spans="1:5">
      <c r="A23" s="11" t="s">
        <v>2</v>
      </c>
      <c r="B23" s="24">
        <f>E11+NPV(B2,E12:E21)</f>
        <v>0</v>
      </c>
    </row>
    <row r="25" spans="1:5" ht="30">
      <c r="A25" s="39" t="s">
        <v>206</v>
      </c>
      <c r="B25" s="41">
        <f>B3</f>
        <v>2.5560178725512292E-2</v>
      </c>
    </row>
  </sheetData>
  <mergeCells count="1">
    <mergeCell ref="A1:G1"/>
  </mergeCells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0"/>
  <dimension ref="A1:O35"/>
  <sheetViews>
    <sheetView zoomScaleNormal="100" workbookViewId="0">
      <selection activeCell="F37" sqref="F37"/>
    </sheetView>
  </sheetViews>
  <sheetFormatPr baseColWidth="10" defaultColWidth="8.83203125" defaultRowHeight="14"/>
  <cols>
    <col min="1" max="1" width="20.5" bestFit="1" customWidth="1"/>
    <col min="2" max="2" width="10.83203125" bestFit="1" customWidth="1"/>
    <col min="5" max="6" width="10" bestFit="1" customWidth="1"/>
  </cols>
  <sheetData>
    <row r="1" spans="1:6" ht="18">
      <c r="A1" s="55" t="s">
        <v>224</v>
      </c>
      <c r="B1" s="55"/>
      <c r="C1" s="55"/>
      <c r="D1" s="55"/>
      <c r="E1" s="55"/>
      <c r="F1" s="55"/>
    </row>
    <row r="2" spans="1:6">
      <c r="A2" t="s">
        <v>1</v>
      </c>
      <c r="B2" s="7">
        <v>0.12</v>
      </c>
    </row>
    <row r="3" spans="1:6">
      <c r="A3" t="s">
        <v>63</v>
      </c>
      <c r="B3" s="7">
        <v>0.35</v>
      </c>
    </row>
    <row r="5" spans="1:6">
      <c r="A5" t="s">
        <v>225</v>
      </c>
      <c r="B5" s="2">
        <v>200000</v>
      </c>
    </row>
    <row r="7" spans="1:6">
      <c r="A7" s="57" t="s">
        <v>226</v>
      </c>
      <c r="B7" s="57"/>
    </row>
    <row r="8" spans="1:6">
      <c r="A8" t="s">
        <v>227</v>
      </c>
      <c r="B8">
        <v>3</v>
      </c>
    </row>
    <row r="9" spans="1:6">
      <c r="A9" t="s">
        <v>52</v>
      </c>
      <c r="B9" s="2">
        <v>250000</v>
      </c>
    </row>
    <row r="10" spans="1:6">
      <c r="A10" t="s">
        <v>228</v>
      </c>
      <c r="B10">
        <v>10</v>
      </c>
    </row>
    <row r="11" spans="1:6">
      <c r="A11" t="s">
        <v>229</v>
      </c>
      <c r="B11" s="47">
        <f>B9/B10</f>
        <v>25000</v>
      </c>
    </row>
    <row r="13" spans="1:6">
      <c r="A13" t="s">
        <v>230</v>
      </c>
      <c r="B13" s="2">
        <v>5000</v>
      </c>
    </row>
    <row r="14" spans="1:6">
      <c r="A14" t="s">
        <v>231</v>
      </c>
      <c r="B14">
        <v>150</v>
      </c>
    </row>
    <row r="15" spans="1:6">
      <c r="A15" t="s">
        <v>166</v>
      </c>
      <c r="B15" s="2">
        <v>300000</v>
      </c>
    </row>
    <row r="16" spans="1:6">
      <c r="A16" t="s">
        <v>232</v>
      </c>
      <c r="B16">
        <v>50</v>
      </c>
    </row>
    <row r="19" spans="1:15">
      <c r="A19" t="s">
        <v>0</v>
      </c>
      <c r="B19" s="34">
        <v>0</v>
      </c>
      <c r="C19" s="34">
        <v>1</v>
      </c>
      <c r="D19" s="34">
        <v>2</v>
      </c>
      <c r="E19" s="34">
        <v>3</v>
      </c>
      <c r="F19" s="34">
        <v>4</v>
      </c>
      <c r="G19" s="34">
        <v>5</v>
      </c>
      <c r="H19" s="34">
        <v>6</v>
      </c>
      <c r="I19" s="34">
        <v>7</v>
      </c>
      <c r="J19" s="34">
        <v>8</v>
      </c>
      <c r="K19" s="34">
        <v>9</v>
      </c>
      <c r="L19" s="34">
        <v>10</v>
      </c>
      <c r="M19" s="34">
        <v>11</v>
      </c>
      <c r="N19" s="34">
        <v>12</v>
      </c>
      <c r="O19" s="34">
        <v>13</v>
      </c>
    </row>
    <row r="20" spans="1:15">
      <c r="A20" t="s">
        <v>235</v>
      </c>
      <c r="B20" s="2">
        <f>-$B$5</f>
        <v>-200000</v>
      </c>
      <c r="C20" s="2">
        <f t="shared" ref="C20:E20" si="0">-$B$5</f>
        <v>-200000</v>
      </c>
      <c r="D20" s="2">
        <f t="shared" si="0"/>
        <v>-200000</v>
      </c>
      <c r="E20" s="2">
        <f t="shared" si="0"/>
        <v>-200000</v>
      </c>
    </row>
    <row r="22" spans="1:15">
      <c r="E22" s="2"/>
    </row>
    <row r="23" spans="1:15">
      <c r="A23" t="s">
        <v>233</v>
      </c>
      <c r="E23" s="2"/>
      <c r="F23" s="2">
        <f>$B$13*$B$14</f>
        <v>750000</v>
      </c>
      <c r="G23" s="2">
        <f t="shared" ref="G23:O23" si="1">$B$13*$B$14</f>
        <v>750000</v>
      </c>
      <c r="H23" s="2">
        <f t="shared" si="1"/>
        <v>750000</v>
      </c>
      <c r="I23" s="2">
        <f t="shared" si="1"/>
        <v>750000</v>
      </c>
      <c r="J23" s="2">
        <f t="shared" si="1"/>
        <v>750000</v>
      </c>
      <c r="K23" s="2">
        <f t="shared" si="1"/>
        <v>750000</v>
      </c>
      <c r="L23" s="2">
        <f t="shared" si="1"/>
        <v>750000</v>
      </c>
      <c r="M23" s="2">
        <f t="shared" si="1"/>
        <v>750000</v>
      </c>
      <c r="N23" s="2">
        <f t="shared" si="1"/>
        <v>750000</v>
      </c>
      <c r="O23" s="2">
        <f t="shared" si="1"/>
        <v>750000</v>
      </c>
    </row>
    <row r="24" spans="1:15">
      <c r="A24" t="s">
        <v>166</v>
      </c>
      <c r="E24" s="2"/>
      <c r="F24" s="2">
        <f>-$B$15</f>
        <v>-300000</v>
      </c>
      <c r="G24" s="2">
        <f t="shared" ref="G24:O24" si="2">-$B$15</f>
        <v>-300000</v>
      </c>
      <c r="H24" s="2">
        <f t="shared" si="2"/>
        <v>-300000</v>
      </c>
      <c r="I24" s="2">
        <f t="shared" si="2"/>
        <v>-300000</v>
      </c>
      <c r="J24" s="2">
        <f t="shared" si="2"/>
        <v>-300000</v>
      </c>
      <c r="K24" s="2">
        <f t="shared" si="2"/>
        <v>-300000</v>
      </c>
      <c r="L24" s="2">
        <f t="shared" si="2"/>
        <v>-300000</v>
      </c>
      <c r="M24" s="2">
        <f t="shared" si="2"/>
        <v>-300000</v>
      </c>
      <c r="N24" s="2">
        <f t="shared" si="2"/>
        <v>-300000</v>
      </c>
      <c r="O24" s="2">
        <f t="shared" si="2"/>
        <v>-300000</v>
      </c>
    </row>
    <row r="25" spans="1:15">
      <c r="A25" t="s">
        <v>234</v>
      </c>
      <c r="E25" s="2"/>
      <c r="F25" s="2">
        <f>-$B$13*$B$16</f>
        <v>-250000</v>
      </c>
      <c r="G25" s="2">
        <f t="shared" ref="G25:O25" si="3">-$B$13*$B$16</f>
        <v>-250000</v>
      </c>
      <c r="H25" s="2">
        <f t="shared" si="3"/>
        <v>-250000</v>
      </c>
      <c r="I25" s="2">
        <f t="shared" si="3"/>
        <v>-250000</v>
      </c>
      <c r="J25" s="2">
        <f t="shared" si="3"/>
        <v>-250000</v>
      </c>
      <c r="K25" s="2">
        <f t="shared" si="3"/>
        <v>-250000</v>
      </c>
      <c r="L25" s="2">
        <f t="shared" si="3"/>
        <v>-250000</v>
      </c>
      <c r="M25" s="2">
        <f t="shared" si="3"/>
        <v>-250000</v>
      </c>
      <c r="N25" s="2">
        <f t="shared" si="3"/>
        <v>-250000</v>
      </c>
      <c r="O25" s="2">
        <f t="shared" si="3"/>
        <v>-250000</v>
      </c>
    </row>
    <row r="26" spans="1:15">
      <c r="A26" t="s">
        <v>14</v>
      </c>
      <c r="F26" s="2">
        <f>-$B$11</f>
        <v>-25000</v>
      </c>
      <c r="G26" s="2">
        <f t="shared" ref="G26:O26" si="4">-$B$11</f>
        <v>-25000</v>
      </c>
      <c r="H26" s="2">
        <f t="shared" si="4"/>
        <v>-25000</v>
      </c>
      <c r="I26" s="2">
        <f t="shared" si="4"/>
        <v>-25000</v>
      </c>
      <c r="J26" s="2">
        <f t="shared" si="4"/>
        <v>-25000</v>
      </c>
      <c r="K26" s="2">
        <f t="shared" si="4"/>
        <v>-25000</v>
      </c>
      <c r="L26" s="2">
        <f t="shared" si="4"/>
        <v>-25000</v>
      </c>
      <c r="M26" s="2">
        <f t="shared" si="4"/>
        <v>-25000</v>
      </c>
      <c r="N26" s="2">
        <f t="shared" si="4"/>
        <v>-25000</v>
      </c>
      <c r="O26" s="2">
        <f t="shared" si="4"/>
        <v>-25000</v>
      </c>
    </row>
    <row r="27" spans="1:15">
      <c r="A27" t="s">
        <v>172</v>
      </c>
      <c r="B27" s="2">
        <f>SUM(B20:B26)</f>
        <v>-200000</v>
      </c>
      <c r="C27" s="2">
        <f t="shared" ref="C27:O27" si="5">SUM(C20:C26)</f>
        <v>-200000</v>
      </c>
      <c r="D27" s="2">
        <f t="shared" si="5"/>
        <v>-200000</v>
      </c>
      <c r="E27" s="2">
        <f t="shared" si="5"/>
        <v>-200000</v>
      </c>
      <c r="F27" s="2">
        <f t="shared" si="5"/>
        <v>175000</v>
      </c>
      <c r="G27" s="2">
        <f t="shared" si="5"/>
        <v>175000</v>
      </c>
      <c r="H27" s="2">
        <f t="shared" si="5"/>
        <v>175000</v>
      </c>
      <c r="I27" s="2">
        <f t="shared" si="5"/>
        <v>175000</v>
      </c>
      <c r="J27" s="2">
        <f t="shared" si="5"/>
        <v>175000</v>
      </c>
      <c r="K27" s="2">
        <f t="shared" si="5"/>
        <v>175000</v>
      </c>
      <c r="L27" s="2">
        <f t="shared" si="5"/>
        <v>175000</v>
      </c>
      <c r="M27" s="2">
        <f t="shared" si="5"/>
        <v>175000</v>
      </c>
      <c r="N27" s="2">
        <f t="shared" si="5"/>
        <v>175000</v>
      </c>
      <c r="O27" s="2">
        <f t="shared" si="5"/>
        <v>175000</v>
      </c>
    </row>
    <row r="28" spans="1:15">
      <c r="A28" t="s">
        <v>218</v>
      </c>
      <c r="B28" s="2">
        <f>-B27*$B$3</f>
        <v>70000</v>
      </c>
      <c r="C28" s="2">
        <f t="shared" ref="C28:O28" si="6">-C27*$B$3</f>
        <v>70000</v>
      </c>
      <c r="D28" s="2">
        <f t="shared" si="6"/>
        <v>70000</v>
      </c>
      <c r="E28" s="2">
        <f t="shared" si="6"/>
        <v>70000</v>
      </c>
      <c r="F28" s="2">
        <f t="shared" si="6"/>
        <v>-61249.999999999993</v>
      </c>
      <c r="G28" s="2">
        <f t="shared" si="6"/>
        <v>-61249.999999999993</v>
      </c>
      <c r="H28" s="2">
        <f t="shared" si="6"/>
        <v>-61249.999999999993</v>
      </c>
      <c r="I28" s="2">
        <f t="shared" si="6"/>
        <v>-61249.999999999993</v>
      </c>
      <c r="J28" s="2">
        <f t="shared" si="6"/>
        <v>-61249.999999999993</v>
      </c>
      <c r="K28" s="2">
        <f t="shared" si="6"/>
        <v>-61249.999999999993</v>
      </c>
      <c r="L28" s="2">
        <f t="shared" si="6"/>
        <v>-61249.999999999993</v>
      </c>
      <c r="M28" s="2">
        <f t="shared" si="6"/>
        <v>-61249.999999999993</v>
      </c>
      <c r="N28" s="2">
        <f t="shared" si="6"/>
        <v>-61249.999999999993</v>
      </c>
      <c r="O28" s="2">
        <f t="shared" si="6"/>
        <v>-61249.999999999993</v>
      </c>
    </row>
    <row r="29" spans="1:15">
      <c r="A29" t="s">
        <v>236</v>
      </c>
      <c r="B29" s="2">
        <f>SUM(B27:B28)</f>
        <v>-130000</v>
      </c>
      <c r="C29" s="2">
        <f t="shared" ref="C29:O29" si="7">SUM(C27:C28)</f>
        <v>-130000</v>
      </c>
      <c r="D29" s="2">
        <f t="shared" si="7"/>
        <v>-130000</v>
      </c>
      <c r="E29" s="2">
        <f t="shared" si="7"/>
        <v>-130000</v>
      </c>
      <c r="F29" s="2">
        <f t="shared" si="7"/>
        <v>113750</v>
      </c>
      <c r="G29" s="2">
        <f t="shared" si="7"/>
        <v>113750</v>
      </c>
      <c r="H29" s="2">
        <f t="shared" si="7"/>
        <v>113750</v>
      </c>
      <c r="I29" s="2">
        <f t="shared" si="7"/>
        <v>113750</v>
      </c>
      <c r="J29" s="2">
        <f t="shared" si="7"/>
        <v>113750</v>
      </c>
      <c r="K29" s="2">
        <f t="shared" si="7"/>
        <v>113750</v>
      </c>
      <c r="L29" s="2">
        <f t="shared" si="7"/>
        <v>113750</v>
      </c>
      <c r="M29" s="2">
        <f t="shared" si="7"/>
        <v>113750</v>
      </c>
      <c r="N29" s="2">
        <f t="shared" si="7"/>
        <v>113750</v>
      </c>
      <c r="O29" s="2">
        <f t="shared" si="7"/>
        <v>113750</v>
      </c>
    </row>
    <row r="30" spans="1:15">
      <c r="A30" t="s">
        <v>11</v>
      </c>
      <c r="F30" s="2">
        <f>$B$11</f>
        <v>25000</v>
      </c>
      <c r="G30" s="2">
        <f t="shared" ref="G30:O30" si="8">$B$11</f>
        <v>25000</v>
      </c>
      <c r="H30" s="2">
        <f t="shared" si="8"/>
        <v>25000</v>
      </c>
      <c r="I30" s="2">
        <f t="shared" si="8"/>
        <v>25000</v>
      </c>
      <c r="J30" s="2">
        <f t="shared" si="8"/>
        <v>25000</v>
      </c>
      <c r="K30" s="2">
        <f t="shared" si="8"/>
        <v>25000</v>
      </c>
      <c r="L30" s="2">
        <f t="shared" si="8"/>
        <v>25000</v>
      </c>
      <c r="M30" s="2">
        <f t="shared" si="8"/>
        <v>25000</v>
      </c>
      <c r="N30" s="2">
        <f t="shared" si="8"/>
        <v>25000</v>
      </c>
      <c r="O30" s="2">
        <f t="shared" si="8"/>
        <v>25000</v>
      </c>
    </row>
    <row r="31" spans="1:15">
      <c r="A31" t="s">
        <v>237</v>
      </c>
      <c r="E31" s="2">
        <f>-B9</f>
        <v>-250000</v>
      </c>
    </row>
    <row r="32" spans="1:15">
      <c r="A32" t="s">
        <v>19</v>
      </c>
      <c r="B32" s="2">
        <f>SUM(B29:B31)</f>
        <v>-130000</v>
      </c>
      <c r="C32" s="2">
        <f t="shared" ref="C32:O32" si="9">SUM(C29:C31)</f>
        <v>-130000</v>
      </c>
      <c r="D32" s="2">
        <f t="shared" si="9"/>
        <v>-130000</v>
      </c>
      <c r="E32" s="2">
        <f t="shared" si="9"/>
        <v>-380000</v>
      </c>
      <c r="F32" s="2">
        <f t="shared" si="9"/>
        <v>138750</v>
      </c>
      <c r="G32" s="2">
        <f t="shared" si="9"/>
        <v>138750</v>
      </c>
      <c r="H32" s="2">
        <f t="shared" si="9"/>
        <v>138750</v>
      </c>
      <c r="I32" s="2">
        <f t="shared" si="9"/>
        <v>138750</v>
      </c>
      <c r="J32" s="2">
        <f t="shared" si="9"/>
        <v>138750</v>
      </c>
      <c r="K32" s="2">
        <f t="shared" si="9"/>
        <v>138750</v>
      </c>
      <c r="L32" s="2">
        <f t="shared" si="9"/>
        <v>138750</v>
      </c>
      <c r="M32" s="2">
        <f t="shared" si="9"/>
        <v>138750</v>
      </c>
      <c r="N32" s="2">
        <f t="shared" si="9"/>
        <v>138750</v>
      </c>
      <c r="O32" s="2">
        <f t="shared" si="9"/>
        <v>138750</v>
      </c>
    </row>
    <row r="34" spans="1:2">
      <c r="A34" s="11" t="s">
        <v>2</v>
      </c>
      <c r="B34" s="24">
        <f>B32+NPV(B2,C32:O32)</f>
        <v>-62169.872625496093</v>
      </c>
    </row>
    <row r="35" spans="1:2">
      <c r="A35" s="11" t="s">
        <v>5</v>
      </c>
      <c r="B35" s="45">
        <f>IRR(B32:O32)</f>
        <v>9.9830568893104932E-2</v>
      </c>
    </row>
  </sheetData>
  <mergeCells count="2">
    <mergeCell ref="A1:F1"/>
    <mergeCell ref="A7:B7"/>
  </mergeCells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2"/>
  <dimension ref="A1:H26"/>
  <sheetViews>
    <sheetView zoomScale="150" zoomScaleNormal="150" workbookViewId="0">
      <selection activeCell="B24" sqref="B24:C24"/>
    </sheetView>
  </sheetViews>
  <sheetFormatPr baseColWidth="10" defaultColWidth="8.83203125" defaultRowHeight="14"/>
  <cols>
    <col min="1" max="1" width="26.1640625" bestFit="1" customWidth="1"/>
    <col min="2" max="2" width="11.1640625" customWidth="1"/>
    <col min="3" max="3" width="10" customWidth="1"/>
    <col min="4" max="4" width="31" bestFit="1" customWidth="1"/>
  </cols>
  <sheetData>
    <row r="1" spans="1:8" ht="18">
      <c r="A1" s="55" t="s">
        <v>238</v>
      </c>
      <c r="B1" s="55"/>
      <c r="C1" s="55"/>
      <c r="D1" s="55"/>
      <c r="E1" s="55"/>
      <c r="F1" s="55"/>
      <c r="G1" s="55"/>
      <c r="H1" s="55"/>
    </row>
    <row r="2" spans="1:8">
      <c r="A2" t="s">
        <v>64</v>
      </c>
      <c r="B2" s="7">
        <v>7.0000000000000007E-2</v>
      </c>
    </row>
    <row r="4" spans="1:8" s="35" customFormat="1" ht="30">
      <c r="B4" s="33" t="s">
        <v>239</v>
      </c>
      <c r="C4" s="33" t="s">
        <v>240</v>
      </c>
    </row>
    <row r="5" spans="1:8">
      <c r="A5" t="s">
        <v>241</v>
      </c>
      <c r="B5" s="2">
        <v>400000</v>
      </c>
      <c r="C5" s="2">
        <v>150000</v>
      </c>
    </row>
    <row r="6" spans="1:8">
      <c r="A6" t="s">
        <v>242</v>
      </c>
      <c r="B6" s="2">
        <v>20000</v>
      </c>
      <c r="C6" s="2">
        <v>10000</v>
      </c>
    </row>
    <row r="7" spans="1:8">
      <c r="A7" t="s">
        <v>243</v>
      </c>
      <c r="B7" s="7">
        <v>0.1</v>
      </c>
      <c r="C7" s="7">
        <v>0.06</v>
      </c>
    </row>
    <row r="8" spans="1:8">
      <c r="A8" t="s">
        <v>244</v>
      </c>
      <c r="B8" s="2">
        <v>20000</v>
      </c>
      <c r="C8" s="2">
        <v>20000</v>
      </c>
    </row>
    <row r="10" spans="1:8">
      <c r="A10" s="35" t="s">
        <v>181</v>
      </c>
      <c r="B10" s="54" t="s">
        <v>143</v>
      </c>
      <c r="C10" s="54"/>
    </row>
    <row r="11" spans="1:8">
      <c r="A11" s="35">
        <v>0</v>
      </c>
      <c r="B11" s="2">
        <f>-B5</f>
        <v>-400000</v>
      </c>
      <c r="C11" s="2">
        <f>-C5</f>
        <v>-150000</v>
      </c>
    </row>
    <row r="12" spans="1:8">
      <c r="A12" s="35">
        <v>1</v>
      </c>
      <c r="B12" s="2">
        <f>B6</f>
        <v>20000</v>
      </c>
      <c r="C12" s="2">
        <f>C6</f>
        <v>10000</v>
      </c>
    </row>
    <row r="13" spans="1:8">
      <c r="A13" s="35">
        <v>2</v>
      </c>
      <c r="B13" s="2">
        <f>B12*(1+$B$7)</f>
        <v>22000</v>
      </c>
      <c r="C13" s="2">
        <f>C12*(1+$C$7)</f>
        <v>10600</v>
      </c>
    </row>
    <row r="14" spans="1:8">
      <c r="A14" s="35">
        <v>3</v>
      </c>
      <c r="B14" s="2">
        <f t="shared" ref="B14:B23" si="0">B13*(1+$B$7)</f>
        <v>24200.000000000004</v>
      </c>
      <c r="C14" s="2">
        <f t="shared" ref="C14:C23" si="1">C13*(1+$C$7)</f>
        <v>11236</v>
      </c>
    </row>
    <row r="15" spans="1:8">
      <c r="A15" s="35">
        <v>4</v>
      </c>
      <c r="B15" s="2">
        <f t="shared" si="0"/>
        <v>26620.000000000007</v>
      </c>
      <c r="C15" s="2">
        <f t="shared" si="1"/>
        <v>11910.16</v>
      </c>
    </row>
    <row r="16" spans="1:8">
      <c r="A16" s="35">
        <v>5</v>
      </c>
      <c r="B16" s="2">
        <f t="shared" si="0"/>
        <v>29282.000000000011</v>
      </c>
      <c r="C16" s="2">
        <f t="shared" si="1"/>
        <v>12624.7696</v>
      </c>
    </row>
    <row r="17" spans="1:3">
      <c r="A17" s="35">
        <v>6</v>
      </c>
      <c r="B17" s="2">
        <f t="shared" si="0"/>
        <v>32210.200000000015</v>
      </c>
      <c r="C17" s="2">
        <f t="shared" si="1"/>
        <v>13382.255776</v>
      </c>
    </row>
    <row r="18" spans="1:3">
      <c r="A18" s="35">
        <v>7</v>
      </c>
      <c r="B18" s="2">
        <f t="shared" si="0"/>
        <v>35431.220000000023</v>
      </c>
      <c r="C18" s="2">
        <f t="shared" si="1"/>
        <v>14185.191122560002</v>
      </c>
    </row>
    <row r="19" spans="1:3">
      <c r="A19" s="35">
        <v>8</v>
      </c>
      <c r="B19" s="2">
        <f t="shared" si="0"/>
        <v>38974.342000000026</v>
      </c>
      <c r="C19" s="2">
        <f t="shared" si="1"/>
        <v>15036.302589913603</v>
      </c>
    </row>
    <row r="20" spans="1:3">
      <c r="A20" s="35">
        <v>9</v>
      </c>
      <c r="B20" s="2">
        <f t="shared" si="0"/>
        <v>42871.776200000029</v>
      </c>
      <c r="C20" s="2">
        <f t="shared" si="1"/>
        <v>15938.48074530842</v>
      </c>
    </row>
    <row r="21" spans="1:3">
      <c r="A21" s="35">
        <v>10</v>
      </c>
      <c r="B21" s="2">
        <f t="shared" si="0"/>
        <v>47158.953820000039</v>
      </c>
      <c r="C21" s="2">
        <f t="shared" si="1"/>
        <v>16894.789590026925</v>
      </c>
    </row>
    <row r="22" spans="1:3">
      <c r="A22" s="35">
        <v>11</v>
      </c>
      <c r="B22" s="2">
        <f t="shared" si="0"/>
        <v>51874.849202000049</v>
      </c>
      <c r="C22" s="2">
        <f t="shared" si="1"/>
        <v>17908.476965428541</v>
      </c>
    </row>
    <row r="23" spans="1:3">
      <c r="A23" s="35">
        <v>12</v>
      </c>
      <c r="B23" s="2">
        <f t="shared" si="0"/>
        <v>57062.33412220006</v>
      </c>
      <c r="C23" s="2">
        <f t="shared" si="1"/>
        <v>18982.985583354253</v>
      </c>
    </row>
    <row r="24" spans="1:3" ht="30">
      <c r="A24" s="39" t="s">
        <v>245</v>
      </c>
      <c r="B24" s="2">
        <f>B8/$B$2+B8</f>
        <v>305714.28571428568</v>
      </c>
      <c r="C24" s="2">
        <f>C8/$B$2+C8</f>
        <v>305714.28571428568</v>
      </c>
    </row>
    <row r="26" spans="1:3">
      <c r="A26" s="11" t="s">
        <v>2</v>
      </c>
      <c r="B26" s="24">
        <f>B11+NPV($B$2,B12:B24)</f>
        <v>-10806.285227191634</v>
      </c>
      <c r="C26" s="24">
        <f>C11+NPV($B$2,C12:C24)</f>
        <v>83421.261946069309</v>
      </c>
    </row>
  </sheetData>
  <mergeCells count="2">
    <mergeCell ref="A1:H1"/>
    <mergeCell ref="B10:C10"/>
  </mergeCells>
  <phoneticPr fontId="10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4"/>
  <dimension ref="A1:L44"/>
  <sheetViews>
    <sheetView tabSelected="1" workbookViewId="0">
      <selection activeCell="E28" sqref="E28"/>
    </sheetView>
  </sheetViews>
  <sheetFormatPr baseColWidth="10" defaultColWidth="8.83203125" defaultRowHeight="14"/>
  <cols>
    <col min="1" max="1" width="24.5" bestFit="1" customWidth="1"/>
    <col min="2" max="2" width="12.83203125" customWidth="1"/>
    <col min="3" max="3" width="33.6640625" bestFit="1" customWidth="1"/>
    <col min="4" max="12" width="12.6640625" bestFit="1" customWidth="1"/>
  </cols>
  <sheetData>
    <row r="1" spans="1:12" ht="18">
      <c r="A1" s="55" t="s">
        <v>207</v>
      </c>
      <c r="B1" s="55"/>
      <c r="C1" s="55"/>
      <c r="D1" s="55"/>
      <c r="E1" s="55"/>
      <c r="F1" s="55"/>
      <c r="G1" s="55"/>
      <c r="H1" s="55"/>
    </row>
    <row r="2" spans="1:12">
      <c r="A2" t="s">
        <v>1</v>
      </c>
      <c r="B2" s="7">
        <v>0.15</v>
      </c>
    </row>
    <row r="3" spans="1:12">
      <c r="A3" t="s">
        <v>99</v>
      </c>
      <c r="B3" s="7">
        <v>0.3</v>
      </c>
    </row>
    <row r="4" spans="1:12">
      <c r="A4" t="s">
        <v>72</v>
      </c>
      <c r="B4" s="2">
        <v>70000000</v>
      </c>
    </row>
    <row r="5" spans="1:12">
      <c r="A5" t="s">
        <v>9</v>
      </c>
      <c r="B5" s="2">
        <f>B4/5</f>
        <v>14000000</v>
      </c>
      <c r="C5" t="str">
        <f ca="1">getformula(B5)</f>
        <v>&lt;-- =B4/5</v>
      </c>
    </row>
    <row r="6" spans="1:12">
      <c r="A6" t="s">
        <v>208</v>
      </c>
      <c r="B6" s="2">
        <v>75000</v>
      </c>
    </row>
    <row r="7" spans="1:12">
      <c r="A7" t="s">
        <v>209</v>
      </c>
      <c r="B7" s="2">
        <v>1000</v>
      </c>
    </row>
    <row r="8" spans="1:12">
      <c r="A8" t="s">
        <v>210</v>
      </c>
      <c r="B8" s="2">
        <v>50000000</v>
      </c>
    </row>
    <row r="10" spans="1:12">
      <c r="A10" t="s">
        <v>211</v>
      </c>
      <c r="B10" s="2">
        <v>200000</v>
      </c>
      <c r="C10" t="s">
        <v>222</v>
      </c>
    </row>
    <row r="11" spans="1:12">
      <c r="A11" t="s">
        <v>212</v>
      </c>
      <c r="B11" s="2">
        <v>1500</v>
      </c>
    </row>
    <row r="12" spans="1:12">
      <c r="A12" t="s">
        <v>213</v>
      </c>
      <c r="B12" s="2">
        <f>B10*B11</f>
        <v>300000000</v>
      </c>
      <c r="C12" t="str">
        <f ca="1">getformula(B12)</f>
        <v>&lt;-- =B10*B11</v>
      </c>
    </row>
    <row r="13" spans="1:12">
      <c r="A13" t="s">
        <v>214</v>
      </c>
      <c r="B13">
        <f>ROUNDUP(B10/B6,0)</f>
        <v>3</v>
      </c>
      <c r="C13" t="str">
        <f ca="1">getformula(B13)</f>
        <v>&lt;-- =ROUNDUP(B10/B6,0)</v>
      </c>
    </row>
    <row r="15" spans="1:12">
      <c r="A15" t="s">
        <v>0</v>
      </c>
      <c r="B15" s="34">
        <v>0</v>
      </c>
      <c r="C15" s="34">
        <v>1</v>
      </c>
      <c r="D15" s="34">
        <v>2</v>
      </c>
      <c r="E15" s="34">
        <v>3</v>
      </c>
      <c r="F15" s="34">
        <v>4</v>
      </c>
      <c r="G15" s="34">
        <v>5</v>
      </c>
      <c r="H15" s="34">
        <v>6</v>
      </c>
      <c r="I15" s="34">
        <v>7</v>
      </c>
      <c r="J15" s="34">
        <v>8</v>
      </c>
      <c r="K15" s="34">
        <v>9</v>
      </c>
      <c r="L15" s="34">
        <v>10</v>
      </c>
    </row>
    <row r="16" spans="1:12">
      <c r="A16" t="s">
        <v>215</v>
      </c>
      <c r="B16" s="2">
        <f>-$B$4*$B$13</f>
        <v>-210000000</v>
      </c>
      <c r="C16" s="2"/>
      <c r="D16" s="2"/>
      <c r="E16" s="2"/>
      <c r="F16" s="2"/>
      <c r="G16" s="2">
        <f>-$B$4*$B$13</f>
        <v>-210000000</v>
      </c>
      <c r="H16" s="2"/>
      <c r="I16" s="2"/>
      <c r="J16" s="2"/>
      <c r="K16" s="2"/>
      <c r="L16" s="2"/>
    </row>
    <row r="17" spans="1:12">
      <c r="A17" t="s">
        <v>171</v>
      </c>
      <c r="B17" s="2"/>
      <c r="C17" s="2">
        <f>$B$12</f>
        <v>300000000</v>
      </c>
      <c r="D17" s="2">
        <f t="shared" ref="D17:L17" si="0">$B$12</f>
        <v>300000000</v>
      </c>
      <c r="E17" s="2">
        <f t="shared" si="0"/>
        <v>300000000</v>
      </c>
      <c r="F17" s="2">
        <f t="shared" si="0"/>
        <v>300000000</v>
      </c>
      <c r="G17" s="2">
        <f t="shared" si="0"/>
        <v>300000000</v>
      </c>
      <c r="H17" s="2">
        <f t="shared" si="0"/>
        <v>300000000</v>
      </c>
      <c r="I17" s="2">
        <f t="shared" si="0"/>
        <v>300000000</v>
      </c>
      <c r="J17" s="2">
        <f t="shared" si="0"/>
        <v>300000000</v>
      </c>
      <c r="K17" s="2">
        <f t="shared" si="0"/>
        <v>300000000</v>
      </c>
      <c r="L17" s="2">
        <f t="shared" si="0"/>
        <v>300000000</v>
      </c>
    </row>
    <row r="18" spans="1:12">
      <c r="A18" t="s">
        <v>216</v>
      </c>
      <c r="B18" s="2"/>
      <c r="C18" s="2">
        <f>-$B$10*$B$7</f>
        <v>-200000000</v>
      </c>
      <c r="D18" s="2">
        <f t="shared" ref="D18:L18" si="1">-$B$10*$B$7</f>
        <v>-200000000</v>
      </c>
      <c r="E18" s="2">
        <f t="shared" si="1"/>
        <v>-200000000</v>
      </c>
      <c r="F18" s="2">
        <f t="shared" si="1"/>
        <v>-200000000</v>
      </c>
      <c r="G18" s="2">
        <f t="shared" si="1"/>
        <v>-200000000</v>
      </c>
      <c r="H18" s="2">
        <f t="shared" si="1"/>
        <v>-200000000</v>
      </c>
      <c r="I18" s="2">
        <f t="shared" si="1"/>
        <v>-200000000</v>
      </c>
      <c r="J18" s="2">
        <f t="shared" si="1"/>
        <v>-200000000</v>
      </c>
      <c r="K18" s="2">
        <f t="shared" si="1"/>
        <v>-200000000</v>
      </c>
      <c r="L18" s="2">
        <f t="shared" si="1"/>
        <v>-200000000</v>
      </c>
    </row>
    <row r="19" spans="1:12">
      <c r="A19" t="s">
        <v>221</v>
      </c>
      <c r="B19" s="2"/>
      <c r="C19" s="2">
        <f>-$B$8</f>
        <v>-50000000</v>
      </c>
      <c r="D19" s="2">
        <f t="shared" ref="D19:L19" si="2">-$B$8</f>
        <v>-50000000</v>
      </c>
      <c r="E19" s="2">
        <f t="shared" si="2"/>
        <v>-50000000</v>
      </c>
      <c r="F19" s="2">
        <f t="shared" si="2"/>
        <v>-50000000</v>
      </c>
      <c r="G19" s="2">
        <f t="shared" si="2"/>
        <v>-50000000</v>
      </c>
      <c r="H19" s="2">
        <f t="shared" si="2"/>
        <v>-50000000</v>
      </c>
      <c r="I19" s="2">
        <f t="shared" si="2"/>
        <v>-50000000</v>
      </c>
      <c r="J19" s="2">
        <f t="shared" si="2"/>
        <v>-50000000</v>
      </c>
      <c r="K19" s="2">
        <f t="shared" si="2"/>
        <v>-50000000</v>
      </c>
      <c r="L19" s="2">
        <f t="shared" si="2"/>
        <v>-50000000</v>
      </c>
    </row>
    <row r="20" spans="1:12">
      <c r="A20" t="s">
        <v>14</v>
      </c>
      <c r="B20" s="2"/>
      <c r="C20" s="2">
        <f>-$B$5*$B$13</f>
        <v>-42000000</v>
      </c>
      <c r="D20" s="2">
        <f t="shared" ref="D20:L20" si="3">-$B$5*$B$13</f>
        <v>-42000000</v>
      </c>
      <c r="E20" s="2">
        <f t="shared" si="3"/>
        <v>-42000000</v>
      </c>
      <c r="F20" s="2">
        <f t="shared" si="3"/>
        <v>-42000000</v>
      </c>
      <c r="G20" s="2">
        <f t="shared" si="3"/>
        <v>-42000000</v>
      </c>
      <c r="H20" s="2">
        <f t="shared" si="3"/>
        <v>-42000000</v>
      </c>
      <c r="I20" s="2">
        <f t="shared" si="3"/>
        <v>-42000000</v>
      </c>
      <c r="J20" s="2">
        <f t="shared" si="3"/>
        <v>-42000000</v>
      </c>
      <c r="K20" s="2">
        <f t="shared" si="3"/>
        <v>-42000000</v>
      </c>
      <c r="L20" s="2">
        <f t="shared" si="3"/>
        <v>-42000000</v>
      </c>
    </row>
    <row r="21" spans="1:12">
      <c r="A21" t="s">
        <v>217</v>
      </c>
      <c r="B21" s="2">
        <f>SUM(B16:B20)</f>
        <v>-210000000</v>
      </c>
      <c r="C21" s="2">
        <f>SUM(C16:C20)</f>
        <v>8000000</v>
      </c>
      <c r="D21" s="2">
        <f t="shared" ref="C21:L21" si="4">SUM(D16:D20)</f>
        <v>8000000</v>
      </c>
      <c r="E21" s="2">
        <f t="shared" si="4"/>
        <v>8000000</v>
      </c>
      <c r="F21" s="2">
        <f t="shared" si="4"/>
        <v>8000000</v>
      </c>
      <c r="G21" s="2">
        <f t="shared" si="4"/>
        <v>-202000000</v>
      </c>
      <c r="H21" s="2">
        <f t="shared" si="4"/>
        <v>8000000</v>
      </c>
      <c r="I21" s="2">
        <f t="shared" si="4"/>
        <v>8000000</v>
      </c>
      <c r="J21" s="2">
        <f t="shared" si="4"/>
        <v>8000000</v>
      </c>
      <c r="K21" s="2">
        <f t="shared" si="4"/>
        <v>8000000</v>
      </c>
      <c r="L21" s="2">
        <f t="shared" si="4"/>
        <v>8000000</v>
      </c>
    </row>
    <row r="22" spans="1:12">
      <c r="A22" t="s">
        <v>218</v>
      </c>
      <c r="B22" s="2">
        <f>-B21*$B$3</f>
        <v>63000000</v>
      </c>
      <c r="C22" s="2">
        <f t="shared" ref="C22:L22" si="5">-C21*$B$3</f>
        <v>-2400000</v>
      </c>
      <c r="D22" s="2">
        <f t="shared" si="5"/>
        <v>-2400000</v>
      </c>
      <c r="E22" s="2">
        <f t="shared" si="5"/>
        <v>-2400000</v>
      </c>
      <c r="F22" s="2">
        <f t="shared" si="5"/>
        <v>-2400000</v>
      </c>
      <c r="G22" s="2">
        <f t="shared" si="5"/>
        <v>60600000</v>
      </c>
      <c r="H22" s="2">
        <f t="shared" si="5"/>
        <v>-2400000</v>
      </c>
      <c r="I22" s="2">
        <f t="shared" si="5"/>
        <v>-2400000</v>
      </c>
      <c r="J22" s="2">
        <f t="shared" si="5"/>
        <v>-2400000</v>
      </c>
      <c r="K22" s="2">
        <f t="shared" si="5"/>
        <v>-2400000</v>
      </c>
      <c r="L22" s="2">
        <f t="shared" si="5"/>
        <v>-2400000</v>
      </c>
    </row>
    <row r="23" spans="1:12">
      <c r="A23" t="s">
        <v>219</v>
      </c>
      <c r="B23" s="2">
        <f>SUM(B21:B22)</f>
        <v>-147000000</v>
      </c>
      <c r="C23" s="2">
        <f t="shared" ref="C23:L23" si="6">SUM(C21:C22)</f>
        <v>5600000</v>
      </c>
      <c r="D23" s="2">
        <f t="shared" si="6"/>
        <v>5600000</v>
      </c>
      <c r="E23" s="2">
        <f t="shared" si="6"/>
        <v>5600000</v>
      </c>
      <c r="F23" s="2">
        <f t="shared" si="6"/>
        <v>5600000</v>
      </c>
      <c r="G23" s="2">
        <f t="shared" si="6"/>
        <v>-141400000</v>
      </c>
      <c r="H23" s="2">
        <f t="shared" si="6"/>
        <v>5600000</v>
      </c>
      <c r="I23" s="2">
        <f t="shared" si="6"/>
        <v>5600000</v>
      </c>
      <c r="J23" s="2">
        <f t="shared" si="6"/>
        <v>5600000</v>
      </c>
      <c r="K23" s="2">
        <f t="shared" si="6"/>
        <v>5600000</v>
      </c>
      <c r="L23" s="2">
        <f t="shared" si="6"/>
        <v>5600000</v>
      </c>
    </row>
    <row r="24" spans="1:12">
      <c r="A24" t="s">
        <v>11</v>
      </c>
      <c r="B24" s="2"/>
      <c r="C24" s="2">
        <f>$B$5*$B$13</f>
        <v>42000000</v>
      </c>
      <c r="D24" s="2">
        <f t="shared" ref="D24:L24" si="7">$B$5*$B$13</f>
        <v>42000000</v>
      </c>
      <c r="E24" s="2">
        <f t="shared" si="7"/>
        <v>42000000</v>
      </c>
      <c r="F24" s="2">
        <f t="shared" si="7"/>
        <v>42000000</v>
      </c>
      <c r="G24" s="2">
        <f t="shared" si="7"/>
        <v>42000000</v>
      </c>
      <c r="H24" s="2">
        <f t="shared" si="7"/>
        <v>42000000</v>
      </c>
      <c r="I24" s="2">
        <f t="shared" si="7"/>
        <v>42000000</v>
      </c>
      <c r="J24" s="2">
        <f t="shared" si="7"/>
        <v>42000000</v>
      </c>
      <c r="K24" s="2">
        <f t="shared" si="7"/>
        <v>42000000</v>
      </c>
      <c r="L24" s="2">
        <f t="shared" si="7"/>
        <v>42000000</v>
      </c>
    </row>
    <row r="25" spans="1:12">
      <c r="A25" t="s">
        <v>143</v>
      </c>
      <c r="B25" s="2">
        <f>SUM(B23:B24)</f>
        <v>-147000000</v>
      </c>
      <c r="C25" s="2">
        <f t="shared" ref="C25:L25" si="8">SUM(C23:C24)</f>
        <v>47600000</v>
      </c>
      <c r="D25" s="2">
        <f t="shared" si="8"/>
        <v>47600000</v>
      </c>
      <c r="E25" s="2">
        <f t="shared" si="8"/>
        <v>47600000</v>
      </c>
      <c r="F25" s="2">
        <f t="shared" si="8"/>
        <v>47600000</v>
      </c>
      <c r="G25" s="2">
        <f t="shared" si="8"/>
        <v>-99400000</v>
      </c>
      <c r="H25" s="2">
        <f t="shared" si="8"/>
        <v>47600000</v>
      </c>
      <c r="I25" s="2">
        <f t="shared" si="8"/>
        <v>47600000</v>
      </c>
      <c r="J25" s="2">
        <f t="shared" si="8"/>
        <v>47600000</v>
      </c>
      <c r="K25" s="2">
        <f t="shared" si="8"/>
        <v>47600000</v>
      </c>
      <c r="L25" s="2">
        <f t="shared" si="8"/>
        <v>47600000</v>
      </c>
    </row>
    <row r="27" spans="1:12">
      <c r="A27" s="11" t="s">
        <v>109</v>
      </c>
      <c r="B27" s="24">
        <f>B25+NPV(B2,C25:L25)</f>
        <v>18808406.501812786</v>
      </c>
    </row>
    <row r="28" spans="1:12">
      <c r="A28" s="11" t="s">
        <v>220</v>
      </c>
      <c r="B28" s="45">
        <f>IRR(B25:L25)</f>
        <v>0.18555367528810174</v>
      </c>
    </row>
    <row r="31" spans="1:12">
      <c r="A31" s="4" t="s">
        <v>223</v>
      </c>
    </row>
    <row r="33" spans="1:10">
      <c r="B33" s="2">
        <f>B27</f>
        <v>18808406.501812786</v>
      </c>
      <c r="C33" s="5">
        <v>100000</v>
      </c>
      <c r="D33" s="5">
        <v>200000</v>
      </c>
      <c r="E33" s="5">
        <v>300000</v>
      </c>
      <c r="F33" s="5">
        <v>400000</v>
      </c>
      <c r="G33" s="5">
        <v>500000</v>
      </c>
      <c r="H33" s="5">
        <v>600000</v>
      </c>
      <c r="I33" s="5">
        <v>800000</v>
      </c>
      <c r="J33" s="5">
        <v>1000000</v>
      </c>
    </row>
    <row r="34" spans="1:10">
      <c r="B34" s="46">
        <v>0.1</v>
      </c>
      <c r="C34" s="2">
        <f t="dataTable" ref="C34:J44" dt2D="1" dtr="1" r1="B10" r2="B2"/>
        <v>-107235925.97187787</v>
      </c>
      <c r="D34" s="2">
        <v>54205959.741846979</v>
      </c>
      <c r="E34" s="2">
        <v>215647845.45557195</v>
      </c>
      <c r="F34" s="2">
        <v>323471768.18335772</v>
      </c>
      <c r="G34" s="2">
        <v>484913653.89708269</v>
      </c>
      <c r="H34" s="2">
        <v>646355539.61080754</v>
      </c>
      <c r="I34" s="2">
        <v>915621348.05231833</v>
      </c>
      <c r="J34" s="2">
        <v>1184887156.4938293</v>
      </c>
    </row>
    <row r="35" spans="1:10">
      <c r="A35" t="s">
        <v>1</v>
      </c>
      <c r="B35" s="46">
        <v>0.12</v>
      </c>
      <c r="C35" s="2">
        <v>-106145958.42177147</v>
      </c>
      <c r="D35" s="2">
        <v>38538868.361723036</v>
      </c>
      <c r="E35" s="2">
        <v>183223695.14521748</v>
      </c>
      <c r="F35" s="2">
        <v>274835542.71782613</v>
      </c>
      <c r="G35" s="2">
        <v>419520369.5013206</v>
      </c>
      <c r="H35" s="2">
        <v>564205196.28481507</v>
      </c>
      <c r="I35" s="2">
        <v>800501870.64091825</v>
      </c>
      <c r="J35" s="2">
        <v>1036798544.9970217</v>
      </c>
    </row>
    <row r="36" spans="1:10">
      <c r="B36" s="46">
        <v>0.14000000000000001</v>
      </c>
      <c r="C36" s="2">
        <v>-105082757.67839584</v>
      </c>
      <c r="D36" s="2">
        <v>24939911.102681458</v>
      </c>
      <c r="E36" s="2">
        <v>154962579.88375884</v>
      </c>
      <c r="F36" s="2">
        <v>232443869.82563812</v>
      </c>
      <c r="G36" s="2">
        <v>362466538.60671532</v>
      </c>
      <c r="H36" s="2">
        <v>492489207.38779271</v>
      </c>
      <c r="I36" s="2">
        <v>699993166.11074996</v>
      </c>
      <c r="J36" s="2">
        <v>907497124.8337059</v>
      </c>
    </row>
    <row r="37" spans="1:10">
      <c r="B37" s="46">
        <v>0.16</v>
      </c>
      <c r="C37" s="2">
        <v>-104059964.69154906</v>
      </c>
      <c r="D37" s="2">
        <v>13073014.708687991</v>
      </c>
      <c r="E37" s="2">
        <v>130205994.10892498</v>
      </c>
      <c r="F37" s="2">
        <v>195308991.16338742</v>
      </c>
      <c r="G37" s="2">
        <v>312441970.56362462</v>
      </c>
      <c r="H37" s="2">
        <v>429574949.9638617</v>
      </c>
      <c r="I37" s="2">
        <v>611810926.41856122</v>
      </c>
      <c r="J37" s="2">
        <v>794046902.87326097</v>
      </c>
    </row>
    <row r="38" spans="1:10">
      <c r="B38" s="46">
        <v>0.18</v>
      </c>
      <c r="C38" s="2">
        <v>-103086378.31321988</v>
      </c>
      <c r="D38" s="2">
        <v>2663452.8525246382</v>
      </c>
      <c r="E38" s="2">
        <v>108413284.01826912</v>
      </c>
      <c r="F38" s="2">
        <v>162619926.02740377</v>
      </c>
      <c r="G38" s="2">
        <v>268369757.19314826</v>
      </c>
      <c r="H38" s="2">
        <v>374119588.35889292</v>
      </c>
      <c r="I38" s="2">
        <v>534076061.53377175</v>
      </c>
      <c r="J38" s="2">
        <v>694032534.70865107</v>
      </c>
    </row>
    <row r="39" spans="1:10">
      <c r="B39" s="46">
        <v>0.2</v>
      </c>
      <c r="C39" s="2">
        <v>-102167236.53898668</v>
      </c>
      <c r="D39" s="2">
        <v>-6514331.8142030239</v>
      </c>
      <c r="E39" s="2">
        <v>89138572.910580635</v>
      </c>
      <c r="F39" s="2">
        <v>133707859.36587095</v>
      </c>
      <c r="G39" s="2">
        <v>229360764.09065473</v>
      </c>
      <c r="H39" s="2">
        <v>325013668.81543851</v>
      </c>
      <c r="I39" s="2">
        <v>465235859.99551225</v>
      </c>
      <c r="J39" s="2">
        <v>605458051.1755867</v>
      </c>
    </row>
    <row r="40" spans="1:10">
      <c r="B40" s="46">
        <v>0.22</v>
      </c>
      <c r="C40" s="2">
        <v>-101305178.34689924</v>
      </c>
      <c r="D40" s="2">
        <v>-14646315.878161594</v>
      </c>
      <c r="E40" s="2">
        <v>72012546.590576112</v>
      </c>
      <c r="F40" s="2">
        <v>108018819.88586414</v>
      </c>
      <c r="G40" s="2">
        <v>194677682.35460162</v>
      </c>
      <c r="H40" s="2">
        <v>281336544.82333934</v>
      </c>
      <c r="I40" s="2">
        <v>404001680.58736503</v>
      </c>
      <c r="J40" s="2">
        <v>526666816.3513906</v>
      </c>
    </row>
    <row r="41" spans="1:10">
      <c r="B41" s="46">
        <v>0.24</v>
      </c>
      <c r="C41" s="2">
        <v>-100500965.69825999</v>
      </c>
      <c r="D41" s="2">
        <v>-21886478.395886332</v>
      </c>
      <c r="E41" s="2">
        <v>56728008.906487346</v>
      </c>
      <c r="F41" s="2">
        <v>85092013.359730899</v>
      </c>
      <c r="G41" s="2">
        <v>163706500.66210467</v>
      </c>
      <c r="H41" s="2">
        <v>242320987.96447825</v>
      </c>
      <c r="I41" s="2">
        <v>349299479.72009552</v>
      </c>
      <c r="J41" s="2">
        <v>456277971.47571301</v>
      </c>
    </row>
    <row r="42" spans="1:10">
      <c r="B42" s="46">
        <v>0.26</v>
      </c>
      <c r="C42" s="2">
        <v>-99754025.036995143</v>
      </c>
      <c r="D42" s="2">
        <v>-28362824.574691102</v>
      </c>
      <c r="E42" s="2">
        <v>43028375.887613028</v>
      </c>
      <c r="F42" s="2">
        <v>64542563.831419528</v>
      </c>
      <c r="G42" s="2">
        <v>135933764.29372352</v>
      </c>
      <c r="H42" s="2">
        <v>207324964.7560277</v>
      </c>
      <c r="I42" s="2">
        <v>300230353.16213822</v>
      </c>
      <c r="J42" s="2">
        <v>393135741.56824875</v>
      </c>
    </row>
    <row r="43" spans="1:10">
      <c r="B43" s="46">
        <v>0.28000000000000003</v>
      </c>
      <c r="C43" s="2">
        <v>-99062852.68936193</v>
      </c>
      <c r="D43" s="2">
        <v>-34182190.874721676</v>
      </c>
      <c r="E43" s="2">
        <v>30698470.939918607</v>
      </c>
      <c r="F43" s="2">
        <v>46047706.409877896</v>
      </c>
      <c r="G43" s="2">
        <v>110928368.2245183</v>
      </c>
      <c r="H43" s="2">
        <v>175809030.03915846</v>
      </c>
      <c r="I43" s="2">
        <v>256038927.32375813</v>
      </c>
      <c r="J43" s="2">
        <v>336268824.60835755</v>
      </c>
    </row>
    <row r="44" spans="1:10">
      <c r="B44" s="46">
        <v>0.3</v>
      </c>
      <c r="C44" s="2">
        <v>-98425317.493623987</v>
      </c>
      <c r="D44" s="2">
        <v>-39434093.773849994</v>
      </c>
      <c r="E44" s="2">
        <v>19557129.945924014</v>
      </c>
      <c r="F44" s="2">
        <v>29335694.918886006</v>
      </c>
      <c r="G44" s="2">
        <v>88326918.638659894</v>
      </c>
      <c r="H44" s="2">
        <v>147318142.35843396</v>
      </c>
      <c r="I44" s="2">
        <v>216087931.05116987</v>
      </c>
      <c r="J44" s="2">
        <v>284857719.7439059</v>
      </c>
    </row>
  </sheetData>
  <mergeCells count="1">
    <mergeCell ref="A1:H1"/>
  </mergeCells>
  <phoneticPr fontId="10" type="noConversion"/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7 template</vt:lpstr>
      <vt:lpstr>Exercise 8  template</vt:lpstr>
      <vt:lpstr>Exercise 9 template</vt:lpstr>
      <vt:lpstr>Exercise 10 template</vt:lpstr>
      <vt:lpstr>Exercise 11 template</vt:lpstr>
      <vt:lpstr>Exercise 12 template</vt:lpstr>
      <vt:lpstr>Exercise13 template</vt:lpstr>
      <vt:lpstr>Exercise 14 template</vt:lpstr>
      <vt:lpstr>Exercise 15 template</vt:lpstr>
      <vt:lpstr>Exercise 16 template</vt:lpstr>
      <vt:lpstr>Exercise 17 template</vt:lpstr>
      <vt:lpstr>Exercise 18 template</vt:lpstr>
      <vt:lpstr>Exercise 19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Benninga</dc:creator>
  <cp:lastModifiedBy>天强 帅</cp:lastModifiedBy>
  <dcterms:created xsi:type="dcterms:W3CDTF">2014-09-25T13:51:33Z</dcterms:created>
  <dcterms:modified xsi:type="dcterms:W3CDTF">2023-10-28T08:58:01Z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Ch06_IM_exercises.xlsm</vt:lpwstr>
  </property>
</Properties>
</file>