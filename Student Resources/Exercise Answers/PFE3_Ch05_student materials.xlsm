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854D0240-02C9-1B49-AA03-3D4B31E8A071}" xr6:coauthVersionLast="47" xr6:coauthVersionMax="47" xr10:uidLastSave="{00000000-0000-0000-0000-000000000000}"/>
  <bookViews>
    <workbookView xWindow="-20" yWindow="500" windowWidth="33600" windowHeight="19080" firstSheet="10" activeTab="16" xr2:uid="{00000000-000D-0000-FFFF-FFFF00000000}"/>
  </bookViews>
  <sheets>
    <sheet name="Exercise 1 template" sheetId="118" r:id="rId1"/>
    <sheet name="Exercise 2 template" sheetId="119" r:id="rId2"/>
    <sheet name="Exercise 3 template" sheetId="120" r:id="rId3"/>
    <sheet name="Exercise 4 template" sheetId="121" r:id="rId4"/>
    <sheet name="Exercise 5 template" sheetId="122" r:id="rId5"/>
    <sheet name="Exercise 6 template" sheetId="123" r:id="rId6"/>
    <sheet name="Exercise 7 template" sheetId="117" r:id="rId7"/>
    <sheet name="Exercise 8 template" sheetId="124" r:id="rId8"/>
    <sheet name="Exercise 9 template" sheetId="125" r:id="rId9"/>
    <sheet name="Exercise 10 template" sheetId="126" r:id="rId10"/>
    <sheet name="Exercise 11 template" sheetId="127" r:id="rId11"/>
    <sheet name="Exercise 12 template" sheetId="128" r:id="rId12"/>
    <sheet name="Exercise 13 template" sheetId="129" r:id="rId13"/>
    <sheet name="Exercise 14 template" sheetId="130" r:id="rId14"/>
    <sheet name="Exercise 15 template" sheetId="131" r:id="rId15"/>
    <sheet name="Exercise 16 template" sheetId="132" r:id="rId16"/>
    <sheet name="Exercise 17 template" sheetId="133" r:id="rId17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133" l="1"/>
  <c r="E85" i="133"/>
  <c r="D85" i="133" s="1"/>
  <c r="F85" i="133" s="1"/>
  <c r="B86" i="133" s="1"/>
  <c r="E86" i="133"/>
  <c r="E87" i="133"/>
  <c r="E88" i="133"/>
  <c r="E89" i="133"/>
  <c r="E90" i="133"/>
  <c r="E91" i="133"/>
  <c r="E92" i="133"/>
  <c r="E93" i="133"/>
  <c r="E94" i="133"/>
  <c r="E95" i="133"/>
  <c r="E96" i="133"/>
  <c r="E97" i="133"/>
  <c r="E98" i="133"/>
  <c r="E99" i="133"/>
  <c r="E100" i="133"/>
  <c r="E101" i="133"/>
  <c r="E102" i="133"/>
  <c r="E103" i="133"/>
  <c r="E104" i="133"/>
  <c r="E105" i="133"/>
  <c r="E106" i="133"/>
  <c r="E107" i="133"/>
  <c r="E108" i="133"/>
  <c r="E109" i="133"/>
  <c r="E110" i="133"/>
  <c r="E111" i="133"/>
  <c r="E66" i="133"/>
  <c r="D66" i="133" s="1"/>
  <c r="F66" i="133" s="1"/>
  <c r="E67" i="133"/>
  <c r="E68" i="133"/>
  <c r="E69" i="133"/>
  <c r="E70" i="133"/>
  <c r="E71" i="133"/>
  <c r="E72" i="133"/>
  <c r="E73" i="133"/>
  <c r="E74" i="133"/>
  <c r="E75" i="133"/>
  <c r="E76" i="133"/>
  <c r="E77" i="133"/>
  <c r="E78" i="133"/>
  <c r="E79" i="133"/>
  <c r="E80" i="133"/>
  <c r="E81" i="133"/>
  <c r="E82" i="133"/>
  <c r="E83" i="133"/>
  <c r="E84" i="133"/>
  <c r="C66" i="133"/>
  <c r="F65" i="133"/>
  <c r="E65" i="133"/>
  <c r="C65" i="133"/>
  <c r="B65" i="133"/>
  <c r="B63" i="133"/>
  <c r="B57" i="133"/>
  <c r="B11" i="133"/>
  <c r="B12" i="133"/>
  <c r="B13" i="133"/>
  <c r="B14" i="133"/>
  <c r="B15" i="133"/>
  <c r="B17" i="133"/>
  <c r="B19" i="133"/>
  <c r="B20" i="133"/>
  <c r="B21" i="133"/>
  <c r="B22" i="133"/>
  <c r="B23" i="133"/>
  <c r="B25" i="133"/>
  <c r="B27" i="133"/>
  <c r="B28" i="133"/>
  <c r="B29" i="133"/>
  <c r="B30" i="133"/>
  <c r="B31" i="133"/>
  <c r="B33" i="133"/>
  <c r="B35" i="133"/>
  <c r="B36" i="133"/>
  <c r="B37" i="133"/>
  <c r="B38" i="133"/>
  <c r="B39" i="133"/>
  <c r="B41" i="133"/>
  <c r="B43" i="133"/>
  <c r="B44" i="133"/>
  <c r="B45" i="133"/>
  <c r="B46" i="133"/>
  <c r="B47" i="133"/>
  <c r="B48" i="133"/>
  <c r="B49" i="133"/>
  <c r="B51" i="133"/>
  <c r="B52" i="133"/>
  <c r="B53" i="133"/>
  <c r="B54" i="133"/>
  <c r="B55" i="133"/>
  <c r="B56" i="133"/>
  <c r="B10" i="133"/>
  <c r="B4" i="133"/>
  <c r="B16" i="133" s="1"/>
  <c r="B17" i="132"/>
  <c r="B16" i="132"/>
  <c r="B13" i="132"/>
  <c r="B4" i="132"/>
  <c r="B10" i="132" s="1"/>
  <c r="D8" i="131"/>
  <c r="D7" i="131"/>
  <c r="D5" i="131"/>
  <c r="D6" i="131"/>
  <c r="C16" i="130"/>
  <c r="D16" i="130"/>
  <c r="B16" i="130"/>
  <c r="E16" i="130"/>
  <c r="D7" i="129"/>
  <c r="D6" i="129"/>
  <c r="D5" i="129"/>
  <c r="D4" i="129"/>
  <c r="D54" i="128"/>
  <c r="C54" i="128"/>
  <c r="B12" i="128"/>
  <c r="D52" i="128" s="1"/>
  <c r="B7" i="128"/>
  <c r="C53" i="128"/>
  <c r="C15" i="128"/>
  <c r="C52" i="128"/>
  <c r="B10" i="128"/>
  <c r="B11" i="128"/>
  <c r="C17" i="128"/>
  <c r="B3" i="128"/>
  <c r="C19" i="127"/>
  <c r="E19" i="127"/>
  <c r="D19" i="127" s="1"/>
  <c r="F19" i="127" s="1"/>
  <c r="B20" i="127" s="1"/>
  <c r="E20" i="127"/>
  <c r="E21" i="127"/>
  <c r="E22" i="127"/>
  <c r="E23" i="127"/>
  <c r="E24" i="127"/>
  <c r="E25" i="127"/>
  <c r="E26" i="127"/>
  <c r="E27" i="127"/>
  <c r="E28" i="127"/>
  <c r="E29" i="127"/>
  <c r="E30" i="127"/>
  <c r="E31" i="127"/>
  <c r="E32" i="127"/>
  <c r="E33" i="127"/>
  <c r="E34" i="127"/>
  <c r="E35" i="127"/>
  <c r="E36" i="127"/>
  <c r="E37" i="127"/>
  <c r="E38" i="127"/>
  <c r="E39" i="127"/>
  <c r="E40" i="127"/>
  <c r="E41" i="127"/>
  <c r="E42" i="127"/>
  <c r="E43" i="127"/>
  <c r="E44" i="127"/>
  <c r="E45" i="127"/>
  <c r="E46" i="127"/>
  <c r="E47" i="127"/>
  <c r="E48" i="127"/>
  <c r="E49" i="127"/>
  <c r="E50" i="127"/>
  <c r="E51" i="127"/>
  <c r="E52" i="127"/>
  <c r="E53" i="127"/>
  <c r="C18" i="127"/>
  <c r="B18" i="127"/>
  <c r="E18" i="127"/>
  <c r="D18" i="127"/>
  <c r="F18" i="127" s="1"/>
  <c r="B19" i="127" s="1"/>
  <c r="B14" i="127"/>
  <c r="B13" i="127"/>
  <c r="B12" i="127"/>
  <c r="B9" i="127"/>
  <c r="B4" i="127"/>
  <c r="C264" i="126"/>
  <c r="C265" i="126"/>
  <c r="C266" i="126"/>
  <c r="C267" i="126"/>
  <c r="C268" i="126"/>
  <c r="C269" i="126"/>
  <c r="C270" i="126"/>
  <c r="C271" i="126"/>
  <c r="C272" i="126"/>
  <c r="C273" i="126"/>
  <c r="C274" i="126"/>
  <c r="C275" i="126"/>
  <c r="C276" i="126"/>
  <c r="C277" i="126"/>
  <c r="C278" i="126"/>
  <c r="C279" i="126"/>
  <c r="C280" i="126"/>
  <c r="C281" i="126"/>
  <c r="C282" i="126"/>
  <c r="C263" i="126"/>
  <c r="B259" i="126"/>
  <c r="B258" i="126"/>
  <c r="B257" i="126"/>
  <c r="C15" i="126"/>
  <c r="C14" i="126"/>
  <c r="B12" i="126"/>
  <c r="B11" i="126"/>
  <c r="B10" i="126"/>
  <c r="B14" i="126" s="1"/>
  <c r="B6" i="126"/>
  <c r="B9" i="126" s="1"/>
  <c r="H36" i="125"/>
  <c r="H17" i="125"/>
  <c r="H18" i="125"/>
  <c r="H19" i="125"/>
  <c r="H20" i="125"/>
  <c r="H21" i="125"/>
  <c r="H22" i="125"/>
  <c r="H23" i="125"/>
  <c r="H24" i="125"/>
  <c r="H25" i="125"/>
  <c r="H26" i="125"/>
  <c r="H27" i="125"/>
  <c r="H28" i="125"/>
  <c r="H29" i="125"/>
  <c r="H30" i="125"/>
  <c r="H31" i="125"/>
  <c r="H32" i="125"/>
  <c r="H33" i="125"/>
  <c r="H34" i="125"/>
  <c r="H35" i="125"/>
  <c r="H16" i="125"/>
  <c r="H15" i="125"/>
  <c r="C21" i="125"/>
  <c r="E21" i="125"/>
  <c r="D21" i="125" s="1"/>
  <c r="F21" i="125" s="1"/>
  <c r="B22" i="125" s="1"/>
  <c r="E22" i="125"/>
  <c r="E23" i="125"/>
  <c r="E24" i="125"/>
  <c r="E25" i="125"/>
  <c r="E26" i="125"/>
  <c r="E27" i="125"/>
  <c r="E28" i="125"/>
  <c r="E29" i="125"/>
  <c r="E30" i="125"/>
  <c r="E31" i="125"/>
  <c r="E32" i="125"/>
  <c r="E33" i="125"/>
  <c r="E34" i="125"/>
  <c r="E35" i="125"/>
  <c r="C17" i="125"/>
  <c r="E17" i="125"/>
  <c r="D17" i="125" s="1"/>
  <c r="F17" i="125" s="1"/>
  <c r="E18" i="125"/>
  <c r="E19" i="125"/>
  <c r="E20" i="125"/>
  <c r="E16" i="125"/>
  <c r="D16" i="125" s="1"/>
  <c r="C16" i="125"/>
  <c r="B16" i="125"/>
  <c r="D86" i="133" l="1"/>
  <c r="F86" i="133" s="1"/>
  <c r="B87" i="133" s="1"/>
  <c r="C86" i="133"/>
  <c r="D65" i="133"/>
  <c r="B66" i="133"/>
  <c r="B50" i="133"/>
  <c r="B42" i="133"/>
  <c r="B34" i="133"/>
  <c r="B26" i="133"/>
  <c r="B18" i="133"/>
  <c r="B58" i="133" s="1"/>
  <c r="B59" i="133" s="1"/>
  <c r="B40" i="133"/>
  <c r="B32" i="133"/>
  <c r="B24" i="133"/>
  <c r="D17" i="128"/>
  <c r="D25" i="128"/>
  <c r="D33" i="128"/>
  <c r="D41" i="128"/>
  <c r="D49" i="128"/>
  <c r="D23" i="128"/>
  <c r="D31" i="128"/>
  <c r="D39" i="128"/>
  <c r="D47" i="128"/>
  <c r="D24" i="128"/>
  <c r="D48" i="128"/>
  <c r="D18" i="128"/>
  <c r="D26" i="128"/>
  <c r="D34" i="128"/>
  <c r="D42" i="128"/>
  <c r="D50" i="128"/>
  <c r="D27" i="128"/>
  <c r="D35" i="128"/>
  <c r="D43" i="128"/>
  <c r="D51" i="128"/>
  <c r="D20" i="128"/>
  <c r="D28" i="128"/>
  <c r="D36" i="128"/>
  <c r="D44" i="128"/>
  <c r="D16" i="128"/>
  <c r="D21" i="128"/>
  <c r="D29" i="128"/>
  <c r="D37" i="128"/>
  <c r="D45" i="128"/>
  <c r="D30" i="128"/>
  <c r="D38" i="128"/>
  <c r="D46" i="128"/>
  <c r="D40" i="128"/>
  <c r="D19" i="128"/>
  <c r="D22" i="128"/>
  <c r="D32" i="128"/>
  <c r="C48" i="128"/>
  <c r="C40" i="128"/>
  <c r="C32" i="128"/>
  <c r="C24" i="128"/>
  <c r="C47" i="128"/>
  <c r="C39" i="128"/>
  <c r="C31" i="128"/>
  <c r="C23" i="128"/>
  <c r="C46" i="128"/>
  <c r="C38" i="128"/>
  <c r="C30" i="128"/>
  <c r="C22" i="128"/>
  <c r="C45" i="128"/>
  <c r="C37" i="128"/>
  <c r="C29" i="128"/>
  <c r="C21" i="128"/>
  <c r="C16" i="128"/>
  <c r="C44" i="128"/>
  <c r="C36" i="128"/>
  <c r="C28" i="128"/>
  <c r="C20" i="128"/>
  <c r="C51" i="128"/>
  <c r="C43" i="128"/>
  <c r="C35" i="128"/>
  <c r="C27" i="128"/>
  <c r="C19" i="128"/>
  <c r="C50" i="128"/>
  <c r="C42" i="128"/>
  <c r="C34" i="128"/>
  <c r="C26" i="128"/>
  <c r="C18" i="128"/>
  <c r="C49" i="128"/>
  <c r="C41" i="128"/>
  <c r="C33" i="128"/>
  <c r="C25" i="128"/>
  <c r="C20" i="127"/>
  <c r="D20" i="127" s="1"/>
  <c r="F20" i="127" s="1"/>
  <c r="E104" i="126"/>
  <c r="E41" i="126"/>
  <c r="E49" i="126"/>
  <c r="E57" i="126"/>
  <c r="E65" i="126"/>
  <c r="E73" i="126"/>
  <c r="E81" i="126"/>
  <c r="E89" i="126"/>
  <c r="E97" i="126"/>
  <c r="E105" i="126"/>
  <c r="E113" i="126"/>
  <c r="E121" i="126"/>
  <c r="E129" i="126"/>
  <c r="E137" i="126"/>
  <c r="E145" i="126"/>
  <c r="E153" i="126"/>
  <c r="E161" i="126"/>
  <c r="E169" i="126"/>
  <c r="E177" i="126"/>
  <c r="E185" i="126"/>
  <c r="E193" i="126"/>
  <c r="E201" i="126"/>
  <c r="E209" i="126"/>
  <c r="E217" i="126"/>
  <c r="E225" i="126"/>
  <c r="E233" i="126"/>
  <c r="E241" i="126"/>
  <c r="E249" i="126"/>
  <c r="E17" i="126"/>
  <c r="E25" i="126"/>
  <c r="E33" i="126"/>
  <c r="E226" i="126"/>
  <c r="E250" i="126"/>
  <c r="E26" i="126"/>
  <c r="E35" i="126"/>
  <c r="E51" i="126"/>
  <c r="E59" i="126"/>
  <c r="E67" i="126"/>
  <c r="E75" i="126"/>
  <c r="E83" i="126"/>
  <c r="E91" i="126"/>
  <c r="E99" i="126"/>
  <c r="E115" i="126"/>
  <c r="E123" i="126"/>
  <c r="E131" i="126"/>
  <c r="E147" i="126"/>
  <c r="E163" i="126"/>
  <c r="E179" i="126"/>
  <c r="E187" i="126"/>
  <c r="E203" i="126"/>
  <c r="E211" i="126"/>
  <c r="E227" i="126"/>
  <c r="E243" i="126"/>
  <c r="E19" i="126"/>
  <c r="E52" i="126"/>
  <c r="E84" i="126"/>
  <c r="E108" i="126"/>
  <c r="E124" i="126"/>
  <c r="E140" i="126"/>
  <c r="E156" i="126"/>
  <c r="E172" i="126"/>
  <c r="E188" i="126"/>
  <c r="E204" i="126"/>
  <c r="E212" i="126"/>
  <c r="E228" i="126"/>
  <c r="E244" i="126"/>
  <c r="E28" i="126"/>
  <c r="E37" i="126"/>
  <c r="E53" i="126"/>
  <c r="E69" i="126"/>
  <c r="E77" i="126"/>
  <c r="E93" i="126"/>
  <c r="E101" i="126"/>
  <c r="E117" i="126"/>
  <c r="E133" i="126"/>
  <c r="E141" i="126"/>
  <c r="E157" i="126"/>
  <c r="E189" i="126"/>
  <c r="E205" i="126"/>
  <c r="E213" i="126"/>
  <c r="E229" i="126"/>
  <c r="E253" i="126"/>
  <c r="E29" i="126"/>
  <c r="E46" i="126"/>
  <c r="E34" i="126"/>
  <c r="E42" i="126"/>
  <c r="E50" i="126"/>
  <c r="E58" i="126"/>
  <c r="E66" i="126"/>
  <c r="E74" i="126"/>
  <c r="E82" i="126"/>
  <c r="E90" i="126"/>
  <c r="E98" i="126"/>
  <c r="E106" i="126"/>
  <c r="E114" i="126"/>
  <c r="E122" i="126"/>
  <c r="E130" i="126"/>
  <c r="E138" i="126"/>
  <c r="E146" i="126"/>
  <c r="E154" i="126"/>
  <c r="E162" i="126"/>
  <c r="E170" i="126"/>
  <c r="E178" i="126"/>
  <c r="E186" i="126"/>
  <c r="E194" i="126"/>
  <c r="E202" i="126"/>
  <c r="E210" i="126"/>
  <c r="E218" i="126"/>
  <c r="E234" i="126"/>
  <c r="E242" i="126"/>
  <c r="E18" i="126"/>
  <c r="E43" i="126"/>
  <c r="E107" i="126"/>
  <c r="E139" i="126"/>
  <c r="E155" i="126"/>
  <c r="E171" i="126"/>
  <c r="E195" i="126"/>
  <c r="E219" i="126"/>
  <c r="E235" i="126"/>
  <c r="E251" i="126"/>
  <c r="E27" i="126"/>
  <c r="E44" i="126"/>
  <c r="E60" i="126"/>
  <c r="E68" i="126"/>
  <c r="E76" i="126"/>
  <c r="E92" i="126"/>
  <c r="E100" i="126"/>
  <c r="E116" i="126"/>
  <c r="E132" i="126"/>
  <c r="E148" i="126"/>
  <c r="E164" i="126"/>
  <c r="E180" i="126"/>
  <c r="E196" i="126"/>
  <c r="E220" i="126"/>
  <c r="E236" i="126"/>
  <c r="E252" i="126"/>
  <c r="E20" i="126"/>
  <c r="E14" i="126"/>
  <c r="E45" i="126"/>
  <c r="E61" i="126"/>
  <c r="E85" i="126"/>
  <c r="E109" i="126"/>
  <c r="E125" i="126"/>
  <c r="E149" i="126"/>
  <c r="E165" i="126"/>
  <c r="E173" i="126"/>
  <c r="E181" i="126"/>
  <c r="E197" i="126"/>
  <c r="E221" i="126"/>
  <c r="E237" i="126"/>
  <c r="E245" i="126"/>
  <c r="E21" i="126"/>
  <c r="E38" i="126"/>
  <c r="E54" i="126"/>
  <c r="E62" i="126"/>
  <c r="E78" i="126"/>
  <c r="E36" i="126"/>
  <c r="E239" i="126"/>
  <c r="E175" i="126"/>
  <c r="E238" i="126"/>
  <c r="E192" i="126"/>
  <c r="E151" i="126"/>
  <c r="E87" i="126"/>
  <c r="E232" i="126"/>
  <c r="E191" i="126"/>
  <c r="E150" i="126"/>
  <c r="E86" i="126"/>
  <c r="E208" i="126"/>
  <c r="E190" i="126"/>
  <c r="E144" i="126"/>
  <c r="E126" i="126"/>
  <c r="E80" i="126"/>
  <c r="E248" i="126"/>
  <c r="E207" i="126"/>
  <c r="E166" i="126"/>
  <c r="E120" i="126"/>
  <c r="E79" i="126"/>
  <c r="E247" i="126"/>
  <c r="E206" i="126"/>
  <c r="E142" i="126"/>
  <c r="E72" i="126"/>
  <c r="E246" i="126"/>
  <c r="E223" i="126"/>
  <c r="E200" i="126"/>
  <c r="E182" i="126"/>
  <c r="E159" i="126"/>
  <c r="E136" i="126"/>
  <c r="E118" i="126"/>
  <c r="E95" i="126"/>
  <c r="E71" i="126"/>
  <c r="E40" i="126"/>
  <c r="E22" i="126"/>
  <c r="E216" i="126"/>
  <c r="E198" i="126"/>
  <c r="E152" i="126"/>
  <c r="E134" i="126"/>
  <c r="E111" i="126"/>
  <c r="E88" i="126"/>
  <c r="E64" i="126"/>
  <c r="E16" i="126"/>
  <c r="E215" i="126"/>
  <c r="E174" i="126"/>
  <c r="E128" i="126"/>
  <c r="E110" i="126"/>
  <c r="E63" i="126"/>
  <c r="E15" i="126"/>
  <c r="E214" i="126"/>
  <c r="E168" i="126"/>
  <c r="E127" i="126"/>
  <c r="E56" i="126"/>
  <c r="E32" i="126"/>
  <c r="E231" i="126"/>
  <c r="E167" i="126"/>
  <c r="E103" i="126"/>
  <c r="E55" i="126"/>
  <c r="E31" i="126"/>
  <c r="E230" i="126"/>
  <c r="E184" i="126"/>
  <c r="E143" i="126"/>
  <c r="E102" i="126"/>
  <c r="E48" i="126"/>
  <c r="E30" i="126"/>
  <c r="E224" i="126"/>
  <c r="E183" i="126"/>
  <c r="E160" i="126"/>
  <c r="E119" i="126"/>
  <c r="E96" i="126"/>
  <c r="E47" i="126"/>
  <c r="E24" i="126"/>
  <c r="E23" i="126"/>
  <c r="E240" i="126"/>
  <c r="E222" i="126"/>
  <c r="E199" i="126"/>
  <c r="E176" i="126"/>
  <c r="E158" i="126"/>
  <c r="E135" i="126"/>
  <c r="E112" i="126"/>
  <c r="E94" i="126"/>
  <c r="E70" i="126"/>
  <c r="E39" i="126"/>
  <c r="C22" i="125"/>
  <c r="D22" i="125"/>
  <c r="F22" i="125" s="1"/>
  <c r="B23" i="125" s="1"/>
  <c r="F16" i="125"/>
  <c r="B17" i="125" s="1"/>
  <c r="B18" i="125"/>
  <c r="C87" i="133" l="1"/>
  <c r="D87" i="133" s="1"/>
  <c r="F87" i="133" s="1"/>
  <c r="B88" i="133" s="1"/>
  <c r="B67" i="133"/>
  <c r="D53" i="128"/>
  <c r="B21" i="127"/>
  <c r="D14" i="126"/>
  <c r="F14" i="126"/>
  <c r="B15" i="126" s="1"/>
  <c r="C23" i="125"/>
  <c r="D23" i="125" s="1"/>
  <c r="F23" i="125"/>
  <c r="B24" i="125" s="1"/>
  <c r="C18" i="125"/>
  <c r="D18" i="125" s="1"/>
  <c r="F18" i="125" s="1"/>
  <c r="B19" i="125" s="1"/>
  <c r="C88" i="133" l="1"/>
  <c r="D88" i="133" s="1"/>
  <c r="F88" i="133" s="1"/>
  <c r="B89" i="133" s="1"/>
  <c r="C67" i="133"/>
  <c r="D67" i="133" s="1"/>
  <c r="F67" i="133"/>
  <c r="B68" i="133"/>
  <c r="C21" i="127"/>
  <c r="D21" i="127" s="1"/>
  <c r="F21" i="127" s="1"/>
  <c r="B22" i="127" s="1"/>
  <c r="D15" i="126"/>
  <c r="F15" i="126" s="1"/>
  <c r="B16" i="126" s="1"/>
  <c r="C24" i="125"/>
  <c r="D24" i="125" s="1"/>
  <c r="F24" i="125" s="1"/>
  <c r="B25" i="125" s="1"/>
  <c r="C19" i="125"/>
  <c r="D19" i="125" s="1"/>
  <c r="F19" i="125"/>
  <c r="B20" i="125"/>
  <c r="C89" i="133" l="1"/>
  <c r="D89" i="133" s="1"/>
  <c r="F89" i="133"/>
  <c r="B90" i="133" s="1"/>
  <c r="C68" i="133"/>
  <c r="D68" i="133" s="1"/>
  <c r="F68" i="133" s="1"/>
  <c r="B69" i="133" s="1"/>
  <c r="C22" i="127"/>
  <c r="D22" i="127" s="1"/>
  <c r="F22" i="127"/>
  <c r="B23" i="127"/>
  <c r="C16" i="126"/>
  <c r="D16" i="126" s="1"/>
  <c r="F16" i="126" s="1"/>
  <c r="B17" i="126" s="1"/>
  <c r="C17" i="126" s="1"/>
  <c r="D17" i="126" s="1"/>
  <c r="F17" i="126" s="1"/>
  <c r="B18" i="126" s="1"/>
  <c r="C18" i="126" s="1"/>
  <c r="C25" i="125"/>
  <c r="D25" i="125" s="1"/>
  <c r="F25" i="125"/>
  <c r="B26" i="125" s="1"/>
  <c r="C20" i="125"/>
  <c r="D20" i="125" s="1"/>
  <c r="F20" i="125"/>
  <c r="B21" i="125"/>
  <c r="C90" i="133" l="1"/>
  <c r="D90" i="133" s="1"/>
  <c r="F90" i="133" s="1"/>
  <c r="B91" i="133" s="1"/>
  <c r="C69" i="133"/>
  <c r="D69" i="133" s="1"/>
  <c r="F69" i="133"/>
  <c r="B70" i="133"/>
  <c r="C23" i="127"/>
  <c r="D23" i="127" s="1"/>
  <c r="F23" i="127"/>
  <c r="B24" i="127"/>
  <c r="D18" i="126"/>
  <c r="F18" i="126" s="1"/>
  <c r="B19" i="126" s="1"/>
  <c r="C19" i="126" s="1"/>
  <c r="C26" i="125"/>
  <c r="D26" i="125" s="1"/>
  <c r="F26" i="125" s="1"/>
  <c r="B27" i="125" s="1"/>
  <c r="B12" i="125"/>
  <c r="B11" i="125"/>
  <c r="B8" i="125"/>
  <c r="B9" i="124"/>
  <c r="B8" i="124"/>
  <c r="B7" i="124"/>
  <c r="C24" i="117"/>
  <c r="B24" i="117"/>
  <c r="B15" i="117" a="1"/>
  <c r="B15" i="117" s="1"/>
  <c r="C21" i="117" a="1"/>
  <c r="C21" i="117" s="1"/>
  <c r="B21" i="117" a="1"/>
  <c r="B21" i="117" s="1"/>
  <c r="C15" i="117" a="1"/>
  <c r="C15" i="117" s="1"/>
  <c r="C12" i="117" a="1"/>
  <c r="C12" i="117" s="1"/>
  <c r="B12" i="117" a="1"/>
  <c r="B12" i="117" s="1"/>
  <c r="B5" i="123"/>
  <c r="B4" i="123"/>
  <c r="B5" i="122"/>
  <c r="B4" i="122"/>
  <c r="B3" i="121"/>
  <c r="B4" i="120"/>
  <c r="B3" i="120"/>
  <c r="F3" i="119"/>
  <c r="F4" i="119"/>
  <c r="F2" i="119"/>
  <c r="E3" i="119"/>
  <c r="E4" i="119"/>
  <c r="E2" i="119"/>
  <c r="D3" i="119"/>
  <c r="D4" i="119"/>
  <c r="D2" i="119"/>
  <c r="B9" i="118"/>
  <c r="B6" i="118"/>
  <c r="A4" i="117"/>
  <c r="A5" i="117" s="1"/>
  <c r="A6" i="117" s="1"/>
  <c r="A7" i="117" s="1"/>
  <c r="C91" i="133" l="1"/>
  <c r="D91" i="133" s="1"/>
  <c r="F91" i="133" s="1"/>
  <c r="B92" i="133" s="1"/>
  <c r="C70" i="133"/>
  <c r="D70" i="133" s="1"/>
  <c r="F70" i="133"/>
  <c r="B71" i="133"/>
  <c r="C24" i="127"/>
  <c r="D24" i="127" s="1"/>
  <c r="F24" i="127"/>
  <c r="B25" i="127"/>
  <c r="D19" i="126"/>
  <c r="F19" i="126" s="1"/>
  <c r="B20" i="126" s="1"/>
  <c r="C20" i="126" s="1"/>
  <c r="C27" i="125"/>
  <c r="D27" i="125" s="1"/>
  <c r="F27" i="125"/>
  <c r="B28" i="125" s="1"/>
  <c r="C9" i="117"/>
  <c r="B9" i="117"/>
  <c r="D9" i="117"/>
  <c r="C92" i="133" l="1"/>
  <c r="D92" i="133" s="1"/>
  <c r="F92" i="133"/>
  <c r="B93" i="133" s="1"/>
  <c r="C71" i="133"/>
  <c r="D71" i="133" s="1"/>
  <c r="F71" i="133" s="1"/>
  <c r="B72" i="133" s="1"/>
  <c r="C25" i="127"/>
  <c r="D25" i="127" s="1"/>
  <c r="F25" i="127"/>
  <c r="B26" i="127"/>
  <c r="D20" i="126"/>
  <c r="F20" i="126" s="1"/>
  <c r="B21" i="126" s="1"/>
  <c r="C21" i="126" s="1"/>
  <c r="C28" i="125"/>
  <c r="D28" i="125" s="1"/>
  <c r="F28" i="125" s="1"/>
  <c r="B29" i="125" s="1"/>
  <c r="C93" i="133" l="1"/>
  <c r="D93" i="133" s="1"/>
  <c r="F93" i="133"/>
  <c r="B94" i="133" s="1"/>
  <c r="C72" i="133"/>
  <c r="D72" i="133" s="1"/>
  <c r="F72" i="133"/>
  <c r="B73" i="133" s="1"/>
  <c r="C26" i="127"/>
  <c r="D26" i="127" s="1"/>
  <c r="F26" i="127" s="1"/>
  <c r="B27" i="127" s="1"/>
  <c r="D21" i="126"/>
  <c r="F21" i="126" s="1"/>
  <c r="B22" i="126" s="1"/>
  <c r="C22" i="126" s="1"/>
  <c r="C29" i="125"/>
  <c r="D29" i="125" s="1"/>
  <c r="F29" i="125"/>
  <c r="B30" i="125" s="1"/>
  <c r="C94" i="133" l="1"/>
  <c r="D94" i="133" s="1"/>
  <c r="F94" i="133" s="1"/>
  <c r="B95" i="133" s="1"/>
  <c r="C73" i="133"/>
  <c r="D73" i="133" s="1"/>
  <c r="F73" i="133"/>
  <c r="B74" i="133" s="1"/>
  <c r="C27" i="127"/>
  <c r="D27" i="127" s="1"/>
  <c r="F27" i="127"/>
  <c r="B28" i="127"/>
  <c r="D22" i="126"/>
  <c r="F22" i="126"/>
  <c r="B23" i="126" s="1"/>
  <c r="C23" i="126" s="1"/>
  <c r="C30" i="125"/>
  <c r="D30" i="125" s="1"/>
  <c r="F30" i="125"/>
  <c r="B31" i="125" s="1"/>
  <c r="C95" i="133" l="1"/>
  <c r="D95" i="133" s="1"/>
  <c r="F95" i="133" s="1"/>
  <c r="B96" i="133" s="1"/>
  <c r="C74" i="133"/>
  <c r="D74" i="133" s="1"/>
  <c r="F74" i="133" s="1"/>
  <c r="B75" i="133" s="1"/>
  <c r="C28" i="127"/>
  <c r="D28" i="127" s="1"/>
  <c r="F28" i="127" s="1"/>
  <c r="B29" i="127" s="1"/>
  <c r="D23" i="126"/>
  <c r="F23" i="126" s="1"/>
  <c r="B24" i="126" s="1"/>
  <c r="C24" i="126" s="1"/>
  <c r="C31" i="125"/>
  <c r="D31" i="125" s="1"/>
  <c r="F31" i="125"/>
  <c r="B32" i="125" s="1"/>
  <c r="C96" i="133" l="1"/>
  <c r="D96" i="133" s="1"/>
  <c r="F96" i="133"/>
  <c r="B97" i="133" s="1"/>
  <c r="C75" i="133"/>
  <c r="D75" i="133" s="1"/>
  <c r="F75" i="133"/>
  <c r="B76" i="133"/>
  <c r="C29" i="127"/>
  <c r="D29" i="127" s="1"/>
  <c r="F29" i="127"/>
  <c r="B30" i="127"/>
  <c r="D24" i="126"/>
  <c r="F24" i="126"/>
  <c r="B25" i="126" s="1"/>
  <c r="C25" i="126" s="1"/>
  <c r="C32" i="125"/>
  <c r="D32" i="125" s="1"/>
  <c r="F32" i="125"/>
  <c r="B33" i="125" s="1"/>
  <c r="C97" i="133" l="1"/>
  <c r="D97" i="133" s="1"/>
  <c r="F97" i="133"/>
  <c r="B98" i="133" s="1"/>
  <c r="C76" i="133"/>
  <c r="D76" i="133" s="1"/>
  <c r="F76" i="133"/>
  <c r="B77" i="133"/>
  <c r="C30" i="127"/>
  <c r="D30" i="127" s="1"/>
  <c r="F30" i="127"/>
  <c r="B31" i="127" s="1"/>
  <c r="D25" i="126"/>
  <c r="F25" i="126" s="1"/>
  <c r="B26" i="126" s="1"/>
  <c r="C26" i="126" s="1"/>
  <c r="C33" i="125"/>
  <c r="D33" i="125" s="1"/>
  <c r="F33" i="125"/>
  <c r="B34" i="125" s="1"/>
  <c r="C98" i="133" l="1"/>
  <c r="D98" i="133" s="1"/>
  <c r="F98" i="133"/>
  <c r="B99" i="133" s="1"/>
  <c r="C77" i="133"/>
  <c r="D77" i="133" s="1"/>
  <c r="F77" i="133"/>
  <c r="B78" i="133" s="1"/>
  <c r="C31" i="127"/>
  <c r="D31" i="127" s="1"/>
  <c r="F31" i="127"/>
  <c r="B32" i="127"/>
  <c r="D26" i="126"/>
  <c r="F26" i="126" s="1"/>
  <c r="B27" i="126" s="1"/>
  <c r="C27" i="126" s="1"/>
  <c r="C34" i="125"/>
  <c r="D34" i="125" s="1"/>
  <c r="F34" i="125"/>
  <c r="B35" i="125" s="1"/>
  <c r="C99" i="133" l="1"/>
  <c r="D99" i="133" s="1"/>
  <c r="F99" i="133" s="1"/>
  <c r="B100" i="133" s="1"/>
  <c r="C78" i="133"/>
  <c r="D78" i="133" s="1"/>
  <c r="F78" i="133"/>
  <c r="B79" i="133"/>
  <c r="C32" i="127"/>
  <c r="D32" i="127" s="1"/>
  <c r="F32" i="127"/>
  <c r="B33" i="127"/>
  <c r="D27" i="126"/>
  <c r="F27" i="126" s="1"/>
  <c r="B28" i="126" s="1"/>
  <c r="C28" i="126" s="1"/>
  <c r="C35" i="125"/>
  <c r="D35" i="125" s="1"/>
  <c r="F35" i="125"/>
  <c r="C100" i="133" l="1"/>
  <c r="D100" i="133" s="1"/>
  <c r="F100" i="133" s="1"/>
  <c r="B101" i="133" s="1"/>
  <c r="C79" i="133"/>
  <c r="D79" i="133" s="1"/>
  <c r="F79" i="133"/>
  <c r="B80" i="133"/>
  <c r="C33" i="127"/>
  <c r="D33" i="127" s="1"/>
  <c r="F33" i="127"/>
  <c r="B34" i="127"/>
  <c r="D28" i="126"/>
  <c r="F28" i="126"/>
  <c r="B29" i="126" s="1"/>
  <c r="C29" i="126" s="1"/>
  <c r="C101" i="133" l="1"/>
  <c r="D101" i="133" s="1"/>
  <c r="F101" i="133"/>
  <c r="B102" i="133" s="1"/>
  <c r="C80" i="133"/>
  <c r="D80" i="133" s="1"/>
  <c r="F80" i="133"/>
  <c r="B81" i="133"/>
  <c r="C34" i="127"/>
  <c r="D34" i="127" s="1"/>
  <c r="F34" i="127" s="1"/>
  <c r="B35" i="127" s="1"/>
  <c r="D29" i="126"/>
  <c r="F29" i="126" s="1"/>
  <c r="B30" i="126" s="1"/>
  <c r="C30" i="126" s="1"/>
  <c r="F102" i="133" l="1"/>
  <c r="B103" i="133" s="1"/>
  <c r="C102" i="133"/>
  <c r="D102" i="133" s="1"/>
  <c r="C81" i="133"/>
  <c r="D81" i="133" s="1"/>
  <c r="F81" i="133" s="1"/>
  <c r="B82" i="133" s="1"/>
  <c r="C35" i="127"/>
  <c r="D35" i="127" s="1"/>
  <c r="F35" i="127"/>
  <c r="B36" i="127"/>
  <c r="D30" i="126"/>
  <c r="F30" i="126" s="1"/>
  <c r="B31" i="126" s="1"/>
  <c r="C31" i="126" s="1"/>
  <c r="F103" i="133" l="1"/>
  <c r="B104" i="133" s="1"/>
  <c r="C103" i="133"/>
  <c r="D103" i="133" s="1"/>
  <c r="C82" i="133"/>
  <c r="D82" i="133" s="1"/>
  <c r="F82" i="133"/>
  <c r="B83" i="133"/>
  <c r="C36" i="127"/>
  <c r="D36" i="127" s="1"/>
  <c r="F36" i="127"/>
  <c r="B37" i="127"/>
  <c r="D31" i="126"/>
  <c r="F31" i="126" s="1"/>
  <c r="B32" i="126" s="1"/>
  <c r="C32" i="126" s="1"/>
  <c r="C104" i="133" l="1"/>
  <c r="D104" i="133" s="1"/>
  <c r="F104" i="133"/>
  <c r="B105" i="133" s="1"/>
  <c r="C83" i="133"/>
  <c r="D83" i="133" s="1"/>
  <c r="F83" i="133"/>
  <c r="B84" i="133" s="1"/>
  <c r="C37" i="127"/>
  <c r="D37" i="127" s="1"/>
  <c r="F37" i="127" s="1"/>
  <c r="B38" i="127" s="1"/>
  <c r="D32" i="126"/>
  <c r="F32" i="126"/>
  <c r="B33" i="126" s="1"/>
  <c r="C33" i="126" s="1"/>
  <c r="C105" i="133" l="1"/>
  <c r="D105" i="133" s="1"/>
  <c r="F105" i="133"/>
  <c r="B106" i="133" s="1"/>
  <c r="C84" i="133"/>
  <c r="D84" i="133" s="1"/>
  <c r="F84" i="133"/>
  <c r="B85" i="133"/>
  <c r="C85" i="133" s="1"/>
  <c r="C38" i="127"/>
  <c r="D38" i="127" s="1"/>
  <c r="F38" i="127"/>
  <c r="B39" i="127"/>
  <c r="D33" i="126"/>
  <c r="F33" i="126"/>
  <c r="B34" i="126" s="1"/>
  <c r="C34" i="126" s="1"/>
  <c r="C106" i="133" l="1"/>
  <c r="D106" i="133" s="1"/>
  <c r="F106" i="133" s="1"/>
  <c r="B107" i="133" s="1"/>
  <c r="C39" i="127"/>
  <c r="D39" i="127" s="1"/>
  <c r="F39" i="127"/>
  <c r="B40" i="127" s="1"/>
  <c r="D34" i="126"/>
  <c r="F34" i="126" s="1"/>
  <c r="B35" i="126" s="1"/>
  <c r="C107" i="133" l="1"/>
  <c r="D107" i="133" s="1"/>
  <c r="F107" i="133" s="1"/>
  <c r="B108" i="133" s="1"/>
  <c r="C40" i="127"/>
  <c r="D40" i="127" s="1"/>
  <c r="F40" i="127"/>
  <c r="B41" i="127"/>
  <c r="C35" i="126"/>
  <c r="D35" i="126" s="1"/>
  <c r="F35" i="126" s="1"/>
  <c r="B36" i="126" s="1"/>
  <c r="C36" i="126" s="1"/>
  <c r="D36" i="126" s="1"/>
  <c r="F36" i="126" s="1"/>
  <c r="B37" i="126" s="1"/>
  <c r="C37" i="126" s="1"/>
  <c r="C108" i="133" l="1"/>
  <c r="D108" i="133" s="1"/>
  <c r="F108" i="133"/>
  <c r="B109" i="133" s="1"/>
  <c r="C41" i="127"/>
  <c r="D41" i="127" s="1"/>
  <c r="F41" i="127"/>
  <c r="B42" i="127"/>
  <c r="D37" i="126"/>
  <c r="F37" i="126" s="1"/>
  <c r="B38" i="126" s="1"/>
  <c r="C109" i="133" l="1"/>
  <c r="D109" i="133" s="1"/>
  <c r="F109" i="133" s="1"/>
  <c r="B110" i="133" s="1"/>
  <c r="C42" i="127"/>
  <c r="D42" i="127" s="1"/>
  <c r="F42" i="127" s="1"/>
  <c r="B43" i="127" s="1"/>
  <c r="C38" i="126"/>
  <c r="D38" i="126" s="1"/>
  <c r="F38" i="126" s="1"/>
  <c r="B39" i="126" s="1"/>
  <c r="C39" i="126" s="1"/>
  <c r="D39" i="126" s="1"/>
  <c r="F39" i="126" s="1"/>
  <c r="B40" i="126" s="1"/>
  <c r="C40" i="126" s="1"/>
  <c r="C110" i="133" l="1"/>
  <c r="D110" i="133" s="1"/>
  <c r="F110" i="133" s="1"/>
  <c r="B111" i="133" s="1"/>
  <c r="C43" i="127"/>
  <c r="D43" i="127" s="1"/>
  <c r="F43" i="127"/>
  <c r="B44" i="127"/>
  <c r="D40" i="126"/>
  <c r="F40" i="126"/>
  <c r="B41" i="126" s="1"/>
  <c r="C41" i="126" s="1"/>
  <c r="D41" i="126"/>
  <c r="F41" i="126" s="1"/>
  <c r="B42" i="126" s="1"/>
  <c r="C42" i="126" s="1"/>
  <c r="C111" i="133" l="1"/>
  <c r="D111" i="133" s="1"/>
  <c r="F111" i="133" s="1"/>
  <c r="B112" i="133" s="1"/>
  <c r="C44" i="127"/>
  <c r="D44" i="127" s="1"/>
  <c r="F44" i="127" s="1"/>
  <c r="B45" i="127" s="1"/>
  <c r="D42" i="126"/>
  <c r="F42" i="126" s="1"/>
  <c r="B43" i="126" s="1"/>
  <c r="C43" i="126" s="1"/>
  <c r="C112" i="133" l="1"/>
  <c r="D112" i="133" s="1"/>
  <c r="F112" i="133" s="1"/>
  <c r="C45" i="127"/>
  <c r="D45" i="127" s="1"/>
  <c r="F45" i="127"/>
  <c r="B46" i="127"/>
  <c r="D43" i="126"/>
  <c r="F43" i="126" s="1"/>
  <c r="B44" i="126" s="1"/>
  <c r="C44" i="126" s="1"/>
  <c r="C46" i="127" l="1"/>
  <c r="D46" i="127" s="1"/>
  <c r="F46" i="127"/>
  <c r="B47" i="127"/>
  <c r="D44" i="126"/>
  <c r="F44" i="126" s="1"/>
  <c r="B45" i="126" s="1"/>
  <c r="C45" i="126" s="1"/>
  <c r="C47" i="127" l="1"/>
  <c r="D47" i="127" s="1"/>
  <c r="F47" i="127"/>
  <c r="B48" i="127"/>
  <c r="D45" i="126"/>
  <c r="F45" i="126" s="1"/>
  <c r="B46" i="126" s="1"/>
  <c r="C46" i="126" s="1"/>
  <c r="C48" i="127" l="1"/>
  <c r="D48" i="127" s="1"/>
  <c r="F48" i="127"/>
  <c r="B49" i="127"/>
  <c r="D46" i="126"/>
  <c r="F46" i="126" s="1"/>
  <c r="B47" i="126" s="1"/>
  <c r="C47" i="126" s="1"/>
  <c r="C49" i="127" l="1"/>
  <c r="D49" i="127" s="1"/>
  <c r="F49" i="127"/>
  <c r="B50" i="127"/>
  <c r="D47" i="126"/>
  <c r="F47" i="126" s="1"/>
  <c r="B48" i="126" s="1"/>
  <c r="C50" i="127" l="1"/>
  <c r="D50" i="127" s="1"/>
  <c r="F50" i="127" s="1"/>
  <c r="B51" i="127" s="1"/>
  <c r="C48" i="126"/>
  <c r="D48" i="126" s="1"/>
  <c r="F48" i="126" s="1"/>
  <c r="B49" i="126" s="1"/>
  <c r="C51" i="127" l="1"/>
  <c r="D51" i="127" s="1"/>
  <c r="F51" i="127"/>
  <c r="B52" i="127"/>
  <c r="C49" i="126"/>
  <c r="D49" i="126" s="1"/>
  <c r="F49" i="126" s="1"/>
  <c r="B50" i="126" s="1"/>
  <c r="C52" i="127" l="1"/>
  <c r="D52" i="127" s="1"/>
  <c r="F52" i="127"/>
  <c r="B53" i="127"/>
  <c r="C50" i="126"/>
  <c r="D50" i="126" s="1"/>
  <c r="F50" i="126" s="1"/>
  <c r="B51" i="126" s="1"/>
  <c r="C51" i="126" s="1"/>
  <c r="D51" i="126" s="1"/>
  <c r="F51" i="126" s="1"/>
  <c r="B52" i="126" s="1"/>
  <c r="C53" i="127" l="1"/>
  <c r="D53" i="127" s="1"/>
  <c r="F53" i="127" s="1"/>
  <c r="C52" i="126"/>
  <c r="D52" i="126" s="1"/>
  <c r="F52" i="126"/>
  <c r="B53" i="126" s="1"/>
  <c r="C53" i="126" s="1"/>
  <c r="D53" i="126" s="1"/>
  <c r="F53" i="126" s="1"/>
  <c r="B54" i="126" s="1"/>
  <c r="C54" i="126" s="1"/>
  <c r="D54" i="126" s="1"/>
  <c r="F54" i="126" s="1"/>
  <c r="B55" i="126" s="1"/>
  <c r="C55" i="126" s="1"/>
  <c r="D55" i="126" l="1"/>
  <c r="F55" i="126" s="1"/>
  <c r="B56" i="126" s="1"/>
  <c r="C56" i="126" s="1"/>
  <c r="D56" i="126" l="1"/>
  <c r="F56" i="126"/>
  <c r="B57" i="126" s="1"/>
  <c r="C57" i="126" s="1"/>
  <c r="D57" i="126" l="1"/>
  <c r="F57" i="126" s="1"/>
  <c r="B58" i="126" s="1"/>
  <c r="C58" i="126" s="1"/>
  <c r="D58" i="126" l="1"/>
  <c r="F58" i="126"/>
  <c r="B59" i="126" s="1"/>
  <c r="C59" i="126" s="1"/>
  <c r="D59" i="126" l="1"/>
  <c r="F59" i="126"/>
  <c r="B60" i="126" s="1"/>
  <c r="C60" i="126" s="1"/>
  <c r="D60" i="126" l="1"/>
  <c r="F60" i="126" s="1"/>
  <c r="B61" i="126" s="1"/>
  <c r="C61" i="126" s="1"/>
  <c r="D61" i="126" l="1"/>
  <c r="F61" i="126" s="1"/>
  <c r="B62" i="126" s="1"/>
  <c r="C62" i="126" s="1"/>
  <c r="D62" i="126" l="1"/>
  <c r="F62" i="126"/>
  <c r="B63" i="126" s="1"/>
  <c r="C63" i="126" s="1"/>
  <c r="D63" i="126" l="1"/>
  <c r="F63" i="126" s="1"/>
  <c r="B64" i="126" s="1"/>
  <c r="C64" i="126" l="1"/>
  <c r="D64" i="126" s="1"/>
  <c r="F64" i="126" s="1"/>
  <c r="B65" i="126" s="1"/>
  <c r="C65" i="126" l="1"/>
  <c r="D65" i="126" s="1"/>
  <c r="F65" i="126" s="1"/>
  <c r="B66" i="126" s="1"/>
  <c r="C66" i="126" s="1"/>
  <c r="D66" i="126" s="1"/>
  <c r="F66" i="126" s="1"/>
  <c r="B67" i="126" s="1"/>
  <c r="C67" i="126" s="1"/>
  <c r="D67" i="126" s="1"/>
  <c r="F67" i="126" s="1"/>
  <c r="B68" i="126" s="1"/>
  <c r="C68" i="126" s="1"/>
  <c r="D68" i="126" l="1"/>
  <c r="F68" i="126"/>
  <c r="B69" i="126" s="1"/>
  <c r="C69" i="126" s="1"/>
  <c r="D69" i="126" l="1"/>
  <c r="F69" i="126" s="1"/>
  <c r="B70" i="126" s="1"/>
  <c r="C70" i="126" s="1"/>
  <c r="D70" i="126" l="1"/>
  <c r="F70" i="126" s="1"/>
  <c r="B71" i="126" s="1"/>
  <c r="C71" i="126" s="1"/>
  <c r="D71" i="126" l="1"/>
  <c r="F71" i="126" s="1"/>
  <c r="B72" i="126" s="1"/>
  <c r="C72" i="126" s="1"/>
  <c r="D72" i="126" l="1"/>
  <c r="F72" i="126"/>
  <c r="B73" i="126" s="1"/>
  <c r="C73" i="126" s="1"/>
  <c r="D73" i="126" l="1"/>
  <c r="F73" i="126"/>
  <c r="B74" i="126" s="1"/>
  <c r="C74" i="126" s="1"/>
  <c r="D74" i="126" l="1"/>
  <c r="F74" i="126" s="1"/>
  <c r="B75" i="126" s="1"/>
  <c r="C75" i="126" s="1"/>
  <c r="D75" i="126" l="1"/>
  <c r="F75" i="126" s="1"/>
  <c r="B76" i="126" s="1"/>
  <c r="C76" i="126" l="1"/>
  <c r="D76" i="126" s="1"/>
  <c r="F76" i="126" s="1"/>
  <c r="B77" i="126" s="1"/>
  <c r="C77" i="126" s="1"/>
  <c r="D77" i="126" s="1"/>
  <c r="F77" i="126" s="1"/>
  <c r="B78" i="126" s="1"/>
  <c r="C78" i="126" l="1"/>
  <c r="D78" i="126" s="1"/>
  <c r="F78" i="126" s="1"/>
  <c r="B79" i="126" s="1"/>
  <c r="C79" i="126" s="1"/>
  <c r="D79" i="126" s="1"/>
  <c r="F79" i="126" s="1"/>
  <c r="B80" i="126" s="1"/>
  <c r="C80" i="126" s="1"/>
  <c r="D80" i="126" l="1"/>
  <c r="F80" i="126" s="1"/>
  <c r="B81" i="126" s="1"/>
  <c r="C81" i="126" s="1"/>
  <c r="D81" i="126" l="1"/>
  <c r="F81" i="126"/>
  <c r="B82" i="126" s="1"/>
  <c r="C82" i="126" l="1"/>
  <c r="D82" i="126" s="1"/>
  <c r="F82" i="126" s="1"/>
  <c r="B83" i="126" s="1"/>
  <c r="C83" i="126" s="1"/>
  <c r="D83" i="126" s="1"/>
  <c r="F83" i="126" s="1"/>
  <c r="B84" i="126" s="1"/>
  <c r="C84" i="126" s="1"/>
  <c r="D84" i="126" l="1"/>
  <c r="F84" i="126" s="1"/>
  <c r="B85" i="126" s="1"/>
  <c r="C85" i="126" s="1"/>
  <c r="D85" i="126" l="1"/>
  <c r="F85" i="126" s="1"/>
  <c r="B86" i="126" s="1"/>
  <c r="C86" i="126" s="1"/>
  <c r="D86" i="126" l="1"/>
  <c r="F86" i="126" s="1"/>
  <c r="B87" i="126" s="1"/>
  <c r="C87" i="126" l="1"/>
  <c r="D87" i="126" s="1"/>
  <c r="F87" i="126" s="1"/>
  <c r="B88" i="126" s="1"/>
  <c r="C88" i="126" s="1"/>
  <c r="D88" i="126" s="1"/>
  <c r="F88" i="126" s="1"/>
  <c r="B89" i="126" s="1"/>
  <c r="C89" i="126" l="1"/>
  <c r="D89" i="126" s="1"/>
  <c r="F89" i="126" s="1"/>
  <c r="B90" i="126" s="1"/>
  <c r="C90" i="126" s="1"/>
  <c r="D90" i="126" s="1"/>
  <c r="F90" i="126" s="1"/>
  <c r="B91" i="126" s="1"/>
  <c r="C91" i="126" l="1"/>
  <c r="D91" i="126" s="1"/>
  <c r="F91" i="126" s="1"/>
  <c r="B92" i="126" s="1"/>
  <c r="C92" i="126" l="1"/>
  <c r="D92" i="126" s="1"/>
  <c r="F92" i="126" s="1"/>
  <c r="B93" i="126" s="1"/>
  <c r="C93" i="126" l="1"/>
  <c r="D93" i="126" s="1"/>
  <c r="F93" i="126" s="1"/>
  <c r="B94" i="126" s="1"/>
  <c r="C94" i="126" l="1"/>
  <c r="D94" i="126" s="1"/>
  <c r="F94" i="126" s="1"/>
  <c r="B95" i="126" s="1"/>
  <c r="C95" i="126" l="1"/>
  <c r="D95" i="126" s="1"/>
  <c r="F95" i="126" s="1"/>
  <c r="B96" i="126" s="1"/>
  <c r="C96" i="126" s="1"/>
  <c r="D96" i="126" s="1"/>
  <c r="F96" i="126" s="1"/>
  <c r="B97" i="126" s="1"/>
  <c r="C97" i="126" s="1"/>
  <c r="D97" i="126" s="1"/>
  <c r="F97" i="126" s="1"/>
  <c r="B98" i="126" s="1"/>
  <c r="C98" i="126" l="1"/>
  <c r="D98" i="126" s="1"/>
  <c r="F98" i="126" s="1"/>
  <c r="B99" i="126" s="1"/>
  <c r="C99" i="126" l="1"/>
  <c r="D99" i="126" s="1"/>
  <c r="F99" i="126"/>
  <c r="B100" i="126" s="1"/>
  <c r="C100" i="126" l="1"/>
  <c r="D100" i="126" s="1"/>
  <c r="F100" i="126" s="1"/>
  <c r="B101" i="126" s="1"/>
  <c r="C101" i="126" l="1"/>
  <c r="D101" i="126" s="1"/>
  <c r="F101" i="126" s="1"/>
  <c r="B102" i="126" s="1"/>
  <c r="C102" i="126" s="1"/>
  <c r="D102" i="126" s="1"/>
  <c r="F102" i="126" s="1"/>
  <c r="B103" i="126" s="1"/>
  <c r="C103" i="126" s="1"/>
  <c r="D103" i="126" s="1"/>
  <c r="F103" i="126" s="1"/>
  <c r="B104" i="126" s="1"/>
  <c r="C104" i="126" s="1"/>
  <c r="D104" i="126" s="1"/>
  <c r="F104" i="126" s="1"/>
  <c r="B105" i="126" s="1"/>
  <c r="C105" i="126" s="1"/>
  <c r="D105" i="126" s="1"/>
  <c r="F105" i="126" s="1"/>
  <c r="B106" i="126" s="1"/>
  <c r="C106" i="126" s="1"/>
  <c r="D106" i="126" s="1"/>
  <c r="F106" i="126" s="1"/>
  <c r="B107" i="126" s="1"/>
  <c r="C107" i="126" l="1"/>
  <c r="D107" i="126" s="1"/>
  <c r="F107" i="126" s="1"/>
  <c r="B108" i="126" s="1"/>
  <c r="C108" i="126" l="1"/>
  <c r="D108" i="126" s="1"/>
  <c r="F108" i="126"/>
  <c r="B109" i="126" s="1"/>
  <c r="C109" i="126" s="1"/>
  <c r="D109" i="126"/>
  <c r="F109" i="126" s="1"/>
  <c r="B110" i="126" s="1"/>
  <c r="C110" i="126" s="1"/>
  <c r="D110" i="126" l="1"/>
  <c r="F110" i="126" s="1"/>
  <c r="B111" i="126" s="1"/>
  <c r="C111" i="126" s="1"/>
  <c r="D111" i="126" l="1"/>
  <c r="F111" i="126" s="1"/>
  <c r="B112" i="126" s="1"/>
  <c r="C112" i="126" s="1"/>
  <c r="D112" i="126" l="1"/>
  <c r="F112" i="126"/>
  <c r="B113" i="126" s="1"/>
  <c r="C113" i="126" s="1"/>
  <c r="D113" i="126" l="1"/>
  <c r="F113" i="126" s="1"/>
  <c r="B114" i="126" s="1"/>
  <c r="C114" i="126" s="1"/>
  <c r="D114" i="126" l="1"/>
  <c r="F114" i="126"/>
  <c r="B115" i="126" s="1"/>
  <c r="C115" i="126" s="1"/>
  <c r="D115" i="126" l="1"/>
  <c r="F115" i="126"/>
  <c r="B116" i="126" s="1"/>
  <c r="C116" i="126" s="1"/>
  <c r="D116" i="126" l="1"/>
  <c r="F116" i="126"/>
  <c r="B117" i="126" s="1"/>
  <c r="C117" i="126" s="1"/>
  <c r="D117" i="126" l="1"/>
  <c r="F117" i="126" s="1"/>
  <c r="B118" i="126" s="1"/>
  <c r="C118" i="126" s="1"/>
  <c r="D118" i="126" l="1"/>
  <c r="F118" i="126" s="1"/>
  <c r="B119" i="126" s="1"/>
  <c r="C119" i="126" s="1"/>
  <c r="D119" i="126" l="1"/>
  <c r="F119" i="126" s="1"/>
  <c r="B120" i="126" s="1"/>
  <c r="C120" i="126" s="1"/>
  <c r="D120" i="126" l="1"/>
  <c r="F120" i="126" s="1"/>
  <c r="B121" i="126" s="1"/>
  <c r="C121" i="126" s="1"/>
  <c r="D121" i="126" l="1"/>
  <c r="F121" i="126"/>
  <c r="B122" i="126" s="1"/>
  <c r="C122" i="126" s="1"/>
  <c r="D122" i="126" l="1"/>
  <c r="F122" i="126" s="1"/>
  <c r="B123" i="126" s="1"/>
  <c r="C123" i="126" s="1"/>
  <c r="D123" i="126" l="1"/>
  <c r="F123" i="126" s="1"/>
  <c r="B124" i="126" s="1"/>
  <c r="C124" i="126" s="1"/>
  <c r="D124" i="126" l="1"/>
  <c r="F124" i="126"/>
  <c r="B125" i="126" s="1"/>
  <c r="C125" i="126" s="1"/>
  <c r="D125" i="126" l="1"/>
  <c r="F125" i="126" s="1"/>
  <c r="B126" i="126" s="1"/>
  <c r="C126" i="126" s="1"/>
  <c r="D126" i="126" l="1"/>
  <c r="F126" i="126" s="1"/>
  <c r="B127" i="126" s="1"/>
  <c r="C127" i="126" s="1"/>
  <c r="D127" i="126" l="1"/>
  <c r="F127" i="126" s="1"/>
  <c r="B128" i="126" s="1"/>
  <c r="C128" i="126" s="1"/>
  <c r="D128" i="126" l="1"/>
  <c r="F128" i="126"/>
  <c r="B129" i="126" s="1"/>
  <c r="C129" i="126" s="1"/>
  <c r="D129" i="126" l="1"/>
  <c r="F129" i="126" s="1"/>
  <c r="B130" i="126" s="1"/>
  <c r="C130" i="126" s="1"/>
  <c r="D130" i="126" l="1"/>
  <c r="F130" i="126" s="1"/>
  <c r="B131" i="126" s="1"/>
  <c r="C131" i="126" s="1"/>
  <c r="D131" i="126" l="1"/>
  <c r="F131" i="126"/>
  <c r="B132" i="126" s="1"/>
  <c r="C132" i="126" s="1"/>
  <c r="D132" i="126" l="1"/>
  <c r="F132" i="126" s="1"/>
  <c r="B133" i="126" s="1"/>
  <c r="C133" i="126" s="1"/>
  <c r="D133" i="126" l="1"/>
  <c r="F133" i="126" s="1"/>
  <c r="B134" i="126" s="1"/>
  <c r="C134" i="126" s="1"/>
  <c r="D134" i="126" l="1"/>
  <c r="F134" i="126" s="1"/>
  <c r="B135" i="126" s="1"/>
  <c r="C135" i="126" s="1"/>
  <c r="D135" i="126" l="1"/>
  <c r="F135" i="126" s="1"/>
  <c r="B136" i="126" s="1"/>
  <c r="C136" i="126" s="1"/>
  <c r="D136" i="126" l="1"/>
  <c r="F136" i="126"/>
  <c r="B137" i="126" s="1"/>
  <c r="C137" i="126" s="1"/>
  <c r="D137" i="126" l="1"/>
  <c r="F137" i="126" s="1"/>
  <c r="B138" i="126" s="1"/>
  <c r="C138" i="126" s="1"/>
  <c r="D138" i="126" l="1"/>
  <c r="F138" i="126" s="1"/>
  <c r="B139" i="126" s="1"/>
  <c r="C139" i="126" s="1"/>
  <c r="D139" i="126" l="1"/>
  <c r="F139" i="126" s="1"/>
  <c r="B140" i="126" s="1"/>
  <c r="C140" i="126" s="1"/>
  <c r="D140" i="126" l="1"/>
  <c r="F140" i="126" s="1"/>
  <c r="B141" i="126" s="1"/>
  <c r="C141" i="126" s="1"/>
  <c r="D141" i="126" l="1"/>
  <c r="F141" i="126" s="1"/>
  <c r="B142" i="126" s="1"/>
  <c r="C142" i="126" s="1"/>
  <c r="D142" i="126" l="1"/>
  <c r="F142" i="126" s="1"/>
  <c r="B143" i="126" s="1"/>
  <c r="C143" i="126" s="1"/>
  <c r="D143" i="126" l="1"/>
  <c r="F143" i="126" s="1"/>
  <c r="B144" i="126" s="1"/>
  <c r="C144" i="126" s="1"/>
  <c r="D144" i="126" l="1"/>
  <c r="F144" i="126" s="1"/>
  <c r="B145" i="126" s="1"/>
  <c r="C145" i="126" s="1"/>
  <c r="D145" i="126" l="1"/>
  <c r="F145" i="126" s="1"/>
  <c r="B146" i="126" s="1"/>
  <c r="C146" i="126" s="1"/>
  <c r="D146" i="126" l="1"/>
  <c r="F146" i="126"/>
  <c r="B147" i="126" s="1"/>
  <c r="C147" i="126" s="1"/>
  <c r="D147" i="126" l="1"/>
  <c r="F147" i="126" s="1"/>
  <c r="B148" i="126" s="1"/>
  <c r="C148" i="126" s="1"/>
  <c r="D148" i="126" l="1"/>
  <c r="F148" i="126"/>
  <c r="B149" i="126" s="1"/>
  <c r="C149" i="126" s="1"/>
  <c r="D149" i="126" l="1"/>
  <c r="F149" i="126" s="1"/>
  <c r="B150" i="126" s="1"/>
  <c r="C150" i="126" s="1"/>
  <c r="D150" i="126" l="1"/>
  <c r="F150" i="126" s="1"/>
  <c r="B151" i="126" s="1"/>
  <c r="C151" i="126" s="1"/>
  <c r="D151" i="126" l="1"/>
  <c r="F151" i="126"/>
  <c r="B152" i="126" s="1"/>
  <c r="C152" i="126" s="1"/>
  <c r="D152" i="126" l="1"/>
  <c r="F152" i="126" s="1"/>
  <c r="B153" i="126" s="1"/>
  <c r="C153" i="126" s="1"/>
  <c r="D153" i="126" l="1"/>
  <c r="F153" i="126" s="1"/>
  <c r="B154" i="126" s="1"/>
  <c r="C154" i="126" s="1"/>
  <c r="D154" i="126" l="1"/>
  <c r="F154" i="126" s="1"/>
  <c r="B155" i="126" s="1"/>
  <c r="C155" i="126" s="1"/>
  <c r="D155" i="126" l="1"/>
  <c r="F155" i="126"/>
  <c r="B156" i="126" s="1"/>
  <c r="C156" i="126" s="1"/>
  <c r="D156" i="126" l="1"/>
  <c r="F156" i="126"/>
  <c r="B157" i="126" s="1"/>
  <c r="C157" i="126" s="1"/>
  <c r="D157" i="126" l="1"/>
  <c r="F157" i="126" s="1"/>
  <c r="B158" i="126" s="1"/>
  <c r="C158" i="126" s="1"/>
  <c r="D158" i="126" l="1"/>
  <c r="F158" i="126" s="1"/>
  <c r="B159" i="126" s="1"/>
  <c r="C159" i="126" s="1"/>
  <c r="D159" i="126" l="1"/>
  <c r="F159" i="126" s="1"/>
  <c r="B160" i="126" s="1"/>
  <c r="C160" i="126" s="1"/>
  <c r="D160" i="126" l="1"/>
  <c r="F160" i="126"/>
  <c r="B161" i="126" s="1"/>
  <c r="C161" i="126" s="1"/>
  <c r="D161" i="126" l="1"/>
  <c r="F161" i="126" s="1"/>
  <c r="B162" i="126" s="1"/>
  <c r="C162" i="126" s="1"/>
  <c r="D162" i="126" l="1"/>
  <c r="F162" i="126" s="1"/>
  <c r="B163" i="126" s="1"/>
  <c r="C163" i="126" s="1"/>
  <c r="D163" i="126" l="1"/>
  <c r="F163" i="126" s="1"/>
  <c r="B164" i="126" s="1"/>
  <c r="C164" i="126" s="1"/>
  <c r="D164" i="126" l="1"/>
  <c r="F164" i="126" s="1"/>
  <c r="B165" i="126" s="1"/>
  <c r="C165" i="126" s="1"/>
  <c r="D165" i="126" l="1"/>
  <c r="F165" i="126" s="1"/>
  <c r="B166" i="126" s="1"/>
  <c r="C166" i="126" s="1"/>
  <c r="D166" i="126" l="1"/>
  <c r="F166" i="126" s="1"/>
  <c r="B167" i="126" s="1"/>
  <c r="C167" i="126" s="1"/>
  <c r="D167" i="126" l="1"/>
  <c r="F167" i="126"/>
  <c r="B168" i="126" s="1"/>
  <c r="C168" i="126" s="1"/>
  <c r="D168" i="126" l="1"/>
  <c r="F168" i="126" s="1"/>
  <c r="B169" i="126" s="1"/>
  <c r="C169" i="126" s="1"/>
  <c r="D169" i="126" l="1"/>
  <c r="F169" i="126" s="1"/>
  <c r="B170" i="126" s="1"/>
  <c r="C170" i="126" s="1"/>
  <c r="D170" i="126" l="1"/>
  <c r="F170" i="126" s="1"/>
  <c r="B171" i="126" s="1"/>
  <c r="C171" i="126" s="1"/>
  <c r="D171" i="126" l="1"/>
  <c r="F171" i="126" s="1"/>
  <c r="B172" i="126" s="1"/>
  <c r="C172" i="126" s="1"/>
  <c r="D172" i="126" l="1"/>
  <c r="F172" i="126" s="1"/>
  <c r="B173" i="126" s="1"/>
  <c r="C173" i="126" s="1"/>
  <c r="D173" i="126" l="1"/>
  <c r="F173" i="126" s="1"/>
  <c r="B174" i="126" s="1"/>
  <c r="C174" i="126" s="1"/>
  <c r="D174" i="126" l="1"/>
  <c r="F174" i="126" s="1"/>
  <c r="B175" i="126" s="1"/>
  <c r="C175" i="126" s="1"/>
  <c r="D175" i="126" l="1"/>
  <c r="F175" i="126" s="1"/>
  <c r="B176" i="126" s="1"/>
  <c r="C176" i="126" s="1"/>
  <c r="D176" i="126" l="1"/>
  <c r="F176" i="126" s="1"/>
  <c r="B177" i="126" s="1"/>
  <c r="C177" i="126" s="1"/>
  <c r="D177" i="126" l="1"/>
  <c r="F177" i="126" s="1"/>
  <c r="B178" i="126" s="1"/>
  <c r="C178" i="126" s="1"/>
  <c r="D178" i="126" l="1"/>
  <c r="F178" i="126" s="1"/>
  <c r="B179" i="126" s="1"/>
  <c r="C179" i="126" s="1"/>
  <c r="D179" i="126" l="1"/>
  <c r="F179" i="126" s="1"/>
  <c r="B180" i="126" s="1"/>
  <c r="C180" i="126" s="1"/>
  <c r="D180" i="126" l="1"/>
  <c r="F180" i="126" s="1"/>
  <c r="B181" i="126" s="1"/>
  <c r="C181" i="126" s="1"/>
  <c r="D181" i="126" l="1"/>
  <c r="F181" i="126"/>
  <c r="B182" i="126" s="1"/>
  <c r="C182" i="126" s="1"/>
  <c r="D182" i="126" l="1"/>
  <c r="F182" i="126" s="1"/>
  <c r="B183" i="126" s="1"/>
  <c r="C183" i="126" s="1"/>
  <c r="D183" i="126" l="1"/>
  <c r="F183" i="126"/>
  <c r="B184" i="126" s="1"/>
  <c r="C184" i="126" s="1"/>
  <c r="D184" i="126" l="1"/>
  <c r="F184" i="126" s="1"/>
  <c r="B185" i="126" s="1"/>
  <c r="C185" i="126" s="1"/>
  <c r="D185" i="126" l="1"/>
  <c r="F185" i="126" s="1"/>
  <c r="B186" i="126" s="1"/>
  <c r="C186" i="126" s="1"/>
  <c r="D186" i="126" l="1"/>
  <c r="F186" i="126" s="1"/>
  <c r="B187" i="126" s="1"/>
  <c r="C187" i="126" s="1"/>
  <c r="D187" i="126" l="1"/>
  <c r="F187" i="126" s="1"/>
  <c r="B188" i="126" s="1"/>
  <c r="C188" i="126" s="1"/>
  <c r="D188" i="126" l="1"/>
  <c r="F188" i="126" s="1"/>
  <c r="B189" i="126" s="1"/>
  <c r="C189" i="126" s="1"/>
  <c r="D189" i="126" l="1"/>
  <c r="F189" i="126" s="1"/>
  <c r="B190" i="126" s="1"/>
  <c r="C190" i="126" s="1"/>
  <c r="D190" i="126" l="1"/>
  <c r="F190" i="126"/>
  <c r="B191" i="126" s="1"/>
  <c r="C191" i="126" s="1"/>
  <c r="D191" i="126" l="1"/>
  <c r="F191" i="126" s="1"/>
  <c r="B192" i="126" s="1"/>
  <c r="C192" i="126" s="1"/>
  <c r="D192" i="126" l="1"/>
  <c r="F192" i="126" s="1"/>
  <c r="B193" i="126" s="1"/>
  <c r="C193" i="126" s="1"/>
  <c r="D193" i="126" l="1"/>
  <c r="F193" i="126" s="1"/>
  <c r="B194" i="126" s="1"/>
  <c r="C194" i="126" s="1"/>
  <c r="D194" i="126" l="1"/>
  <c r="F194" i="126" s="1"/>
  <c r="B195" i="126" s="1"/>
  <c r="C195" i="126" s="1"/>
  <c r="D195" i="126" l="1"/>
  <c r="F195" i="126" s="1"/>
  <c r="B196" i="126" s="1"/>
  <c r="C196" i="126" s="1"/>
  <c r="D196" i="126" l="1"/>
  <c r="F196" i="126"/>
  <c r="B197" i="126" s="1"/>
  <c r="C197" i="126" s="1"/>
  <c r="D197" i="126" l="1"/>
  <c r="F197" i="126" s="1"/>
  <c r="B198" i="126" s="1"/>
  <c r="C198" i="126" s="1"/>
  <c r="D198" i="126" l="1"/>
  <c r="F198" i="126" s="1"/>
  <c r="B199" i="126" s="1"/>
  <c r="C199" i="126" s="1"/>
  <c r="D199" i="126" l="1"/>
  <c r="F199" i="126"/>
  <c r="B200" i="126" s="1"/>
  <c r="C200" i="126" s="1"/>
  <c r="D200" i="126" l="1"/>
  <c r="F200" i="126" s="1"/>
  <c r="B201" i="126" s="1"/>
  <c r="C201" i="126" s="1"/>
  <c r="D201" i="126" l="1"/>
  <c r="F201" i="126" s="1"/>
  <c r="B202" i="126" s="1"/>
  <c r="C202" i="126" s="1"/>
  <c r="D202" i="126" l="1"/>
  <c r="F202" i="126" s="1"/>
  <c r="B203" i="126" s="1"/>
  <c r="C203" i="126" s="1"/>
  <c r="D203" i="126" l="1"/>
  <c r="F203" i="126"/>
  <c r="B204" i="126" s="1"/>
  <c r="C204" i="126" s="1"/>
  <c r="D204" i="126" l="1"/>
  <c r="F204" i="126" s="1"/>
  <c r="B205" i="126" s="1"/>
  <c r="C205" i="126" s="1"/>
  <c r="D205" i="126" l="1"/>
  <c r="F205" i="126"/>
  <c r="B206" i="126" s="1"/>
  <c r="C206" i="126" s="1"/>
  <c r="D206" i="126" l="1"/>
  <c r="F206" i="126" s="1"/>
  <c r="B207" i="126" s="1"/>
  <c r="C207" i="126" s="1"/>
  <c r="D207" i="126" l="1"/>
  <c r="F207" i="126" s="1"/>
  <c r="B208" i="126" s="1"/>
  <c r="C208" i="126" s="1"/>
  <c r="D208" i="126" l="1"/>
  <c r="F208" i="126" s="1"/>
  <c r="B209" i="126" s="1"/>
  <c r="C209" i="126" s="1"/>
  <c r="D209" i="126" l="1"/>
  <c r="F209" i="126"/>
  <c r="B210" i="126" s="1"/>
  <c r="C210" i="126" s="1"/>
  <c r="D210" i="126" l="1"/>
  <c r="F210" i="126" s="1"/>
  <c r="B211" i="126" s="1"/>
  <c r="C211" i="126" s="1"/>
  <c r="D211" i="126" l="1"/>
  <c r="F211" i="126" s="1"/>
  <c r="B212" i="126" s="1"/>
  <c r="C212" i="126" s="1"/>
  <c r="D212" i="126" l="1"/>
  <c r="F212" i="126" s="1"/>
  <c r="B213" i="126" s="1"/>
  <c r="C213" i="126" s="1"/>
  <c r="D213" i="126" l="1"/>
  <c r="F213" i="126" s="1"/>
  <c r="B214" i="126" s="1"/>
  <c r="C214" i="126" s="1"/>
  <c r="D214" i="126" l="1"/>
  <c r="F214" i="126" s="1"/>
  <c r="B215" i="126" s="1"/>
  <c r="C215" i="126" s="1"/>
  <c r="D215" i="126" l="1"/>
  <c r="F215" i="126" s="1"/>
  <c r="B216" i="126" s="1"/>
  <c r="C216" i="126" s="1"/>
  <c r="D216" i="126" l="1"/>
  <c r="F216" i="126" s="1"/>
  <c r="B217" i="126" s="1"/>
  <c r="C217" i="126" s="1"/>
  <c r="D217" i="126" l="1"/>
  <c r="F217" i="126" s="1"/>
  <c r="B218" i="126" s="1"/>
  <c r="C218" i="126" s="1"/>
  <c r="D218" i="126" l="1"/>
  <c r="F218" i="126"/>
  <c r="B219" i="126" s="1"/>
  <c r="C219" i="126" s="1"/>
  <c r="D219" i="126" l="1"/>
  <c r="F219" i="126" s="1"/>
  <c r="B220" i="126" s="1"/>
  <c r="C220" i="126" s="1"/>
  <c r="D220" i="126" l="1"/>
  <c r="F220" i="126"/>
  <c r="B221" i="126" s="1"/>
  <c r="C221" i="126" s="1"/>
  <c r="D221" i="126" l="1"/>
  <c r="F221" i="126"/>
  <c r="B222" i="126" s="1"/>
  <c r="C222" i="126" s="1"/>
  <c r="D222" i="126" l="1"/>
  <c r="F222" i="126" s="1"/>
  <c r="B223" i="126" s="1"/>
  <c r="C223" i="126" s="1"/>
  <c r="D223" i="126" l="1"/>
  <c r="F223" i="126" s="1"/>
  <c r="B224" i="126" s="1"/>
  <c r="C224" i="126" s="1"/>
  <c r="D224" i="126" l="1"/>
  <c r="F224" i="126" s="1"/>
  <c r="B225" i="126" s="1"/>
  <c r="C225" i="126" s="1"/>
  <c r="D225" i="126" l="1"/>
  <c r="F225" i="126"/>
  <c r="B226" i="126" s="1"/>
  <c r="C226" i="126" s="1"/>
  <c r="D226" i="126" l="1"/>
  <c r="F226" i="126" s="1"/>
  <c r="B227" i="126" s="1"/>
  <c r="C227" i="126" s="1"/>
  <c r="D227" i="126" l="1"/>
  <c r="F227" i="126"/>
  <c r="B228" i="126" s="1"/>
  <c r="C228" i="126" s="1"/>
  <c r="D228" i="126" l="1"/>
  <c r="F228" i="126" s="1"/>
  <c r="B229" i="126" s="1"/>
  <c r="C229" i="126" s="1"/>
  <c r="D229" i="126" l="1"/>
  <c r="F229" i="126" s="1"/>
  <c r="B230" i="126" s="1"/>
  <c r="C230" i="126" s="1"/>
  <c r="D230" i="126" l="1"/>
  <c r="F230" i="126" s="1"/>
  <c r="B231" i="126" s="1"/>
  <c r="C231" i="126" s="1"/>
  <c r="D231" i="126" l="1"/>
  <c r="F231" i="126" s="1"/>
  <c r="B232" i="126" s="1"/>
  <c r="C232" i="126" s="1"/>
  <c r="D232" i="126" l="1"/>
  <c r="F232" i="126" s="1"/>
  <c r="B233" i="126" s="1"/>
  <c r="C233" i="126" s="1"/>
  <c r="D233" i="126" l="1"/>
  <c r="F233" i="126" s="1"/>
  <c r="B234" i="126" s="1"/>
  <c r="C234" i="126" s="1"/>
  <c r="D234" i="126" l="1"/>
  <c r="F234" i="126" s="1"/>
  <c r="B235" i="126" s="1"/>
  <c r="C235" i="126" s="1"/>
  <c r="D235" i="126" l="1"/>
  <c r="F235" i="126" s="1"/>
  <c r="B236" i="126" s="1"/>
  <c r="C236" i="126" s="1"/>
  <c r="D236" i="126" l="1"/>
  <c r="F236" i="126" s="1"/>
  <c r="B237" i="126" s="1"/>
  <c r="C237" i="126" s="1"/>
  <c r="D237" i="126" l="1"/>
  <c r="F237" i="126" s="1"/>
  <c r="B238" i="126" s="1"/>
  <c r="C238" i="126" s="1"/>
  <c r="D238" i="126" l="1"/>
  <c r="F238" i="126" s="1"/>
  <c r="B239" i="126" s="1"/>
  <c r="C239" i="126" s="1"/>
  <c r="D239" i="126" l="1"/>
  <c r="F239" i="126" s="1"/>
  <c r="B240" i="126" s="1"/>
  <c r="C240" i="126" s="1"/>
  <c r="D240" i="126" l="1"/>
  <c r="F240" i="126" s="1"/>
  <c r="B241" i="126" s="1"/>
  <c r="C241" i="126" s="1"/>
  <c r="D241" i="126" l="1"/>
  <c r="F241" i="126"/>
  <c r="B242" i="126" s="1"/>
  <c r="C242" i="126" s="1"/>
  <c r="D242" i="126" l="1"/>
  <c r="F242" i="126" s="1"/>
  <c r="B243" i="126" s="1"/>
  <c r="C243" i="126" s="1"/>
  <c r="D243" i="126" l="1"/>
  <c r="F243" i="126" s="1"/>
  <c r="B244" i="126" s="1"/>
  <c r="C244" i="126" s="1"/>
  <c r="D244" i="126" l="1"/>
  <c r="F244" i="126" s="1"/>
  <c r="B245" i="126" s="1"/>
  <c r="C245" i="126" s="1"/>
  <c r="D245" i="126" l="1"/>
  <c r="F245" i="126" s="1"/>
  <c r="B246" i="126" s="1"/>
  <c r="C246" i="126" s="1"/>
  <c r="D246" i="126" l="1"/>
  <c r="F246" i="126"/>
  <c r="B247" i="126" s="1"/>
  <c r="C247" i="126" s="1"/>
  <c r="D247" i="126" l="1"/>
  <c r="F247" i="126" s="1"/>
  <c r="B248" i="126" s="1"/>
  <c r="C248" i="126" s="1"/>
  <c r="D248" i="126" l="1"/>
  <c r="F248" i="126" s="1"/>
  <c r="B249" i="126" s="1"/>
  <c r="C249" i="126" s="1"/>
  <c r="D249" i="126" l="1"/>
  <c r="F249" i="126" s="1"/>
  <c r="B250" i="126" s="1"/>
  <c r="C250" i="126" s="1"/>
  <c r="D250" i="126" l="1"/>
  <c r="F250" i="126"/>
  <c r="B251" i="126" s="1"/>
  <c r="C251" i="126" s="1"/>
  <c r="D251" i="126" l="1"/>
  <c r="F251" i="126" s="1"/>
  <c r="B252" i="126" s="1"/>
  <c r="C252" i="126" s="1"/>
  <c r="D252" i="126" l="1"/>
  <c r="F252" i="126"/>
  <c r="B253" i="126" s="1"/>
  <c r="C253" i="126" s="1"/>
  <c r="D253" i="126" l="1"/>
  <c r="F253" i="12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<sst xmlns="http://schemas.openxmlformats.org/spreadsheetml/2006/main" count="197" uniqueCount="89">
  <si>
    <t>Year</t>
  </si>
  <si>
    <t>Average return</t>
  </si>
  <si>
    <t>Dull Fund
return</t>
  </si>
  <si>
    <t>Lively Fund return</t>
  </si>
  <si>
    <t>DULL FUND OR LIVELY FUND?</t>
  </si>
  <si>
    <t>mortgage</t>
    <phoneticPr fontId="6" type="noConversion"/>
  </si>
  <si>
    <t>interest rate</t>
    <phoneticPr fontId="6" type="noConversion"/>
  </si>
  <si>
    <t>Section a.</t>
    <phoneticPr fontId="6" type="noConversion"/>
  </si>
  <si>
    <t>payment</t>
    <phoneticPr fontId="6" type="noConversion"/>
  </si>
  <si>
    <t>months</t>
    <phoneticPr fontId="6" type="noConversion"/>
  </si>
  <si>
    <t>Section b.</t>
    <phoneticPr fontId="6" type="noConversion"/>
  </si>
  <si>
    <t>EAIR</t>
    <phoneticPr fontId="6" type="noConversion"/>
  </si>
  <si>
    <t>Credit card 1</t>
    <phoneticPr fontId="6" type="noConversion"/>
  </si>
  <si>
    <t>Credit card 2</t>
    <phoneticPr fontId="6" type="noConversion"/>
  </si>
  <si>
    <t>Credit card 3</t>
    <phoneticPr fontId="6" type="noConversion"/>
  </si>
  <si>
    <t>APR</t>
    <phoneticPr fontId="6" type="noConversion"/>
  </si>
  <si>
    <t>times</t>
    <phoneticPr fontId="6" type="noConversion"/>
  </si>
  <si>
    <t>rate</t>
    <phoneticPr fontId="6" type="noConversion"/>
  </si>
  <si>
    <t>RANK</t>
    <phoneticPr fontId="6" type="noConversion"/>
  </si>
  <si>
    <t>pay now</t>
    <phoneticPr fontId="6" type="noConversion"/>
  </si>
  <si>
    <t>pay in 1 year</t>
    <phoneticPr fontId="6" type="noConversion"/>
  </si>
  <si>
    <t>payment today</t>
    <phoneticPr fontId="6" type="noConversion"/>
  </si>
  <si>
    <t>payment per month</t>
    <phoneticPr fontId="6" type="noConversion"/>
  </si>
  <si>
    <t>payment now</t>
    <phoneticPr fontId="6" type="noConversion"/>
  </si>
  <si>
    <t>IRR</t>
    <phoneticPr fontId="6" type="noConversion"/>
  </si>
  <si>
    <t>Section a.</t>
    <phoneticPr fontId="3" type="noConversion"/>
  </si>
  <si>
    <t>have at end of 2015</t>
    <phoneticPr fontId="3" type="noConversion"/>
  </si>
  <si>
    <t>Section b.</t>
    <phoneticPr fontId="3" type="noConversion"/>
  </si>
  <si>
    <t>EAIR</t>
    <phoneticPr fontId="3" type="noConversion"/>
  </si>
  <si>
    <t>Section c.</t>
    <phoneticPr fontId="3" type="noConversion"/>
  </si>
  <si>
    <t>high-risk, high return may not good</t>
    <phoneticPr fontId="3" type="noConversion"/>
  </si>
  <si>
    <t>Section d.</t>
    <phoneticPr fontId="3" type="noConversion"/>
  </si>
  <si>
    <t>annual continuous returns</t>
  </si>
  <si>
    <t>Section e.</t>
    <phoneticPr fontId="3" type="noConversion"/>
  </si>
  <si>
    <t>years</t>
    <phoneticPr fontId="6" type="noConversion"/>
  </si>
  <si>
    <t>charge point</t>
    <phoneticPr fontId="6" type="noConversion"/>
  </si>
  <si>
    <t>processing fee</t>
    <phoneticPr fontId="6" type="noConversion"/>
  </si>
  <si>
    <t>actual pv</t>
    <phoneticPr fontId="6" type="noConversion"/>
  </si>
  <si>
    <t>Section c.</t>
    <phoneticPr fontId="6" type="noConversion"/>
  </si>
  <si>
    <t>year</t>
    <phoneticPr fontId="6" type="noConversion"/>
  </si>
  <si>
    <t>loan balance at begin of year</t>
    <phoneticPr fontId="6" type="noConversion"/>
  </si>
  <si>
    <t>interest payment</t>
  </si>
  <si>
    <t>principal payment</t>
  </si>
  <si>
    <t>total payment</t>
  </si>
  <si>
    <t>loan balance at end of year</t>
    <phoneticPr fontId="6" type="noConversion"/>
  </si>
  <si>
    <t>monthly rate</t>
    <phoneticPr fontId="6" type="noConversion"/>
  </si>
  <si>
    <t>rate monthly</t>
    <phoneticPr fontId="6" type="noConversion"/>
  </si>
  <si>
    <t>total interest</t>
    <phoneticPr fontId="6" type="noConversion"/>
  </si>
  <si>
    <t>start period</t>
    <phoneticPr fontId="6" type="noConversion"/>
  </si>
  <si>
    <t>end period</t>
    <phoneticPr fontId="6" type="noConversion"/>
  </si>
  <si>
    <t>actual rate</t>
    <phoneticPr fontId="6" type="noConversion"/>
  </si>
  <si>
    <t>car price</t>
    <phoneticPr fontId="6" type="noConversion"/>
  </si>
  <si>
    <t>price in cash</t>
    <phoneticPr fontId="6" type="noConversion"/>
  </si>
  <si>
    <t>discount</t>
    <phoneticPr fontId="6" type="noConversion"/>
  </si>
  <si>
    <t>month</t>
    <phoneticPr fontId="6" type="noConversion"/>
  </si>
  <si>
    <t>cash</t>
    <phoneticPr fontId="6" type="noConversion"/>
  </si>
  <si>
    <t>dealer loan</t>
    <phoneticPr fontId="6" type="noConversion"/>
  </si>
  <si>
    <t>bank loan</t>
    <phoneticPr fontId="6" type="noConversion"/>
  </si>
  <si>
    <t>real monthly rate</t>
    <phoneticPr fontId="6" type="noConversion"/>
  </si>
  <si>
    <t>RATE</t>
    <phoneticPr fontId="6" type="noConversion"/>
  </si>
  <si>
    <t>cash payment or bank loan</t>
    <phoneticPr fontId="6" type="noConversion"/>
  </si>
  <si>
    <t>PV</t>
    <phoneticPr fontId="6" type="noConversion"/>
  </si>
  <si>
    <t>Bellon Bank</t>
    <phoneticPr fontId="6" type="noConversion"/>
  </si>
  <si>
    <t>WNC Bank</t>
    <phoneticPr fontId="6" type="noConversion"/>
  </si>
  <si>
    <t>Plebian Bank</t>
    <phoneticPr fontId="6" type="noConversion"/>
  </si>
  <si>
    <t>Byfus Bank</t>
    <phoneticPr fontId="6" type="noConversion"/>
  </si>
  <si>
    <t>compounded time a year</t>
    <phoneticPr fontId="6" type="noConversion"/>
  </si>
  <si>
    <t>continuously</t>
  </si>
  <si>
    <t>FV</t>
    <phoneticPr fontId="6" type="noConversion"/>
  </si>
  <si>
    <t>a</t>
    <phoneticPr fontId="6" type="noConversion"/>
  </si>
  <si>
    <t>b</t>
    <phoneticPr fontId="6" type="noConversion"/>
  </si>
  <si>
    <t>c</t>
    <phoneticPr fontId="6" type="noConversion"/>
  </si>
  <si>
    <t>d</t>
    <phoneticPr fontId="6" type="noConversion"/>
  </si>
  <si>
    <t>b more valuable</t>
    <phoneticPr fontId="6" type="noConversion"/>
  </si>
  <si>
    <t>savings</t>
    <phoneticPr fontId="6" type="noConversion"/>
  </si>
  <si>
    <t>10%/15%</t>
    <phoneticPr fontId="6" type="noConversion"/>
  </si>
  <si>
    <t>annual interest rate</t>
    <phoneticPr fontId="6" type="noConversion"/>
  </si>
  <si>
    <t>monthly interest rate</t>
    <phoneticPr fontId="6" type="noConversion"/>
  </si>
  <si>
    <t>mortgage fee</t>
    <phoneticPr fontId="6" type="noConversion"/>
  </si>
  <si>
    <t>credit card debts</t>
    <phoneticPr fontId="6" type="noConversion"/>
  </si>
  <si>
    <t>new mortgage</t>
    <phoneticPr fontId="6" type="noConversion"/>
  </si>
  <si>
    <t>old mortgage</t>
    <phoneticPr fontId="6" type="noConversion"/>
  </si>
  <si>
    <t>money left</t>
    <phoneticPr fontId="6" type="noConversion"/>
  </si>
  <si>
    <t>term</t>
    <phoneticPr fontId="6" type="noConversion"/>
  </si>
  <si>
    <t>balloon payment</t>
  </si>
  <si>
    <t>daily payment</t>
    <phoneticPr fontId="6" type="noConversion"/>
  </si>
  <si>
    <t>car cost</t>
    <phoneticPr fontId="6" type="noConversion"/>
  </si>
  <si>
    <t>monthly payment</t>
    <phoneticPr fontId="6" type="noConversion"/>
  </si>
  <si>
    <t>money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</si>
</sst>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¥&quot;#,##0.00_);[Red]\(&quot;¥&quot;#,##0.00\)"/>
    <numFmt numFmtId="179" formatCode="0.000%"/>
    <numFmt numFmtId="180" formatCode="0.0000%"/>
    <numFmt numFmtId="181" formatCode="0.00000%"/>
    <numFmt numFmtId="182" formatCode="0.000000%"/>
    <numFmt numFmtId="183" formatCode="0.0000000%"/>
    <numFmt numFmtId="184" formatCode="0.00000000%"/>
    <numFmt numFmtId="185" formatCode="0.000000000%"/>
  </numFmts>
  <fonts count="8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"/>
    </font>
    <font>
      <sz val="9"/>
      <name val="宋体"/>
      <family val="3"/>
      <charset val="134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/>
    <xf numFmtId="9" fontId="5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10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7" fillId="0" borderId="0" xfId="0" applyFont="1"/>
    <xf numFmtId="9" fontId="0" fillId="0" borderId="0" xfId="0" applyNumberFormat="1"/>
    <xf numFmtId="0" fontId="0" fillId="0" borderId="0" xfId="0" applyNumberFormat="1"/>
    <xf numFmtId="8" fontId="0" fillId="0" borderId="0" xfId="0" applyNumberFormat="1"/>
    <xf numFmtId="179" fontId="0" fillId="0" borderId="0" xfId="2" applyNumberFormat="1" applyFont="1" applyAlignment="1"/>
    <xf numFmtId="180" fontId="0" fillId="0" borderId="0" xfId="2" applyNumberFormat="1" applyFont="1" applyAlignment="1"/>
    <xf numFmtId="0" fontId="0" fillId="0" borderId="0" xfId="2" applyNumberFormat="1" applyFont="1" applyAlignment="1"/>
    <xf numFmtId="181" fontId="0" fillId="0" borderId="0" xfId="2" applyNumberFormat="1" applyFont="1" applyAlignmen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182" fontId="7" fillId="0" borderId="0" xfId="0" applyNumberFormat="1" applyFon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2" fontId="0" fillId="0" borderId="0" xfId="2" applyNumberFormat="1" applyFont="1" applyAlignment="1"/>
    <xf numFmtId="184" fontId="0" fillId="0" borderId="0" xfId="2" applyNumberFormat="1" applyFont="1" applyAlignment="1"/>
    <xf numFmtId="180" fontId="7" fillId="0" borderId="0" xfId="2" applyNumberFormat="1" applyFont="1" applyAlignment="1"/>
    <xf numFmtId="8" fontId="0" fillId="0" borderId="0" xfId="2" applyNumberFormat="1" applyFont="1" applyAlignment="1"/>
    <xf numFmtId="9" fontId="7" fillId="0" borderId="0" xfId="0" applyNumberFormat="1" applyFont="1"/>
  </cellXfs>
  <cellStyles count="3">
    <cellStyle name="Normal 2" xfId="1" xr:uid="{00000000-0005-0000-0000-000001000000}"/>
    <cellStyle name="百分比" xfId="2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6F95-4BC8-5B4C-9A6E-412F32E35E11}">
  <dimension ref="A1:B9"/>
  <sheetViews>
    <sheetView workbookViewId="0">
      <selection activeCell="I10" sqref="I10"/>
    </sheetView>
  </sheetViews>
  <sheetFormatPr baseColWidth="10" defaultRowHeight="13"/>
  <sheetData>
    <row r="1" spans="1:2">
      <c r="A1" s="8" t="s">
        <v>5</v>
      </c>
      <c r="B1">
        <v>100000</v>
      </c>
    </row>
    <row r="2" spans="1:2">
      <c r="A2" s="8" t="s">
        <v>6</v>
      </c>
      <c r="B2" s="9">
        <v>0.01</v>
      </c>
    </row>
    <row r="3" spans="1:2">
      <c r="A3" s="8" t="s">
        <v>9</v>
      </c>
      <c r="B3" s="10">
        <v>120</v>
      </c>
    </row>
    <row r="5" spans="1:2">
      <c r="A5" s="8" t="s">
        <v>7</v>
      </c>
    </row>
    <row r="6" spans="1:2">
      <c r="A6" s="8" t="s">
        <v>8</v>
      </c>
      <c r="B6" s="11">
        <f>PMT(B2,B3,B1,0,0)</f>
        <v>-1434.7094840258735</v>
      </c>
    </row>
    <row r="8" spans="1:2">
      <c r="A8" s="8" t="s">
        <v>10</v>
      </c>
    </row>
    <row r="9" spans="1:2">
      <c r="A9" s="8" t="s">
        <v>11</v>
      </c>
      <c r="B9" s="13">
        <f>(1+B2)^12-1</f>
        <v>0.12682503013196977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98253-65E0-F945-A0AE-52778922BA6B}">
  <dimension ref="A1:G4"/>
  <sheetViews>
    <sheetView workbookViewId="0">
      <selection activeCell="F3" sqref="F3"/>
    </sheetView>
  </sheetViews>
  <sheetFormatPr baseColWidth="10" defaultRowHeight="13"/>
  <sheetData>
    <row r="1" spans="1:7">
      <c r="B1" s="8" t="s">
        <v>15</v>
      </c>
      <c r="C1" s="8" t="s">
        <v>16</v>
      </c>
      <c r="D1" s="8" t="s">
        <v>17</v>
      </c>
      <c r="E1" s="8" t="s">
        <v>11</v>
      </c>
      <c r="F1" s="8" t="s">
        <v>18</v>
      </c>
    </row>
    <row r="2" spans="1:7">
      <c r="A2" s="8" t="s">
        <v>12</v>
      </c>
      <c r="B2" s="9">
        <v>0.19</v>
      </c>
      <c r="C2">
        <v>12</v>
      </c>
      <c r="D2" s="13">
        <f>B2/C2</f>
        <v>1.5833333333333335E-2</v>
      </c>
      <c r="E2" s="12">
        <f>(1+D2)^C2-1</f>
        <v>0.20745099812976942</v>
      </c>
      <c r="F2" s="14">
        <f>_xlfn.RANK.EQ(E2,$E$2:$E$4,1)</f>
        <v>1</v>
      </c>
      <c r="G2" s="12"/>
    </row>
    <row r="3" spans="1:7">
      <c r="A3" s="8" t="s">
        <v>13</v>
      </c>
      <c r="B3" s="9">
        <v>0.19</v>
      </c>
      <c r="C3">
        <v>52</v>
      </c>
      <c r="D3" s="13">
        <f t="shared" ref="D3:D4" si="0">B3/C3</f>
        <v>3.6538461538461538E-3</v>
      </c>
      <c r="E3" s="12">
        <f t="shared" ref="E3:E4" si="1">(1+D3)^C3-1</f>
        <v>0.20883094067894548</v>
      </c>
      <c r="F3" s="14">
        <f t="shared" ref="F3:F4" si="2">_xlfn.RANK.EQ(E3,$E$2:$E$4,1)</f>
        <v>3</v>
      </c>
      <c r="G3" s="12"/>
    </row>
    <row r="4" spans="1:7">
      <c r="A4" s="8" t="s">
        <v>14</v>
      </c>
      <c r="B4" s="1">
        <v>0.189</v>
      </c>
      <c r="C4">
        <v>365</v>
      </c>
      <c r="D4" s="13">
        <f t="shared" si="0"/>
        <v>5.1780821917808218E-4</v>
      </c>
      <c r="E4" s="12">
        <f t="shared" si="1"/>
        <v>0.20798186140739428</v>
      </c>
      <c r="F4" s="14">
        <f t="shared" si="2"/>
        <v>2</v>
      </c>
      <c r="G4" s="12"/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522B4-E914-4547-81A4-9C2F1939FC9B}">
  <dimension ref="A1:B4"/>
  <sheetViews>
    <sheetView workbookViewId="0">
      <selection activeCell="H14" sqref="H14"/>
    </sheetView>
  </sheetViews>
  <sheetFormatPr baseColWidth="10" defaultRowHeight="13"/>
  <sheetData>
    <row r="1" spans="1:2">
      <c r="A1" s="8" t="s">
        <v>15</v>
      </c>
      <c r="B1" s="1">
        <v>0.19989999999999999</v>
      </c>
    </row>
    <row r="2" spans="1:2">
      <c r="A2" s="8" t="s">
        <v>16</v>
      </c>
      <c r="B2">
        <v>365</v>
      </c>
    </row>
    <row r="3" spans="1:2">
      <c r="A3" s="8" t="s">
        <v>17</v>
      </c>
      <c r="B3" s="15">
        <f>B1/B2</f>
        <v>5.4767123287671228E-4</v>
      </c>
    </row>
    <row r="4" spans="1:2">
      <c r="A4" s="8" t="s">
        <v>11</v>
      </c>
      <c r="B4" s="12">
        <f>(1+B3)^B2-1</f>
        <v>0.22121379763486093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AEBA9-2A01-AD40-B085-901769E40390}">
  <dimension ref="A1:B3"/>
  <sheetViews>
    <sheetView workbookViewId="0">
      <selection activeCell="K4" sqref="K4"/>
    </sheetView>
  </sheetViews>
  <sheetFormatPr baseColWidth="10" defaultRowHeight="13"/>
  <sheetData>
    <row r="1" spans="1:2">
      <c r="A1" s="8" t="s">
        <v>19</v>
      </c>
      <c r="B1">
        <v>10000</v>
      </c>
    </row>
    <row r="2" spans="1:2">
      <c r="A2" s="8" t="s">
        <v>20</v>
      </c>
      <c r="B2">
        <v>11100</v>
      </c>
    </row>
    <row r="3" spans="1:2">
      <c r="A3" s="8" t="s">
        <v>11</v>
      </c>
      <c r="B3" s="12">
        <f>B2/B1-1</f>
        <v>0.1100000000000001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0849C-CA37-E04E-B74F-B8F171EC1113}">
  <dimension ref="A1:B5"/>
  <sheetViews>
    <sheetView workbookViewId="0">
      <selection activeCell="J9" sqref="J9"/>
    </sheetView>
  </sheetViews>
  <sheetFormatPr baseColWidth="10" defaultRowHeight="13"/>
  <cols>
    <col min="1" max="1" width="20.1640625" bestFit="1" customWidth="1"/>
    <col min="2" max="2" width="11" bestFit="1" customWidth="1"/>
  </cols>
  <sheetData>
    <row r="1" spans="1:2">
      <c r="A1" s="8" t="s">
        <v>21</v>
      </c>
      <c r="B1">
        <v>400</v>
      </c>
    </row>
    <row r="2" spans="1:2">
      <c r="A2" s="8" t="s">
        <v>22</v>
      </c>
      <c r="B2">
        <v>70</v>
      </c>
    </row>
    <row r="3" spans="1:2">
      <c r="A3" s="8" t="s">
        <v>16</v>
      </c>
      <c r="B3">
        <v>6</v>
      </c>
    </row>
    <row r="4" spans="1:2">
      <c r="A4" s="8" t="s">
        <v>17</v>
      </c>
      <c r="B4" s="19">
        <f>RATE(B3,-B2,B1,0,1)</f>
        <v>1.9939613701157141E-2</v>
      </c>
    </row>
    <row r="5" spans="1:2">
      <c r="A5" s="20" t="s">
        <v>11</v>
      </c>
      <c r="B5" s="15">
        <f>(1+B4)^12-1</f>
        <v>0.26734109460851241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EFE9A-C124-B947-BFD0-49C09AFEB7E5}">
  <dimension ref="A1:E18"/>
  <sheetViews>
    <sheetView workbookViewId="0">
      <selection activeCell="C9" sqref="C9"/>
    </sheetView>
  </sheetViews>
  <sheetFormatPr baseColWidth="10" defaultRowHeight="13"/>
  <cols>
    <col min="1" max="1" width="17.5" bestFit="1" customWidth="1"/>
    <col min="2" max="2" width="12" bestFit="1" customWidth="1"/>
  </cols>
  <sheetData>
    <row r="1" spans="1:2">
      <c r="A1" s="8" t="s">
        <v>23</v>
      </c>
      <c r="B1">
        <v>100</v>
      </c>
    </row>
    <row r="2" spans="1:2">
      <c r="A2" s="8" t="s">
        <v>22</v>
      </c>
      <c r="B2">
        <v>10</v>
      </c>
    </row>
    <row r="3" spans="1:2">
      <c r="A3" s="8" t="s">
        <v>16</v>
      </c>
      <c r="B3">
        <v>12</v>
      </c>
    </row>
    <row r="4" spans="1:2">
      <c r="A4" s="8" t="s">
        <v>24</v>
      </c>
      <c r="B4" s="21">
        <f>RATE(B3,-B2,B1,0,1)</f>
        <v>3.5031530362277678E-2</v>
      </c>
    </row>
    <row r="5" spans="1:2">
      <c r="A5" s="8" t="s">
        <v>11</v>
      </c>
      <c r="B5" s="13">
        <f>(1+B4)^12-1</f>
        <v>0.51162115040111655</v>
      </c>
    </row>
    <row r="18" spans="5:5">
      <c r="E18" s="19"/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E24"/>
  <sheetViews>
    <sheetView workbookViewId="0">
      <selection activeCell="E27" sqref="E27"/>
    </sheetView>
  </sheetViews>
  <sheetFormatPr baseColWidth="10" defaultColWidth="8.83203125" defaultRowHeight="13"/>
  <cols>
    <col min="1" max="1" width="30.6640625" bestFit="1" customWidth="1"/>
    <col min="2" max="2" width="11.33203125" customWidth="1"/>
    <col min="3" max="3" width="11.83203125" customWidth="1"/>
    <col min="4" max="4" width="20.5" bestFit="1" customWidth="1"/>
  </cols>
  <sheetData>
    <row r="1" spans="1:5" ht="20.5" customHeight="1">
      <c r="A1" s="7" t="s">
        <v>4</v>
      </c>
      <c r="B1" s="7"/>
      <c r="C1" s="7"/>
      <c r="D1" s="7"/>
    </row>
    <row r="2" spans="1:5" s="3" customFormat="1" ht="29.75" customHeight="1">
      <c r="A2" s="2" t="s">
        <v>0</v>
      </c>
      <c r="B2" s="5" t="s">
        <v>2</v>
      </c>
      <c r="C2" s="6" t="s">
        <v>3</v>
      </c>
    </row>
    <row r="3" spans="1:5">
      <c r="A3" s="4">
        <v>2011</v>
      </c>
      <c r="B3" s="1">
        <v>0.08</v>
      </c>
      <c r="C3" s="1">
        <v>0.115</v>
      </c>
      <c r="E3" s="1"/>
    </row>
    <row r="4" spans="1:5">
      <c r="A4" s="4">
        <f>+A3+1</f>
        <v>2012</v>
      </c>
      <c r="B4" s="1">
        <v>5.1999999999999998E-2</v>
      </c>
      <c r="C4" s="1">
        <v>-0.14499999999999999</v>
      </c>
      <c r="E4" s="1"/>
    </row>
    <row r="5" spans="1:5">
      <c r="A5" s="4">
        <f t="shared" ref="A5:A7" si="0">+A4+1</f>
        <v>2013</v>
      </c>
      <c r="B5" s="1">
        <v>4.2999999999999997E-2</v>
      </c>
      <c r="C5" s="1">
        <v>-0.2</v>
      </c>
      <c r="E5" s="1"/>
    </row>
    <row r="6" spans="1:5">
      <c r="A6" s="4">
        <f t="shared" si="0"/>
        <v>2014</v>
      </c>
      <c r="B6" s="1">
        <v>3.3000000000000002E-2</v>
      </c>
      <c r="C6" s="1">
        <v>0.42499999999999999</v>
      </c>
      <c r="E6" s="1"/>
    </row>
    <row r="7" spans="1:5">
      <c r="A7" s="4">
        <f t="shared" si="0"/>
        <v>2015</v>
      </c>
      <c r="B7" s="1">
        <v>7.0000000000000007E-2</v>
      </c>
      <c r="C7" s="1">
        <v>0.14000000000000001</v>
      </c>
      <c r="E7" s="1"/>
    </row>
    <row r="8" spans="1:5">
      <c r="E8" s="1"/>
    </row>
    <row r="9" spans="1:5">
      <c r="A9" t="s">
        <v>1</v>
      </c>
      <c r="B9" s="1">
        <f>AVERAGE(B3:B7)</f>
        <v>5.5600000000000004E-2</v>
      </c>
      <c r="C9" s="1">
        <f>AVERAGE(C3:C7)</f>
        <v>6.7000000000000004E-2</v>
      </c>
      <c r="D9" t="str">
        <f ca="1">getformula(C9)</f>
        <v>&lt;-- =AVERAGE(C3:C7)</v>
      </c>
    </row>
    <row r="11" spans="1:5">
      <c r="A11" s="8" t="s">
        <v>25</v>
      </c>
    </row>
    <row r="12" spans="1:5">
      <c r="A12" s="8" t="s">
        <v>26</v>
      </c>
      <c r="B12" cm="1">
        <f t="array" ref="B12">100*PRODUCT(B3:B7+1)</f>
        <v>130.98087970128</v>
      </c>
      <c r="C12" cm="1">
        <f t="array" ref="C12">100*PRODUCT(C3:C7+1)</f>
        <v>123.89411700000001</v>
      </c>
    </row>
    <row r="14" spans="1:5">
      <c r="A14" s="8" t="s">
        <v>27</v>
      </c>
    </row>
    <row r="15" spans="1:5">
      <c r="A15" s="8" t="s">
        <v>28</v>
      </c>
      <c r="B15" s="15" cm="1">
        <f t="array" ref="B15">PRODUCT(B3:B7+1)^(1/5)-1</f>
        <v>5.5459517823328364E-2</v>
      </c>
      <c r="C15" s="15" cm="1">
        <f t="array" ref="C15">PRODUCT(C3:C7+1)^(1/5)-1</f>
        <v>4.3782802188847558E-2</v>
      </c>
    </row>
    <row r="17" spans="1:3">
      <c r="A17" s="8" t="s">
        <v>29</v>
      </c>
    </row>
    <row r="18" spans="1:3">
      <c r="A18" s="8" t="s">
        <v>30</v>
      </c>
    </row>
    <row r="20" spans="1:3">
      <c r="A20" s="8" t="s">
        <v>31</v>
      </c>
    </row>
    <row r="21" spans="1:3">
      <c r="A21" t="s">
        <v>32</v>
      </c>
      <c r="B21" s="15" cm="1">
        <f t="array" ref="B21">1/5*LN(PRODUCT(B3:B7+1))</f>
        <v>5.3976234016319638E-2</v>
      </c>
      <c r="C21" s="15" cm="1">
        <f t="array" ref="C21">1/5*LN(PRODUCT(C3:C7+1))</f>
        <v>4.2851423935902716E-2</v>
      </c>
    </row>
    <row r="23" spans="1:3">
      <c r="A23" s="8" t="s">
        <v>33</v>
      </c>
    </row>
    <row r="24" spans="1:3">
      <c r="A24" s="8" t="s">
        <v>26</v>
      </c>
      <c r="B24" s="8">
        <f>100*EXP(B21*5)</f>
        <v>130.98087970128</v>
      </c>
      <c r="C24" s="8">
        <f>100*EXP(C21*5)</f>
        <v>123.89411700000001</v>
      </c>
    </row>
  </sheetData>
  <mergeCells count="1">
    <mergeCell ref="A1:D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1DCAC-4109-B041-8B82-627D4EB9333C}">
  <dimension ref="A1:B9"/>
  <sheetViews>
    <sheetView workbookViewId="0">
      <selection activeCell="B9" sqref="B9"/>
    </sheetView>
  </sheetViews>
  <sheetFormatPr baseColWidth="10" defaultRowHeight="13"/>
  <cols>
    <col min="1" max="1" width="13.33203125" bestFit="1" customWidth="1"/>
    <col min="2" max="2" width="11.5" bestFit="1" customWidth="1"/>
  </cols>
  <sheetData>
    <row r="1" spans="1:2">
      <c r="A1" s="8" t="s">
        <v>34</v>
      </c>
      <c r="B1">
        <v>5</v>
      </c>
    </row>
    <row r="2" spans="1:2">
      <c r="A2" s="8" t="s">
        <v>5</v>
      </c>
      <c r="B2">
        <v>100000</v>
      </c>
    </row>
    <row r="3" spans="1:2">
      <c r="A3" s="8" t="s">
        <v>35</v>
      </c>
      <c r="B3" s="1">
        <v>1.2E-2</v>
      </c>
    </row>
    <row r="4" spans="1:2">
      <c r="A4" s="8" t="s">
        <v>36</v>
      </c>
      <c r="B4">
        <v>600</v>
      </c>
    </row>
    <row r="5" spans="1:2">
      <c r="A5" s="8" t="s">
        <v>6</v>
      </c>
      <c r="B5" s="9">
        <v>0.12</v>
      </c>
    </row>
    <row r="7" spans="1:2">
      <c r="A7" s="8" t="s">
        <v>8</v>
      </c>
      <c r="B7" s="11">
        <f>PMT(B5,B1,B2,0,0)</f>
        <v>-27740.973194104892</v>
      </c>
    </row>
    <row r="8" spans="1:2">
      <c r="A8" s="8" t="s">
        <v>37</v>
      </c>
      <c r="B8">
        <f>B2*(1-B3)-B4</f>
        <v>98200</v>
      </c>
    </row>
    <row r="9" spans="1:2">
      <c r="A9" s="8" t="s">
        <v>11</v>
      </c>
      <c r="B9" s="16">
        <f>RATE(B1,B7,B8,0)</f>
        <v>0.12737336306536953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7E359-4703-E340-9E03-7A5E00128D6C}">
  <dimension ref="A1:H36"/>
  <sheetViews>
    <sheetView workbookViewId="0">
      <selection activeCell="F35" sqref="A15:F35"/>
    </sheetView>
  </sheetViews>
  <sheetFormatPr baseColWidth="10" defaultRowHeight="13"/>
  <cols>
    <col min="1" max="1" width="13.3320312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bestFit="1" customWidth="1"/>
    <col min="8" max="8" width="11.5" bestFit="1" customWidth="1"/>
  </cols>
  <sheetData>
    <row r="1" spans="1:8">
      <c r="A1" s="8" t="s">
        <v>34</v>
      </c>
      <c r="B1">
        <v>20</v>
      </c>
    </row>
    <row r="2" spans="1:8">
      <c r="A2" s="8" t="s">
        <v>5</v>
      </c>
      <c r="B2">
        <v>100000</v>
      </c>
    </row>
    <row r="3" spans="1:8">
      <c r="A3" s="8" t="s">
        <v>35</v>
      </c>
      <c r="B3" s="1">
        <v>1.4999999999999999E-2</v>
      </c>
    </row>
    <row r="4" spans="1:8">
      <c r="A4" s="8" t="s">
        <v>36</v>
      </c>
      <c r="B4">
        <v>750</v>
      </c>
    </row>
    <row r="5" spans="1:8">
      <c r="A5" s="8" t="s">
        <v>6</v>
      </c>
      <c r="B5" s="9">
        <v>0.1</v>
      </c>
    </row>
    <row r="7" spans="1:8">
      <c r="A7" s="8" t="s">
        <v>7</v>
      </c>
    </row>
    <row r="8" spans="1:8">
      <c r="A8" s="8" t="s">
        <v>8</v>
      </c>
      <c r="B8" s="11">
        <f>PMT(B5,B1,B2,0)</f>
        <v>-11745.962477254579</v>
      </c>
    </row>
    <row r="10" spans="1:8">
      <c r="A10" s="8" t="s">
        <v>10</v>
      </c>
    </row>
    <row r="11" spans="1:8">
      <c r="A11" s="8" t="s">
        <v>37</v>
      </c>
      <c r="B11">
        <f>B2*(1-B3)-B4</f>
        <v>97750</v>
      </c>
    </row>
    <row r="12" spans="1:8">
      <c r="A12" s="8" t="s">
        <v>11</v>
      </c>
      <c r="B12" s="17">
        <f>RATE(B1,B8,B11)</f>
        <v>0.10335818729295143</v>
      </c>
    </row>
    <row r="14" spans="1:8">
      <c r="A14" s="8" t="s">
        <v>38</v>
      </c>
    </row>
    <row r="15" spans="1:8">
      <c r="A15" s="8" t="s">
        <v>39</v>
      </c>
      <c r="B15" s="8" t="s">
        <v>40</v>
      </c>
      <c r="C15" s="8" t="s">
        <v>41</v>
      </c>
      <c r="D15" s="8" t="s">
        <v>42</v>
      </c>
      <c r="E15" s="8" t="s">
        <v>43</v>
      </c>
      <c r="F15" s="8" t="s">
        <v>44</v>
      </c>
      <c r="H15">
        <f>B16</f>
        <v>97750</v>
      </c>
    </row>
    <row r="16" spans="1:8">
      <c r="A16">
        <v>1</v>
      </c>
      <c r="B16">
        <f>B11</f>
        <v>97750</v>
      </c>
      <c r="C16">
        <f>B16*$B$12</f>
        <v>10103.262807886002</v>
      </c>
      <c r="D16" s="11">
        <f>E16-C16</f>
        <v>1642.6996693685778</v>
      </c>
      <c r="E16" s="11">
        <f>-$B$8</f>
        <v>11745.962477254579</v>
      </c>
      <c r="F16" s="11">
        <f>B16-D16</f>
        <v>96107.30033063142</v>
      </c>
      <c r="H16" s="11">
        <f>$B$8</f>
        <v>-11745.962477254579</v>
      </c>
    </row>
    <row r="17" spans="1:8">
      <c r="A17">
        <v>2</v>
      </c>
      <c r="B17">
        <f>F16</f>
        <v>96107.30033063142</v>
      </c>
      <c r="C17">
        <f t="shared" ref="C17:C35" si="0">B17*$B$12</f>
        <v>9933.4763477933357</v>
      </c>
      <c r="D17" s="11">
        <f t="shared" ref="D17:D35" si="1">E17-C17</f>
        <v>1812.4861294612438</v>
      </c>
      <c r="E17" s="11">
        <f t="shared" ref="E17:E35" si="2">-$B$8</f>
        <v>11745.962477254579</v>
      </c>
      <c r="F17" s="11">
        <f t="shared" ref="F17:F21" si="3">B17-D17</f>
        <v>94294.814201170171</v>
      </c>
      <c r="H17" s="11">
        <f t="shared" ref="H17:H35" si="4">$B$8</f>
        <v>-11745.962477254579</v>
      </c>
    </row>
    <row r="18" spans="1:8">
      <c r="A18">
        <v>3</v>
      </c>
      <c r="B18">
        <f t="shared" ref="B18:B35" si="5">F17</f>
        <v>94294.814201170171</v>
      </c>
      <c r="C18">
        <f t="shared" si="0"/>
        <v>9746.1410669586021</v>
      </c>
      <c r="D18" s="11">
        <f t="shared" si="1"/>
        <v>1999.8214102959773</v>
      </c>
      <c r="E18" s="11">
        <f t="shared" si="2"/>
        <v>11745.962477254579</v>
      </c>
      <c r="F18" s="11">
        <f t="shared" si="3"/>
        <v>92294.992790874196</v>
      </c>
      <c r="H18" s="11">
        <f t="shared" si="4"/>
        <v>-11745.962477254579</v>
      </c>
    </row>
    <row r="19" spans="1:8">
      <c r="A19">
        <v>4</v>
      </c>
      <c r="B19">
        <f t="shared" si="5"/>
        <v>92294.992790874196</v>
      </c>
      <c r="C19">
        <f t="shared" si="0"/>
        <v>9539.4431510807772</v>
      </c>
      <c r="D19" s="11">
        <f t="shared" si="1"/>
        <v>2206.5193261738023</v>
      </c>
      <c r="E19" s="11">
        <f t="shared" si="2"/>
        <v>11745.962477254579</v>
      </c>
      <c r="F19" s="11">
        <f t="shared" si="3"/>
        <v>90088.473464700393</v>
      </c>
      <c r="H19" s="11">
        <f t="shared" si="4"/>
        <v>-11745.962477254579</v>
      </c>
    </row>
    <row r="20" spans="1:8">
      <c r="A20">
        <v>5</v>
      </c>
      <c r="B20">
        <f t="shared" si="5"/>
        <v>90088.473464700393</v>
      </c>
      <c r="C20">
        <f t="shared" si="0"/>
        <v>9311.3813133005879</v>
      </c>
      <c r="D20" s="11">
        <f t="shared" si="1"/>
        <v>2434.5811639539916</v>
      </c>
      <c r="E20" s="11">
        <f t="shared" si="2"/>
        <v>11745.962477254579</v>
      </c>
      <c r="F20" s="11">
        <f t="shared" si="3"/>
        <v>87653.892300746404</v>
      </c>
      <c r="H20" s="11">
        <f t="shared" si="4"/>
        <v>-11745.962477254579</v>
      </c>
    </row>
    <row r="21" spans="1:8">
      <c r="A21">
        <v>6</v>
      </c>
      <c r="B21">
        <f t="shared" si="5"/>
        <v>87653.892300746404</v>
      </c>
      <c r="C21">
        <f t="shared" si="0"/>
        <v>9059.7474173767405</v>
      </c>
      <c r="D21" s="11">
        <f t="shared" si="1"/>
        <v>2686.2150598778389</v>
      </c>
      <c r="E21" s="11">
        <f t="shared" si="2"/>
        <v>11745.962477254579</v>
      </c>
      <c r="F21" s="11">
        <f t="shared" si="3"/>
        <v>84967.677240868565</v>
      </c>
      <c r="H21" s="11">
        <f t="shared" si="4"/>
        <v>-11745.962477254579</v>
      </c>
    </row>
    <row r="22" spans="1:8">
      <c r="A22">
        <v>7</v>
      </c>
      <c r="B22">
        <f t="shared" si="5"/>
        <v>84967.677240868565</v>
      </c>
      <c r="C22">
        <f t="shared" si="0"/>
        <v>8782.1050981087392</v>
      </c>
      <c r="D22" s="11">
        <f t="shared" si="1"/>
        <v>2963.8573791458402</v>
      </c>
      <c r="E22" s="11">
        <f t="shared" si="2"/>
        <v>11745.962477254579</v>
      </c>
      <c r="F22" s="11">
        <f t="shared" ref="F22:F35" si="6">B22-D22</f>
        <v>82003.819861722732</v>
      </c>
      <c r="H22" s="11">
        <f t="shared" si="4"/>
        <v>-11745.962477254579</v>
      </c>
    </row>
    <row r="23" spans="1:8">
      <c r="A23">
        <v>8</v>
      </c>
      <c r="B23">
        <f t="shared" si="5"/>
        <v>82003.819861722732</v>
      </c>
      <c r="C23">
        <f t="shared" si="0"/>
        <v>8475.7661720053893</v>
      </c>
      <c r="D23" s="11">
        <f t="shared" si="1"/>
        <v>3270.1963052491901</v>
      </c>
      <c r="E23" s="11">
        <f t="shared" si="2"/>
        <v>11745.962477254579</v>
      </c>
      <c r="F23" s="11">
        <f t="shared" si="6"/>
        <v>78733.62355647354</v>
      </c>
      <c r="H23" s="11">
        <f t="shared" si="4"/>
        <v>-11745.962477254579</v>
      </c>
    </row>
    <row r="24" spans="1:8">
      <c r="A24">
        <v>9</v>
      </c>
      <c r="B24">
        <f t="shared" si="5"/>
        <v>78733.62355647354</v>
      </c>
      <c r="C24">
        <f t="shared" si="0"/>
        <v>8137.7646098027253</v>
      </c>
      <c r="D24" s="11">
        <f t="shared" si="1"/>
        <v>3608.1978674518541</v>
      </c>
      <c r="E24" s="11">
        <f t="shared" si="2"/>
        <v>11745.962477254579</v>
      </c>
      <c r="F24" s="11">
        <f t="shared" si="6"/>
        <v>75125.425689021678</v>
      </c>
      <c r="H24" s="11">
        <f t="shared" si="4"/>
        <v>-11745.962477254579</v>
      </c>
    </row>
    <row r="25" spans="1:8">
      <c r="A25">
        <v>10</v>
      </c>
      <c r="B25">
        <f t="shared" si="5"/>
        <v>75125.425689021678</v>
      </c>
      <c r="C25">
        <f t="shared" si="0"/>
        <v>7764.8278188286076</v>
      </c>
      <c r="D25" s="11">
        <f t="shared" si="1"/>
        <v>3981.1346584259718</v>
      </c>
      <c r="E25" s="11">
        <f t="shared" si="2"/>
        <v>11745.962477254579</v>
      </c>
      <c r="F25" s="11">
        <f t="shared" si="6"/>
        <v>71144.291030595705</v>
      </c>
      <c r="H25" s="11">
        <f t="shared" si="4"/>
        <v>-11745.962477254579</v>
      </c>
    </row>
    <row r="26" spans="1:8">
      <c r="A26">
        <v>11</v>
      </c>
      <c r="B26">
        <f t="shared" si="5"/>
        <v>71144.291030595705</v>
      </c>
      <c r="C26">
        <f t="shared" si="0"/>
        <v>7353.3449571645551</v>
      </c>
      <c r="D26" s="11">
        <f t="shared" si="1"/>
        <v>4392.6175200900243</v>
      </c>
      <c r="E26" s="11">
        <f t="shared" si="2"/>
        <v>11745.962477254579</v>
      </c>
      <c r="F26" s="11">
        <f t="shared" si="6"/>
        <v>66751.673510505687</v>
      </c>
      <c r="H26" s="11">
        <f t="shared" si="4"/>
        <v>-11745.962477254579</v>
      </c>
    </row>
    <row r="27" spans="1:8">
      <c r="A27">
        <v>12</v>
      </c>
      <c r="B27">
        <f t="shared" si="5"/>
        <v>66751.673510505687</v>
      </c>
      <c r="C27">
        <f t="shared" si="0"/>
        <v>6899.3319728167917</v>
      </c>
      <c r="D27" s="11">
        <f t="shared" si="1"/>
        <v>4846.6305044377877</v>
      </c>
      <c r="E27" s="11">
        <f t="shared" si="2"/>
        <v>11745.962477254579</v>
      </c>
      <c r="F27" s="11">
        <f t="shared" si="6"/>
        <v>61905.043006067899</v>
      </c>
      <c r="H27" s="11">
        <f t="shared" si="4"/>
        <v>-11745.962477254579</v>
      </c>
    </row>
    <row r="28" spans="1:8">
      <c r="A28">
        <v>13</v>
      </c>
      <c r="B28">
        <f t="shared" si="5"/>
        <v>61905.043006067899</v>
      </c>
      <c r="C28">
        <f t="shared" si="0"/>
        <v>6398.393029399379</v>
      </c>
      <c r="D28" s="11">
        <f t="shared" si="1"/>
        <v>5347.5694478552005</v>
      </c>
      <c r="E28" s="11">
        <f t="shared" si="2"/>
        <v>11745.962477254579</v>
      </c>
      <c r="F28" s="11">
        <f t="shared" si="6"/>
        <v>56557.473558212696</v>
      </c>
      <c r="H28" s="11">
        <f t="shared" si="4"/>
        <v>-11745.962477254579</v>
      </c>
    </row>
    <row r="29" spans="1:8">
      <c r="A29">
        <v>14</v>
      </c>
      <c r="B29">
        <f t="shared" si="5"/>
        <v>56557.473558212696</v>
      </c>
      <c r="C29">
        <f t="shared" si="0"/>
        <v>5845.6779448458956</v>
      </c>
      <c r="D29" s="11">
        <f t="shared" si="1"/>
        <v>5900.2845324086838</v>
      </c>
      <c r="E29" s="11">
        <f t="shared" si="2"/>
        <v>11745.962477254579</v>
      </c>
      <c r="F29" s="11">
        <f t="shared" si="6"/>
        <v>50657.189025804015</v>
      </c>
      <c r="H29" s="11">
        <f t="shared" si="4"/>
        <v>-11745.962477254579</v>
      </c>
    </row>
    <row r="30" spans="1:8">
      <c r="A30">
        <v>15</v>
      </c>
      <c r="B30">
        <f t="shared" si="5"/>
        <v>50657.189025804015</v>
      </c>
      <c r="C30">
        <f t="shared" si="0"/>
        <v>5235.8352310634955</v>
      </c>
      <c r="D30" s="11">
        <f t="shared" si="1"/>
        <v>6510.1272461910839</v>
      </c>
      <c r="E30" s="11">
        <f t="shared" si="2"/>
        <v>11745.962477254579</v>
      </c>
      <c r="F30" s="11">
        <f t="shared" si="6"/>
        <v>44147.06177961293</v>
      </c>
      <c r="H30" s="11">
        <f t="shared" si="4"/>
        <v>-11745.962477254579</v>
      </c>
    </row>
    <row r="31" spans="1:8">
      <c r="A31">
        <v>16</v>
      </c>
      <c r="B31">
        <f t="shared" si="5"/>
        <v>44147.06177961293</v>
      </c>
      <c r="C31">
        <f t="shared" si="0"/>
        <v>4562.9602798507312</v>
      </c>
      <c r="D31" s="11">
        <f t="shared" si="1"/>
        <v>7183.0021974038482</v>
      </c>
      <c r="E31" s="11">
        <f t="shared" si="2"/>
        <v>11745.962477254579</v>
      </c>
      <c r="F31" s="11">
        <f t="shared" si="6"/>
        <v>36964.059582209084</v>
      </c>
      <c r="H31" s="11">
        <f t="shared" si="4"/>
        <v>-11745.962477254579</v>
      </c>
    </row>
    <row r="32" spans="1:8">
      <c r="A32">
        <v>17</v>
      </c>
      <c r="B32">
        <f t="shared" si="5"/>
        <v>36964.059582209084</v>
      </c>
      <c r="C32">
        <f t="shared" si="0"/>
        <v>3820.5381934057823</v>
      </c>
      <c r="D32" s="11">
        <f t="shared" si="1"/>
        <v>7925.4242838487971</v>
      </c>
      <c r="E32" s="11">
        <f t="shared" si="2"/>
        <v>11745.962477254579</v>
      </c>
      <c r="F32" s="11">
        <f t="shared" si="6"/>
        <v>29038.635298360285</v>
      </c>
      <c r="H32" s="11">
        <f t="shared" si="4"/>
        <v>-11745.962477254579</v>
      </c>
    </row>
    <row r="33" spans="1:8">
      <c r="A33">
        <v>18</v>
      </c>
      <c r="B33">
        <f t="shared" si="5"/>
        <v>29038.635298360285</v>
      </c>
      <c r="C33">
        <f t="shared" si="0"/>
        <v>3001.3807058996331</v>
      </c>
      <c r="D33" s="11">
        <f t="shared" si="1"/>
        <v>8744.5817713549459</v>
      </c>
      <c r="E33" s="11">
        <f t="shared" si="2"/>
        <v>11745.962477254579</v>
      </c>
      <c r="F33" s="11">
        <f t="shared" si="6"/>
        <v>20294.053527005337</v>
      </c>
      <c r="H33" s="11">
        <f t="shared" si="4"/>
        <v>-11745.962477254579</v>
      </c>
    </row>
    <row r="34" spans="1:8">
      <c r="A34">
        <v>19</v>
      </c>
      <c r="B34">
        <f t="shared" si="5"/>
        <v>20294.053527005337</v>
      </c>
      <c r="C34">
        <f t="shared" si="0"/>
        <v>2097.5565853773992</v>
      </c>
      <c r="D34" s="11">
        <f t="shared" si="1"/>
        <v>9648.4058918771807</v>
      </c>
      <c r="E34" s="11">
        <f t="shared" si="2"/>
        <v>11745.962477254579</v>
      </c>
      <c r="F34" s="11">
        <f t="shared" si="6"/>
        <v>10645.647635128156</v>
      </c>
      <c r="H34" s="11">
        <f t="shared" si="4"/>
        <v>-11745.962477254579</v>
      </c>
    </row>
    <row r="35" spans="1:8">
      <c r="A35">
        <v>20</v>
      </c>
      <c r="B35">
        <f t="shared" si="5"/>
        <v>10645.647635128156</v>
      </c>
      <c r="C35">
        <f t="shared" si="0"/>
        <v>1100.3148421263415</v>
      </c>
      <c r="D35" s="11">
        <f t="shared" si="1"/>
        <v>10645.647635128238</v>
      </c>
      <c r="E35" s="11">
        <f t="shared" si="2"/>
        <v>11745.962477254579</v>
      </c>
      <c r="F35" s="11">
        <f t="shared" si="6"/>
        <v>-8.1854523159563541E-11</v>
      </c>
      <c r="H35" s="11">
        <f t="shared" si="4"/>
        <v>-11745.962477254579</v>
      </c>
    </row>
    <row r="36" spans="1:8">
      <c r="H36" s="17">
        <f>IRR(H15:H35)</f>
        <v>0.10335818729295121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4FADC-29AC-6249-B2E6-5E2F84A1B89F}">
  <dimension ref="A1:F282"/>
  <sheetViews>
    <sheetView workbookViewId="0">
      <selection activeCell="A13" sqref="A13:F49"/>
    </sheetView>
  </sheetViews>
  <sheetFormatPr baseColWidth="10" defaultRowHeight="13"/>
  <cols>
    <col min="1" max="1" width="13.3320312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bestFit="1" customWidth="1"/>
  </cols>
  <sheetData>
    <row r="1" spans="1:6">
      <c r="A1" s="8" t="s">
        <v>34</v>
      </c>
      <c r="B1">
        <v>20</v>
      </c>
    </row>
    <row r="2" spans="1:6">
      <c r="A2" s="8" t="s">
        <v>5</v>
      </c>
      <c r="B2">
        <v>100000</v>
      </c>
    </row>
    <row r="3" spans="1:6">
      <c r="A3" s="8" t="s">
        <v>35</v>
      </c>
      <c r="B3" s="1">
        <v>1.4999999999999999E-2</v>
      </c>
    </row>
    <row r="4" spans="1:6">
      <c r="A4" s="8" t="s">
        <v>36</v>
      </c>
      <c r="B4">
        <v>750</v>
      </c>
    </row>
    <row r="5" spans="1:6">
      <c r="A5" s="8" t="s">
        <v>6</v>
      </c>
      <c r="B5" s="9">
        <v>0.1</v>
      </c>
    </row>
    <row r="6" spans="1:6">
      <c r="A6" s="8" t="s">
        <v>45</v>
      </c>
      <c r="B6" s="23">
        <f>(1+B5)^(1/12)-1</f>
        <v>7.9741404289037643E-3</v>
      </c>
    </row>
    <row r="8" spans="1:6">
      <c r="A8" s="8" t="s">
        <v>7</v>
      </c>
    </row>
    <row r="9" spans="1:6">
      <c r="A9" s="8" t="s">
        <v>8</v>
      </c>
      <c r="B9" s="11">
        <f>PMT(B6,B1*12,B2)</f>
        <v>-936.6395426626226</v>
      </c>
    </row>
    <row r="10" spans="1:6">
      <c r="A10" s="8" t="s">
        <v>37</v>
      </c>
      <c r="B10">
        <f>B2*(1-B3)-B4</f>
        <v>97750</v>
      </c>
    </row>
    <row r="11" spans="1:6">
      <c r="A11" s="8" t="s">
        <v>46</v>
      </c>
      <c r="B11" s="23">
        <f>RATE(B1*12,B9,B10)</f>
        <v>8.2473945564754386E-3</v>
      </c>
    </row>
    <row r="12" spans="1:6">
      <c r="A12" s="8" t="s">
        <v>11</v>
      </c>
      <c r="B12" s="23">
        <f>(1+B11)^12-1</f>
        <v>0.10358375994035263</v>
      </c>
    </row>
    <row r="13" spans="1:6">
      <c r="A13" s="8" t="s">
        <v>39</v>
      </c>
      <c r="B13" s="8" t="s">
        <v>40</v>
      </c>
      <c r="C13" s="8" t="s">
        <v>41</v>
      </c>
      <c r="D13" s="8" t="s">
        <v>42</v>
      </c>
      <c r="E13" s="8" t="s">
        <v>43</v>
      </c>
      <c r="F13" s="8" t="s">
        <v>44</v>
      </c>
    </row>
    <row r="14" spans="1:6">
      <c r="A14">
        <v>1</v>
      </c>
      <c r="B14">
        <f>B10</f>
        <v>97750</v>
      </c>
      <c r="C14">
        <f>B14*$B$11</f>
        <v>806.18281789547416</v>
      </c>
      <c r="D14" s="11">
        <f>E14-C14</f>
        <v>130.45672476714844</v>
      </c>
      <c r="E14" s="11">
        <f>-$B$9</f>
        <v>936.6395426626226</v>
      </c>
      <c r="F14" s="11">
        <f>B14-D14</f>
        <v>97619.543275232849</v>
      </c>
    </row>
    <row r="15" spans="1:6">
      <c r="A15">
        <v>2</v>
      </c>
      <c r="B15">
        <f>F14</f>
        <v>97619.543275232849</v>
      </c>
      <c r="C15">
        <f t="shared" ref="C15:C78" si="0">B15*$B$11</f>
        <v>805.10688981377393</v>
      </c>
      <c r="D15" s="11">
        <f t="shared" ref="D15:D78" si="1">E15-C15</f>
        <v>131.53265284884867</v>
      </c>
      <c r="E15" s="11">
        <f t="shared" ref="E15:E78" si="2">-$B$9</f>
        <v>936.6395426626226</v>
      </c>
      <c r="F15" s="11">
        <f t="shared" ref="F15:F34" si="3">B15-D15</f>
        <v>97488.010622383998</v>
      </c>
    </row>
    <row r="16" spans="1:6">
      <c r="A16">
        <v>3</v>
      </c>
      <c r="B16">
        <f t="shared" ref="B16:B79" si="4">F15</f>
        <v>97488.010622383998</v>
      </c>
      <c r="C16">
        <f t="shared" si="0"/>
        <v>804.02208812866957</v>
      </c>
      <c r="D16" s="11">
        <f t="shared" si="1"/>
        <v>132.61745453395304</v>
      </c>
      <c r="E16" s="11">
        <f t="shared" si="2"/>
        <v>936.6395426626226</v>
      </c>
      <c r="F16" s="11">
        <f t="shared" si="3"/>
        <v>97355.393167850038</v>
      </c>
    </row>
    <row r="17" spans="1:6">
      <c r="A17">
        <v>4</v>
      </c>
      <c r="B17">
        <f t="shared" si="4"/>
        <v>97355.393167850038</v>
      </c>
      <c r="C17">
        <f t="shared" si="0"/>
        <v>802.92833965605246</v>
      </c>
      <c r="D17" s="11">
        <f t="shared" si="1"/>
        <v>133.71120300657014</v>
      </c>
      <c r="E17" s="11">
        <f t="shared" si="2"/>
        <v>936.6395426626226</v>
      </c>
      <c r="F17" s="11">
        <f t="shared" si="3"/>
        <v>97221.681964843461</v>
      </c>
    </row>
    <row r="18" spans="1:6">
      <c r="A18">
        <v>5</v>
      </c>
      <c r="B18">
        <f t="shared" si="4"/>
        <v>97221.681964843461</v>
      </c>
      <c r="C18">
        <f t="shared" si="0"/>
        <v>801.82557060823626</v>
      </c>
      <c r="D18" s="11">
        <f t="shared" si="1"/>
        <v>134.81397205438634</v>
      </c>
      <c r="E18" s="11">
        <f t="shared" si="2"/>
        <v>936.6395426626226</v>
      </c>
      <c r="F18" s="11">
        <f t="shared" si="3"/>
        <v>97086.867992789077</v>
      </c>
    </row>
    <row r="19" spans="1:6">
      <c r="A19">
        <v>6</v>
      </c>
      <c r="B19">
        <f t="shared" si="4"/>
        <v>97086.867992789077</v>
      </c>
      <c r="C19">
        <f t="shared" si="0"/>
        <v>800.71370658897808</v>
      </c>
      <c r="D19" s="11">
        <f t="shared" si="1"/>
        <v>135.92583607364452</v>
      </c>
      <c r="E19" s="11">
        <f t="shared" si="2"/>
        <v>936.6395426626226</v>
      </c>
      <c r="F19" s="11">
        <f t="shared" si="3"/>
        <v>96950.942156715435</v>
      </c>
    </row>
    <row r="20" spans="1:6">
      <c r="A20">
        <v>7</v>
      </c>
      <c r="B20">
        <f t="shared" si="4"/>
        <v>96950.942156715435</v>
      </c>
      <c r="C20">
        <f t="shared" si="0"/>
        <v>799.59267258846</v>
      </c>
      <c r="D20" s="11">
        <f t="shared" si="1"/>
        <v>137.0468700741626</v>
      </c>
      <c r="E20" s="11">
        <f t="shared" si="2"/>
        <v>936.6395426626226</v>
      </c>
      <c r="F20" s="11">
        <f t="shared" si="3"/>
        <v>96813.895286641273</v>
      </c>
    </row>
    <row r="21" spans="1:6">
      <c r="A21">
        <v>8</v>
      </c>
      <c r="B21">
        <f t="shared" si="4"/>
        <v>96813.895286641273</v>
      </c>
      <c r="C21">
        <f t="shared" si="0"/>
        <v>798.46239297822831</v>
      </c>
      <c r="D21" s="11">
        <f t="shared" si="1"/>
        <v>138.17714968439429</v>
      </c>
      <c r="E21" s="11">
        <f t="shared" si="2"/>
        <v>936.6395426626226</v>
      </c>
      <c r="F21" s="11">
        <f t="shared" si="3"/>
        <v>96675.718136956872</v>
      </c>
    </row>
    <row r="22" spans="1:6">
      <c r="A22">
        <v>9</v>
      </c>
      <c r="B22">
        <f t="shared" si="4"/>
        <v>96675.718136956872</v>
      </c>
      <c r="C22">
        <f t="shared" si="0"/>
        <v>797.3227915060919</v>
      </c>
      <c r="D22" s="11">
        <f t="shared" si="1"/>
        <v>139.3167511565307</v>
      </c>
      <c r="E22" s="11">
        <f t="shared" si="2"/>
        <v>936.6395426626226</v>
      </c>
      <c r="F22" s="11">
        <f t="shared" si="3"/>
        <v>96536.401385800345</v>
      </c>
    </row>
    <row r="23" spans="1:6">
      <c r="A23">
        <v>10</v>
      </c>
      <c r="B23">
        <f t="shared" si="4"/>
        <v>96536.401385800345</v>
      </c>
      <c r="C23">
        <f t="shared" si="0"/>
        <v>796.17379129097776</v>
      </c>
      <c r="D23" s="11">
        <f t="shared" si="1"/>
        <v>140.46575137164484</v>
      </c>
      <c r="E23" s="11">
        <f t="shared" si="2"/>
        <v>936.6395426626226</v>
      </c>
      <c r="F23" s="11">
        <f t="shared" si="3"/>
        <v>96395.935634428693</v>
      </c>
    </row>
    <row r="24" spans="1:6">
      <c r="A24">
        <v>11</v>
      </c>
      <c r="B24">
        <f t="shared" si="4"/>
        <v>96395.935634428693</v>
      </c>
      <c r="C24">
        <f t="shared" si="0"/>
        <v>795.01531481774396</v>
      </c>
      <c r="D24" s="11">
        <f t="shared" si="1"/>
        <v>141.62422784487865</v>
      </c>
      <c r="E24" s="11">
        <f t="shared" si="2"/>
        <v>936.6395426626226</v>
      </c>
      <c r="F24" s="11">
        <f t="shared" si="3"/>
        <v>96254.311406583816</v>
      </c>
    </row>
    <row r="25" spans="1:6">
      <c r="A25">
        <v>12</v>
      </c>
      <c r="B25">
        <f t="shared" si="4"/>
        <v>96254.311406583816</v>
      </c>
      <c r="C25">
        <f t="shared" si="0"/>
        <v>793.8472839319511</v>
      </c>
      <c r="D25" s="11">
        <f t="shared" si="1"/>
        <v>142.79225873067151</v>
      </c>
      <c r="E25" s="11">
        <f t="shared" si="2"/>
        <v>936.6395426626226</v>
      </c>
      <c r="F25" s="11">
        <f t="shared" si="3"/>
        <v>96111.519147853149</v>
      </c>
    </row>
    <row r="26" spans="1:6">
      <c r="A26">
        <v>13</v>
      </c>
      <c r="B26">
        <f t="shared" si="4"/>
        <v>96111.519147853149</v>
      </c>
      <c r="C26">
        <f t="shared" si="0"/>
        <v>792.66961983458896</v>
      </c>
      <c r="D26" s="11">
        <f t="shared" si="1"/>
        <v>143.96992282803365</v>
      </c>
      <c r="E26" s="11">
        <f t="shared" si="2"/>
        <v>936.6395426626226</v>
      </c>
      <c r="F26" s="11">
        <f t="shared" si="3"/>
        <v>95967.549225025112</v>
      </c>
    </row>
    <row r="27" spans="1:6">
      <c r="A27">
        <v>14</v>
      </c>
      <c r="B27">
        <f t="shared" si="4"/>
        <v>95967.549225025112</v>
      </c>
      <c r="C27">
        <f t="shared" si="0"/>
        <v>791.48224307676082</v>
      </c>
      <c r="D27" s="11">
        <f t="shared" si="1"/>
        <v>145.15729958586178</v>
      </c>
      <c r="E27" s="11">
        <f t="shared" si="2"/>
        <v>936.6395426626226</v>
      </c>
      <c r="F27" s="11">
        <f t="shared" si="3"/>
        <v>95822.391925439253</v>
      </c>
    </row>
    <row r="28" spans="1:6">
      <c r="A28">
        <v>15</v>
      </c>
      <c r="B28">
        <f t="shared" si="4"/>
        <v>95822.391925439253</v>
      </c>
      <c r="C28">
        <f t="shared" si="0"/>
        <v>790.28507355432373</v>
      </c>
      <c r="D28" s="11">
        <f t="shared" si="1"/>
        <v>146.35446910829887</v>
      </c>
      <c r="E28" s="11">
        <f t="shared" si="2"/>
        <v>936.6395426626226</v>
      </c>
      <c r="F28" s="11">
        <f t="shared" si="3"/>
        <v>95676.03745633096</v>
      </c>
    </row>
    <row r="29" spans="1:6">
      <c r="A29">
        <v>16</v>
      </c>
      <c r="B29">
        <f t="shared" si="4"/>
        <v>95676.03745633096</v>
      </c>
      <c r="C29">
        <f t="shared" si="0"/>
        <v>789.07803050248413</v>
      </c>
      <c r="D29" s="11">
        <f t="shared" si="1"/>
        <v>147.56151216013848</v>
      </c>
      <c r="E29" s="11">
        <f t="shared" si="2"/>
        <v>936.6395426626226</v>
      </c>
      <c r="F29" s="11">
        <f t="shared" si="3"/>
        <v>95528.475944170816</v>
      </c>
    </row>
    <row r="30" spans="1:6">
      <c r="A30">
        <v>17</v>
      </c>
      <c r="B30">
        <f t="shared" si="4"/>
        <v>95528.475944170816</v>
      </c>
      <c r="C30">
        <f t="shared" si="0"/>
        <v>787.86103249034932</v>
      </c>
      <c r="D30" s="11">
        <f t="shared" si="1"/>
        <v>148.77851017227329</v>
      </c>
      <c r="E30" s="11">
        <f t="shared" si="2"/>
        <v>936.6395426626226</v>
      </c>
      <c r="F30" s="11">
        <f t="shared" si="3"/>
        <v>95379.697433998546</v>
      </c>
    </row>
    <row r="31" spans="1:6">
      <c r="A31">
        <v>18</v>
      </c>
      <c r="B31">
        <f t="shared" si="4"/>
        <v>95379.697433998546</v>
      </c>
      <c r="C31">
        <f t="shared" si="0"/>
        <v>786.63399741543401</v>
      </c>
      <c r="D31" s="11">
        <f t="shared" si="1"/>
        <v>150.00554524718859</v>
      </c>
      <c r="E31" s="11">
        <f t="shared" si="2"/>
        <v>936.6395426626226</v>
      </c>
      <c r="F31" s="11">
        <f t="shared" si="3"/>
        <v>95229.69188875136</v>
      </c>
    </row>
    <row r="32" spans="1:6">
      <c r="A32">
        <v>19</v>
      </c>
      <c r="B32">
        <f t="shared" si="4"/>
        <v>95229.69188875136</v>
      </c>
      <c r="C32">
        <f t="shared" si="0"/>
        <v>785.39684249812115</v>
      </c>
      <c r="D32" s="11">
        <f t="shared" si="1"/>
        <v>151.24270016450146</v>
      </c>
      <c r="E32" s="11">
        <f t="shared" si="2"/>
        <v>936.6395426626226</v>
      </c>
      <c r="F32" s="11">
        <f t="shared" si="3"/>
        <v>95078.449188586863</v>
      </c>
    </row>
    <row r="33" spans="1:6">
      <c r="A33">
        <v>20</v>
      </c>
      <c r="B33">
        <f t="shared" si="4"/>
        <v>95078.449188586863</v>
      </c>
      <c r="C33">
        <f t="shared" si="0"/>
        <v>784.14948427607783</v>
      </c>
      <c r="D33" s="11">
        <f t="shared" si="1"/>
        <v>152.49005838654477</v>
      </c>
      <c r="E33" s="11">
        <f t="shared" si="2"/>
        <v>936.6395426626226</v>
      </c>
      <c r="F33" s="11">
        <f t="shared" si="3"/>
        <v>94925.959130200325</v>
      </c>
    </row>
    <row r="34" spans="1:6">
      <c r="A34">
        <v>21</v>
      </c>
      <c r="B34">
        <f t="shared" si="4"/>
        <v>94925.959130200325</v>
      </c>
      <c r="C34">
        <f t="shared" si="0"/>
        <v>782.89183859862408</v>
      </c>
      <c r="D34" s="11">
        <f t="shared" si="1"/>
        <v>153.74770406399853</v>
      </c>
      <c r="E34" s="11">
        <f t="shared" si="2"/>
        <v>936.6395426626226</v>
      </c>
      <c r="F34" s="11">
        <f t="shared" si="3"/>
        <v>94772.211426136331</v>
      </c>
    </row>
    <row r="35" spans="1:6">
      <c r="A35">
        <v>22</v>
      </c>
      <c r="B35">
        <f t="shared" si="4"/>
        <v>94772.211426136331</v>
      </c>
      <c r="C35">
        <f t="shared" si="0"/>
        <v>781.6238206210561</v>
      </c>
      <c r="D35" s="11">
        <f t="shared" si="1"/>
        <v>155.01572204156651</v>
      </c>
      <c r="E35" s="11">
        <f t="shared" si="2"/>
        <v>936.6395426626226</v>
      </c>
      <c r="F35" s="11">
        <f t="shared" ref="F35:F98" si="5">B35-D35</f>
        <v>94617.19570409476</v>
      </c>
    </row>
    <row r="36" spans="1:6">
      <c r="A36">
        <v>23</v>
      </c>
      <c r="B36">
        <f t="shared" si="4"/>
        <v>94617.19570409476</v>
      </c>
      <c r="C36">
        <f t="shared" si="0"/>
        <v>780.34534479892238</v>
      </c>
      <c r="D36" s="11">
        <f t="shared" si="1"/>
        <v>156.29419786370022</v>
      </c>
      <c r="E36" s="11">
        <f t="shared" si="2"/>
        <v>936.6395426626226</v>
      </c>
      <c r="F36" s="11">
        <f t="shared" si="5"/>
        <v>94460.901506231065</v>
      </c>
    </row>
    <row r="37" spans="1:6">
      <c r="A37">
        <v>24</v>
      </c>
      <c r="B37">
        <f t="shared" si="4"/>
        <v>94460.901506231065</v>
      </c>
      <c r="C37">
        <f t="shared" si="0"/>
        <v>779.05632488225262</v>
      </c>
      <c r="D37" s="11">
        <f t="shared" si="1"/>
        <v>157.58321778036998</v>
      </c>
      <c r="E37" s="11">
        <f t="shared" si="2"/>
        <v>936.6395426626226</v>
      </c>
      <c r="F37" s="11">
        <f t="shared" si="5"/>
        <v>94303.318288450697</v>
      </c>
    </row>
    <row r="38" spans="1:6">
      <c r="A38">
        <v>25</v>
      </c>
      <c r="B38">
        <f t="shared" si="4"/>
        <v>94303.318288450697</v>
      </c>
      <c r="C38">
        <f t="shared" si="0"/>
        <v>777.75667390973899</v>
      </c>
      <c r="D38" s="11">
        <f t="shared" si="1"/>
        <v>158.88286875288361</v>
      </c>
      <c r="E38" s="11">
        <f t="shared" si="2"/>
        <v>936.6395426626226</v>
      </c>
      <c r="F38" s="11">
        <f t="shared" si="5"/>
        <v>94144.435419697809</v>
      </c>
    </row>
    <row r="39" spans="1:6">
      <c r="A39">
        <v>26</v>
      </c>
      <c r="B39">
        <f t="shared" si="4"/>
        <v>94144.435419697809</v>
      </c>
      <c r="C39">
        <f t="shared" si="0"/>
        <v>776.44630420286921</v>
      </c>
      <c r="D39" s="11">
        <f t="shared" si="1"/>
        <v>160.19323845975339</v>
      </c>
      <c r="E39" s="11">
        <f t="shared" si="2"/>
        <v>936.6395426626226</v>
      </c>
      <c r="F39" s="11">
        <f t="shared" si="5"/>
        <v>93984.242181238049</v>
      </c>
    </row>
    <row r="40" spans="1:6">
      <c r="A40">
        <v>27</v>
      </c>
      <c r="B40">
        <f t="shared" si="4"/>
        <v>93984.242181238049</v>
      </c>
      <c r="C40">
        <f t="shared" si="0"/>
        <v>775.12512736001202</v>
      </c>
      <c r="D40" s="11">
        <f t="shared" si="1"/>
        <v>161.51441530261059</v>
      </c>
      <c r="E40" s="11">
        <f t="shared" si="2"/>
        <v>936.6395426626226</v>
      </c>
      <c r="F40" s="11">
        <f t="shared" si="5"/>
        <v>93822.727765935444</v>
      </c>
    </row>
    <row r="41" spans="1:6">
      <c r="A41">
        <v>28</v>
      </c>
      <c r="B41">
        <f t="shared" si="4"/>
        <v>93822.727765935444</v>
      </c>
      <c r="C41">
        <f t="shared" si="0"/>
        <v>773.793054250453</v>
      </c>
      <c r="D41" s="11">
        <f t="shared" si="1"/>
        <v>162.84648841216961</v>
      </c>
      <c r="E41" s="11">
        <f t="shared" si="2"/>
        <v>936.6395426626226</v>
      </c>
      <c r="F41" s="11">
        <f t="shared" si="5"/>
        <v>93659.88127752328</v>
      </c>
    </row>
    <row r="42" spans="1:6">
      <c r="A42">
        <v>29</v>
      </c>
      <c r="B42">
        <f t="shared" si="4"/>
        <v>93659.88127752328</v>
      </c>
      <c r="C42">
        <f t="shared" si="0"/>
        <v>772.44999500838139</v>
      </c>
      <c r="D42" s="11">
        <f t="shared" si="1"/>
        <v>164.18954765424121</v>
      </c>
      <c r="E42" s="11">
        <f t="shared" si="2"/>
        <v>936.6395426626226</v>
      </c>
      <c r="F42" s="11">
        <f t="shared" si="5"/>
        <v>93495.691729869039</v>
      </c>
    </row>
    <row r="43" spans="1:6">
      <c r="A43">
        <v>30</v>
      </c>
      <c r="B43">
        <f t="shared" si="4"/>
        <v>93495.691729869039</v>
      </c>
      <c r="C43">
        <f t="shared" si="0"/>
        <v>771.09585902682761</v>
      </c>
      <c r="D43" s="11">
        <f t="shared" si="1"/>
        <v>165.54368363579499</v>
      </c>
      <c r="E43" s="11">
        <f t="shared" si="2"/>
        <v>936.6395426626226</v>
      </c>
      <c r="F43" s="11">
        <f t="shared" si="5"/>
        <v>93330.14804623324</v>
      </c>
    </row>
    <row r="44" spans="1:6">
      <c r="A44">
        <v>31</v>
      </c>
      <c r="B44">
        <f t="shared" si="4"/>
        <v>93330.14804623324</v>
      </c>
      <c r="C44">
        <f t="shared" si="0"/>
        <v>769.73055495155086</v>
      </c>
      <c r="D44" s="11">
        <f t="shared" si="1"/>
        <v>166.90898771107175</v>
      </c>
      <c r="E44" s="11">
        <f t="shared" si="2"/>
        <v>936.6395426626226</v>
      </c>
      <c r="F44" s="11">
        <f t="shared" si="5"/>
        <v>93163.239058522173</v>
      </c>
    </row>
    <row r="45" spans="1:6">
      <c r="A45">
        <v>32</v>
      </c>
      <c r="B45">
        <f t="shared" si="4"/>
        <v>93163.239058522173</v>
      </c>
      <c r="C45">
        <f t="shared" si="0"/>
        <v>768.35399067487572</v>
      </c>
      <c r="D45" s="11">
        <f t="shared" si="1"/>
        <v>168.28555198774689</v>
      </c>
      <c r="E45" s="11">
        <f t="shared" si="2"/>
        <v>936.6395426626226</v>
      </c>
      <c r="F45" s="11">
        <f t="shared" si="5"/>
        <v>92994.953506534424</v>
      </c>
    </row>
    <row r="46" spans="1:6">
      <c r="A46">
        <v>33</v>
      </c>
      <c r="B46">
        <f t="shared" si="4"/>
        <v>92994.953506534424</v>
      </c>
      <c r="C46">
        <f t="shared" si="0"/>
        <v>766.96607332947849</v>
      </c>
      <c r="D46" s="11">
        <f t="shared" si="1"/>
        <v>169.67346933314411</v>
      </c>
      <c r="E46" s="11">
        <f t="shared" si="2"/>
        <v>936.6395426626226</v>
      </c>
      <c r="F46" s="11">
        <f t="shared" si="5"/>
        <v>92825.280037201286</v>
      </c>
    </row>
    <row r="47" spans="1:6">
      <c r="A47">
        <v>34</v>
      </c>
      <c r="B47">
        <f t="shared" si="4"/>
        <v>92825.280037201286</v>
      </c>
      <c r="C47">
        <f t="shared" si="0"/>
        <v>765.56670928212213</v>
      </c>
      <c r="D47" s="11">
        <f t="shared" si="1"/>
        <v>171.07283338050047</v>
      </c>
      <c r="E47" s="11">
        <f t="shared" si="2"/>
        <v>936.6395426626226</v>
      </c>
      <c r="F47" s="11">
        <f t="shared" si="5"/>
        <v>92654.207203820784</v>
      </c>
    </row>
    <row r="48" spans="1:6">
      <c r="A48">
        <v>35</v>
      </c>
      <c r="B48">
        <f t="shared" si="4"/>
        <v>92654.207203820784</v>
      </c>
      <c r="C48">
        <f t="shared" si="0"/>
        <v>764.15580412733891</v>
      </c>
      <c r="D48" s="11">
        <f t="shared" si="1"/>
        <v>172.48373853528369</v>
      </c>
      <c r="E48" s="11">
        <f t="shared" si="2"/>
        <v>936.6395426626226</v>
      </c>
      <c r="F48" s="11">
        <f t="shared" si="5"/>
        <v>92481.723465285497</v>
      </c>
    </row>
    <row r="49" spans="1:6">
      <c r="A49">
        <v>36</v>
      </c>
      <c r="B49">
        <f t="shared" si="4"/>
        <v>92481.723465285497</v>
      </c>
      <c r="C49">
        <f t="shared" si="0"/>
        <v>762.73326268106246</v>
      </c>
      <c r="D49" s="11">
        <f t="shared" si="1"/>
        <v>173.90627998156015</v>
      </c>
      <c r="E49" s="11">
        <f t="shared" si="2"/>
        <v>936.6395426626226</v>
      </c>
      <c r="F49" s="11">
        <f t="shared" si="5"/>
        <v>92307.817185303938</v>
      </c>
    </row>
    <row r="50" spans="1:6">
      <c r="A50">
        <v>37</v>
      </c>
      <c r="B50">
        <f t="shared" si="4"/>
        <v>92307.817185303938</v>
      </c>
      <c r="C50">
        <f t="shared" si="0"/>
        <v>761.2989889742056</v>
      </c>
      <c r="D50" s="11">
        <f t="shared" si="1"/>
        <v>175.340553688417</v>
      </c>
      <c r="E50" s="11">
        <f t="shared" si="2"/>
        <v>936.6395426626226</v>
      </c>
      <c r="F50" s="11">
        <f t="shared" si="5"/>
        <v>92132.476631615515</v>
      </c>
    </row>
    <row r="51" spans="1:6">
      <c r="A51">
        <v>38</v>
      </c>
      <c r="B51">
        <f t="shared" si="4"/>
        <v>92132.476631615515</v>
      </c>
      <c r="C51">
        <f t="shared" si="0"/>
        <v>759.85288624618636</v>
      </c>
      <c r="D51" s="11">
        <f t="shared" si="1"/>
        <v>176.78665641643624</v>
      </c>
      <c r="E51" s="11">
        <f t="shared" si="2"/>
        <v>936.6395426626226</v>
      </c>
      <c r="F51" s="11">
        <f t="shared" si="5"/>
        <v>91955.689975199071</v>
      </c>
    </row>
    <row r="52" spans="1:6">
      <c r="A52">
        <v>39</v>
      </c>
      <c r="B52">
        <f t="shared" si="4"/>
        <v>91955.689975199071</v>
      </c>
      <c r="C52">
        <f t="shared" si="0"/>
        <v>758.39485693839993</v>
      </c>
      <c r="D52" s="11">
        <f t="shared" si="1"/>
        <v>178.24468572422268</v>
      </c>
      <c r="E52" s="11">
        <f t="shared" si="2"/>
        <v>936.6395426626226</v>
      </c>
      <c r="F52" s="11">
        <f t="shared" si="5"/>
        <v>91777.445289474854</v>
      </c>
    </row>
    <row r="53" spans="1:6">
      <c r="A53">
        <v>40</v>
      </c>
      <c r="B53">
        <f t="shared" si="4"/>
        <v>91777.445289474854</v>
      </c>
      <c r="C53">
        <f t="shared" si="0"/>
        <v>756.92480268763734</v>
      </c>
      <c r="D53" s="11">
        <f t="shared" si="1"/>
        <v>179.71473997498526</v>
      </c>
      <c r="E53" s="11">
        <f t="shared" si="2"/>
        <v>936.6395426626226</v>
      </c>
      <c r="F53" s="11">
        <f t="shared" si="5"/>
        <v>91597.730549499873</v>
      </c>
    </row>
    <row r="54" spans="1:6">
      <c r="A54">
        <v>41</v>
      </c>
      <c r="B54">
        <f t="shared" si="4"/>
        <v>91597.730549499873</v>
      </c>
      <c r="C54">
        <f t="shared" si="0"/>
        <v>755.44262431944924</v>
      </c>
      <c r="D54" s="11">
        <f t="shared" si="1"/>
        <v>181.19691834317337</v>
      </c>
      <c r="E54" s="11">
        <f t="shared" si="2"/>
        <v>936.6395426626226</v>
      </c>
      <c r="F54" s="11">
        <f t="shared" si="5"/>
        <v>91416.533631156693</v>
      </c>
    </row>
    <row r="55" spans="1:6">
      <c r="A55">
        <v>42</v>
      </c>
      <c r="B55">
        <f t="shared" si="4"/>
        <v>91416.533631156693</v>
      </c>
      <c r="C55">
        <f t="shared" si="0"/>
        <v>753.94822184145562</v>
      </c>
      <c r="D55" s="11">
        <f t="shared" si="1"/>
        <v>182.69132082116698</v>
      </c>
      <c r="E55" s="11">
        <f t="shared" si="2"/>
        <v>936.6395426626226</v>
      </c>
      <c r="F55" s="11">
        <f t="shared" si="5"/>
        <v>91233.842310335531</v>
      </c>
    </row>
    <row r="56" spans="1:6">
      <c r="A56">
        <v>43</v>
      </c>
      <c r="B56">
        <f t="shared" si="4"/>
        <v>91233.842310335531</v>
      </c>
      <c r="C56">
        <f t="shared" si="0"/>
        <v>752.44149443659978</v>
      </c>
      <c r="D56" s="11">
        <f t="shared" si="1"/>
        <v>184.19804822602282</v>
      </c>
      <c r="E56" s="11">
        <f t="shared" si="2"/>
        <v>936.6395426626226</v>
      </c>
      <c r="F56" s="11">
        <f t="shared" si="5"/>
        <v>91049.644262109505</v>
      </c>
    </row>
    <row r="57" spans="1:6">
      <c r="A57">
        <v>44</v>
      </c>
      <c r="B57">
        <f t="shared" si="4"/>
        <v>91049.644262109505</v>
      </c>
      <c r="C57">
        <f t="shared" si="0"/>
        <v>750.92234045634711</v>
      </c>
      <c r="D57" s="11">
        <f t="shared" si="1"/>
        <v>185.71720220627549</v>
      </c>
      <c r="E57" s="11">
        <f t="shared" si="2"/>
        <v>936.6395426626226</v>
      </c>
      <c r="F57" s="11">
        <f t="shared" si="5"/>
        <v>90863.927059903232</v>
      </c>
    </row>
    <row r="58" spans="1:6">
      <c r="A58">
        <v>45</v>
      </c>
      <c r="B58">
        <f t="shared" si="4"/>
        <v>90863.927059903232</v>
      </c>
      <c r="C58">
        <f t="shared" si="0"/>
        <v>749.39065741382717</v>
      </c>
      <c r="D58" s="11">
        <f t="shared" si="1"/>
        <v>187.24888524879543</v>
      </c>
      <c r="E58" s="11">
        <f t="shared" si="2"/>
        <v>936.6395426626226</v>
      </c>
      <c r="F58" s="11">
        <f t="shared" si="5"/>
        <v>90676.678174654429</v>
      </c>
    </row>
    <row r="59" spans="1:6">
      <c r="A59">
        <v>46</v>
      </c>
      <c r="B59">
        <f t="shared" si="4"/>
        <v>90676.678174654429</v>
      </c>
      <c r="C59">
        <f t="shared" si="0"/>
        <v>747.84634197692014</v>
      </c>
      <c r="D59" s="11">
        <f t="shared" si="1"/>
        <v>188.79320068570246</v>
      </c>
      <c r="E59" s="11">
        <f t="shared" si="2"/>
        <v>936.6395426626226</v>
      </c>
      <c r="F59" s="11">
        <f t="shared" si="5"/>
        <v>90487.884973968728</v>
      </c>
    </row>
    <row r="60" spans="1:6">
      <c r="A60">
        <v>47</v>
      </c>
      <c r="B60">
        <f t="shared" si="4"/>
        <v>90487.884973968728</v>
      </c>
      <c r="C60">
        <f t="shared" si="0"/>
        <v>746.28928996128536</v>
      </c>
      <c r="D60" s="11">
        <f t="shared" si="1"/>
        <v>190.35025270133724</v>
      </c>
      <c r="E60" s="11">
        <f t="shared" si="2"/>
        <v>936.6395426626226</v>
      </c>
      <c r="F60" s="11">
        <f t="shared" si="5"/>
        <v>90297.534721267395</v>
      </c>
    </row>
    <row r="61" spans="1:6">
      <c r="A61">
        <v>48</v>
      </c>
      <c r="B61">
        <f t="shared" si="4"/>
        <v>90297.534721267395</v>
      </c>
      <c r="C61">
        <f t="shared" si="0"/>
        <v>744.7193963233326</v>
      </c>
      <c r="D61" s="11">
        <f t="shared" si="1"/>
        <v>191.92014633929</v>
      </c>
      <c r="E61" s="11">
        <f t="shared" si="2"/>
        <v>936.6395426626226</v>
      </c>
      <c r="F61" s="11">
        <f t="shared" si="5"/>
        <v>90105.614574928099</v>
      </c>
    </row>
    <row r="62" spans="1:6">
      <c r="A62">
        <v>49</v>
      </c>
      <c r="B62">
        <f t="shared" si="4"/>
        <v>90105.614574928099</v>
      </c>
      <c r="C62">
        <f t="shared" si="0"/>
        <v>743.13655515313599</v>
      </c>
      <c r="D62" s="11">
        <f t="shared" si="1"/>
        <v>193.50298750948662</v>
      </c>
      <c r="E62" s="11">
        <f t="shared" si="2"/>
        <v>936.6395426626226</v>
      </c>
      <c r="F62" s="11">
        <f t="shared" si="5"/>
        <v>89912.111587418607</v>
      </c>
    </row>
    <row r="63" spans="1:6">
      <c r="A63">
        <v>50</v>
      </c>
      <c r="B63">
        <f t="shared" si="4"/>
        <v>89912.111587418607</v>
      </c>
      <c r="C63">
        <f t="shared" si="0"/>
        <v>741.54065966728842</v>
      </c>
      <c r="D63" s="11">
        <f t="shared" si="1"/>
        <v>195.09888299533418</v>
      </c>
      <c r="E63" s="11">
        <f t="shared" si="2"/>
        <v>936.6395426626226</v>
      </c>
      <c r="F63" s="11">
        <f t="shared" si="5"/>
        <v>89717.01270442328</v>
      </c>
    </row>
    <row r="64" spans="1:6">
      <c r="A64">
        <v>51</v>
      </c>
      <c r="B64">
        <f t="shared" si="4"/>
        <v>89717.01270442328</v>
      </c>
      <c r="C64">
        <f t="shared" si="0"/>
        <v>739.9316022016983</v>
      </c>
      <c r="D64" s="11">
        <f t="shared" si="1"/>
        <v>196.70794046092431</v>
      </c>
      <c r="E64" s="11">
        <f t="shared" si="2"/>
        <v>936.6395426626226</v>
      </c>
      <c r="F64" s="11">
        <f t="shared" si="5"/>
        <v>89520.304763962355</v>
      </c>
    </row>
    <row r="65" spans="1:6">
      <c r="A65">
        <v>52</v>
      </c>
      <c r="B65">
        <f t="shared" si="4"/>
        <v>89520.304763962355</v>
      </c>
      <c r="C65">
        <f t="shared" si="0"/>
        <v>738.30927420432545</v>
      </c>
      <c r="D65" s="11">
        <f t="shared" si="1"/>
        <v>198.33026845829716</v>
      </c>
      <c r="E65" s="11">
        <f t="shared" si="2"/>
        <v>936.6395426626226</v>
      </c>
      <c r="F65" s="11">
        <f t="shared" si="5"/>
        <v>89321.974495504051</v>
      </c>
    </row>
    <row r="66" spans="1:6">
      <c r="A66">
        <v>53</v>
      </c>
      <c r="B66">
        <f t="shared" si="4"/>
        <v>89321.974495504051</v>
      </c>
      <c r="C66">
        <f t="shared" si="0"/>
        <v>736.67356622785803</v>
      </c>
      <c r="D66" s="11">
        <f t="shared" si="1"/>
        <v>199.96597643476457</v>
      </c>
      <c r="E66" s="11">
        <f t="shared" si="2"/>
        <v>936.6395426626226</v>
      </c>
      <c r="F66" s="11">
        <f t="shared" si="5"/>
        <v>89122.008519069292</v>
      </c>
    </row>
    <row r="67" spans="1:6">
      <c r="A67">
        <v>54</v>
      </c>
      <c r="B67">
        <f t="shared" si="4"/>
        <v>89122.008519069292</v>
      </c>
      <c r="C67">
        <f t="shared" si="0"/>
        <v>735.0243679223297</v>
      </c>
      <c r="D67" s="11">
        <f t="shared" si="1"/>
        <v>201.6151747402929</v>
      </c>
      <c r="E67" s="11">
        <f t="shared" si="2"/>
        <v>936.6395426626226</v>
      </c>
      <c r="F67" s="11">
        <f t="shared" si="5"/>
        <v>88920.393344329001</v>
      </c>
    </row>
    <row r="68" spans="1:6">
      <c r="A68">
        <v>55</v>
      </c>
      <c r="B68">
        <f t="shared" si="4"/>
        <v>88920.393344329001</v>
      </c>
      <c r="C68">
        <f t="shared" si="0"/>
        <v>733.3615680276738</v>
      </c>
      <c r="D68" s="11">
        <f t="shared" si="1"/>
        <v>203.27797463494881</v>
      </c>
      <c r="E68" s="11">
        <f t="shared" si="2"/>
        <v>936.6395426626226</v>
      </c>
      <c r="F68" s="11">
        <f t="shared" si="5"/>
        <v>88717.115369694046</v>
      </c>
    </row>
    <row r="69" spans="1:6">
      <c r="A69">
        <v>56</v>
      </c>
      <c r="B69">
        <f t="shared" si="4"/>
        <v>88717.115369694046</v>
      </c>
      <c r="C69">
        <f t="shared" si="0"/>
        <v>731.68505436621808</v>
      </c>
      <c r="D69" s="11">
        <f t="shared" si="1"/>
        <v>204.95448829640452</v>
      </c>
      <c r="E69" s="11">
        <f t="shared" si="2"/>
        <v>936.6395426626226</v>
      </c>
      <c r="F69" s="11">
        <f t="shared" si="5"/>
        <v>88512.160881397635</v>
      </c>
    </row>
    <row r="70" spans="1:6">
      <c r="A70">
        <v>57</v>
      </c>
      <c r="B70">
        <f t="shared" si="4"/>
        <v>88512.160881397635</v>
      </c>
      <c r="C70">
        <f t="shared" si="0"/>
        <v>729.99471383511707</v>
      </c>
      <c r="D70" s="11">
        <f t="shared" si="1"/>
        <v>206.64482882750553</v>
      </c>
      <c r="E70" s="11">
        <f t="shared" si="2"/>
        <v>936.6395426626226</v>
      </c>
      <c r="F70" s="11">
        <f t="shared" si="5"/>
        <v>88305.516052570136</v>
      </c>
    </row>
    <row r="71" spans="1:6">
      <c r="A71">
        <v>58</v>
      </c>
      <c r="B71">
        <f t="shared" si="4"/>
        <v>88305.516052570136</v>
      </c>
      <c r="C71">
        <f t="shared" si="0"/>
        <v>728.29043239872135</v>
      </c>
      <c r="D71" s="11">
        <f t="shared" si="1"/>
        <v>208.34911026390125</v>
      </c>
      <c r="E71" s="11">
        <f t="shared" si="2"/>
        <v>936.6395426626226</v>
      </c>
      <c r="F71" s="11">
        <f t="shared" si="5"/>
        <v>88097.166942306241</v>
      </c>
    </row>
    <row r="72" spans="1:6">
      <c r="A72">
        <v>59</v>
      </c>
      <c r="B72">
        <f t="shared" si="4"/>
        <v>88097.166942306241</v>
      </c>
      <c r="C72">
        <f t="shared" si="0"/>
        <v>726.57209508088442</v>
      </c>
      <c r="D72" s="11">
        <f t="shared" si="1"/>
        <v>210.06744758173818</v>
      </c>
      <c r="E72" s="11">
        <f t="shared" si="2"/>
        <v>936.6395426626226</v>
      </c>
      <c r="F72" s="11">
        <f t="shared" si="5"/>
        <v>87887.099494724505</v>
      </c>
    </row>
    <row r="73" spans="1:6">
      <c r="A73">
        <v>60</v>
      </c>
      <c r="B73">
        <f t="shared" si="4"/>
        <v>87887.099494724505</v>
      </c>
      <c r="C73">
        <f t="shared" si="0"/>
        <v>724.83958595720617</v>
      </c>
      <c r="D73" s="11">
        <f t="shared" si="1"/>
        <v>211.79995670541643</v>
      </c>
      <c r="E73" s="11">
        <f t="shared" si="2"/>
        <v>936.6395426626226</v>
      </c>
      <c r="F73" s="11">
        <f t="shared" si="5"/>
        <v>87675.299538019084</v>
      </c>
    </row>
    <row r="74" spans="1:6">
      <c r="A74">
        <v>61</v>
      </c>
      <c r="B74">
        <f t="shared" si="4"/>
        <v>87675.299538019084</v>
      </c>
      <c r="C74">
        <f t="shared" si="0"/>
        <v>723.0927881472121</v>
      </c>
      <c r="D74" s="11">
        <f t="shared" si="1"/>
        <v>213.5467545154105</v>
      </c>
      <c r="E74" s="11">
        <f t="shared" si="2"/>
        <v>936.6395426626226</v>
      </c>
      <c r="F74" s="11">
        <f t="shared" si="5"/>
        <v>87461.752783503674</v>
      </c>
    </row>
    <row r="75" spans="1:6">
      <c r="A75">
        <v>62</v>
      </c>
      <c r="B75">
        <f t="shared" si="4"/>
        <v>87461.752783503674</v>
      </c>
      <c r="C75">
        <f t="shared" si="0"/>
        <v>721.33158380646876</v>
      </c>
      <c r="D75" s="11">
        <f t="shared" si="1"/>
        <v>215.30795885615385</v>
      </c>
      <c r="E75" s="11">
        <f t="shared" si="2"/>
        <v>936.6395426626226</v>
      </c>
      <c r="F75" s="11">
        <f t="shared" si="5"/>
        <v>87246.444824647522</v>
      </c>
    </row>
    <row r="76" spans="1:6">
      <c r="A76">
        <v>63</v>
      </c>
      <c r="B76">
        <f t="shared" si="4"/>
        <v>87246.444824647522</v>
      </c>
      <c r="C76">
        <f t="shared" si="0"/>
        <v>719.55585411863262</v>
      </c>
      <c r="D76" s="11">
        <f t="shared" si="1"/>
        <v>217.08368854398998</v>
      </c>
      <c r="E76" s="11">
        <f t="shared" si="2"/>
        <v>936.6395426626226</v>
      </c>
      <c r="F76" s="11">
        <f t="shared" si="5"/>
        <v>87029.361136103529</v>
      </c>
    </row>
    <row r="77" spans="1:6">
      <c r="A77">
        <v>64</v>
      </c>
      <c r="B77">
        <f t="shared" si="4"/>
        <v>87029.361136103529</v>
      </c>
      <c r="C77">
        <f t="shared" si="0"/>
        <v>717.76547928743537</v>
      </c>
      <c r="D77" s="11">
        <f t="shared" si="1"/>
        <v>218.87406337518723</v>
      </c>
      <c r="E77" s="11">
        <f t="shared" si="2"/>
        <v>936.6395426626226</v>
      </c>
      <c r="F77" s="11">
        <f t="shared" si="5"/>
        <v>86810.487072728341</v>
      </c>
    </row>
    <row r="78" spans="1:6">
      <c r="A78">
        <v>65</v>
      </c>
      <c r="B78">
        <f t="shared" si="4"/>
        <v>86810.487072728341</v>
      </c>
      <c r="C78">
        <f t="shared" si="0"/>
        <v>715.96033852860114</v>
      </c>
      <c r="D78" s="11">
        <f t="shared" si="1"/>
        <v>220.67920413402146</v>
      </c>
      <c r="E78" s="11">
        <f t="shared" si="2"/>
        <v>936.6395426626226</v>
      </c>
      <c r="F78" s="11">
        <f t="shared" si="5"/>
        <v>86589.807868594318</v>
      </c>
    </row>
    <row r="79" spans="1:6">
      <c r="A79">
        <v>66</v>
      </c>
      <c r="B79">
        <f t="shared" si="4"/>
        <v>86589.807868594318</v>
      </c>
      <c r="C79">
        <f t="shared" ref="C79:C142" si="6">B79*$B$11</f>
        <v>714.14031006169887</v>
      </c>
      <c r="D79" s="11">
        <f t="shared" ref="D79:D142" si="7">E79-C79</f>
        <v>222.49923260092373</v>
      </c>
      <c r="E79" s="11">
        <f t="shared" ref="E79:E142" si="8">-$B$9</f>
        <v>936.6395426626226</v>
      </c>
      <c r="F79" s="11">
        <f t="shared" si="5"/>
        <v>86367.308635993395</v>
      </c>
    </row>
    <row r="80" spans="1:6">
      <c r="A80">
        <v>67</v>
      </c>
      <c r="B80">
        <f t="shared" ref="B80:B143" si="9">F79</f>
        <v>86367.308635993395</v>
      </c>
      <c r="C80">
        <f t="shared" si="6"/>
        <v>712.30527110192611</v>
      </c>
      <c r="D80" s="11">
        <f t="shared" si="7"/>
        <v>224.33427156069649</v>
      </c>
      <c r="E80" s="11">
        <f t="shared" si="8"/>
        <v>936.6395426626226</v>
      </c>
      <c r="F80" s="11">
        <f t="shared" si="5"/>
        <v>86142.974364432695</v>
      </c>
    </row>
    <row r="81" spans="1:6">
      <c r="A81">
        <v>68</v>
      </c>
      <c r="B81">
        <f t="shared" si="9"/>
        <v>86142.974364432695</v>
      </c>
      <c r="C81">
        <f t="shared" si="6"/>
        <v>710.45509785182549</v>
      </c>
      <c r="D81" s="11">
        <f t="shared" si="7"/>
        <v>226.18444481079712</v>
      </c>
      <c r="E81" s="11">
        <f t="shared" si="8"/>
        <v>936.6395426626226</v>
      </c>
      <c r="F81" s="11">
        <f t="shared" si="5"/>
        <v>85916.789919621893</v>
      </c>
    </row>
    <row r="82" spans="1:6">
      <c r="A82">
        <v>69</v>
      </c>
      <c r="B82">
        <f t="shared" si="9"/>
        <v>85916.789919621893</v>
      </c>
      <c r="C82">
        <f t="shared" si="6"/>
        <v>708.58966549293348</v>
      </c>
      <c r="D82" s="11">
        <f t="shared" si="7"/>
        <v>228.04987716968913</v>
      </c>
      <c r="E82" s="11">
        <f t="shared" si="8"/>
        <v>936.6395426626226</v>
      </c>
      <c r="F82" s="11">
        <f t="shared" si="5"/>
        <v>85688.740042452206</v>
      </c>
    </row>
    <row r="83" spans="1:6">
      <c r="A83">
        <v>70</v>
      </c>
      <c r="B83">
        <f t="shared" si="9"/>
        <v>85688.740042452206</v>
      </c>
      <c r="C83">
        <f t="shared" si="6"/>
        <v>706.7088481773593</v>
      </c>
      <c r="D83" s="11">
        <f t="shared" si="7"/>
        <v>229.9306944852633</v>
      </c>
      <c r="E83" s="11">
        <f t="shared" si="8"/>
        <v>936.6395426626226</v>
      </c>
      <c r="F83" s="11">
        <f t="shared" si="5"/>
        <v>85458.809347966948</v>
      </c>
    </row>
    <row r="84" spans="1:6">
      <c r="A84">
        <v>71</v>
      </c>
      <c r="B84">
        <f t="shared" si="9"/>
        <v>85458.809347966948</v>
      </c>
      <c r="C84">
        <f t="shared" si="6"/>
        <v>704.81251901929488</v>
      </c>
      <c r="D84" s="11">
        <f t="shared" si="7"/>
        <v>231.82702364332772</v>
      </c>
      <c r="E84" s="11">
        <f t="shared" si="8"/>
        <v>936.6395426626226</v>
      </c>
      <c r="F84" s="11">
        <f t="shared" si="5"/>
        <v>85226.982324323617</v>
      </c>
    </row>
    <row r="85" spans="1:6">
      <c r="A85">
        <v>72</v>
      </c>
      <c r="B85">
        <f t="shared" si="9"/>
        <v>85226.982324323617</v>
      </c>
      <c r="C85">
        <f t="shared" si="6"/>
        <v>702.90055008645504</v>
      </c>
      <c r="D85" s="11">
        <f t="shared" si="7"/>
        <v>233.73899257616756</v>
      </c>
      <c r="E85" s="11">
        <f t="shared" si="8"/>
        <v>936.6395426626226</v>
      </c>
      <c r="F85" s="11">
        <f t="shared" si="5"/>
        <v>84993.24333174745</v>
      </c>
    </row>
    <row r="86" spans="1:6">
      <c r="A86">
        <v>73</v>
      </c>
      <c r="B86">
        <f t="shared" si="9"/>
        <v>84993.24333174745</v>
      </c>
      <c r="C86">
        <f t="shared" si="6"/>
        <v>700.97281239144627</v>
      </c>
      <c r="D86" s="11">
        <f t="shared" si="7"/>
        <v>235.66673027117633</v>
      </c>
      <c r="E86" s="11">
        <f t="shared" si="8"/>
        <v>936.6395426626226</v>
      </c>
      <c r="F86" s="11">
        <f t="shared" si="5"/>
        <v>84757.576601476278</v>
      </c>
    </row>
    <row r="87" spans="1:6">
      <c r="A87">
        <v>74</v>
      </c>
      <c r="B87">
        <f t="shared" si="9"/>
        <v>84757.576601476278</v>
      </c>
      <c r="C87">
        <f t="shared" si="6"/>
        <v>699.02917588306548</v>
      </c>
      <c r="D87" s="11">
        <f t="shared" si="7"/>
        <v>237.61036677955713</v>
      </c>
      <c r="E87" s="11">
        <f t="shared" si="8"/>
        <v>936.6395426626226</v>
      </c>
      <c r="F87" s="11">
        <f t="shared" si="5"/>
        <v>84519.966234696723</v>
      </c>
    </row>
    <row r="88" spans="1:6">
      <c r="A88">
        <v>75</v>
      </c>
      <c r="B88">
        <f t="shared" si="9"/>
        <v>84519.966234696723</v>
      </c>
      <c r="C88">
        <f t="shared" si="6"/>
        <v>697.06950943752565</v>
      </c>
      <c r="D88" s="11">
        <f t="shared" si="7"/>
        <v>239.57003322509695</v>
      </c>
      <c r="E88" s="11">
        <f t="shared" si="8"/>
        <v>936.6395426626226</v>
      </c>
      <c r="F88" s="11">
        <f t="shared" si="5"/>
        <v>84280.396201471623</v>
      </c>
    </row>
    <row r="89" spans="1:6">
      <c r="A89">
        <v>76</v>
      </c>
      <c r="B89">
        <f t="shared" si="9"/>
        <v>84280.396201471623</v>
      </c>
      <c r="C89">
        <f t="shared" si="6"/>
        <v>695.09368084961034</v>
      </c>
      <c r="D89" s="11">
        <f t="shared" si="7"/>
        <v>241.54586181301227</v>
      </c>
      <c r="E89" s="11">
        <f t="shared" si="8"/>
        <v>936.6395426626226</v>
      </c>
      <c r="F89" s="11">
        <f t="shared" si="5"/>
        <v>84038.850339658617</v>
      </c>
    </row>
    <row r="90" spans="1:6">
      <c r="A90">
        <v>77</v>
      </c>
      <c r="B90">
        <f t="shared" si="9"/>
        <v>84038.850339658617</v>
      </c>
      <c r="C90">
        <f t="shared" si="6"/>
        <v>693.10155682375455</v>
      </c>
      <c r="D90" s="11">
        <f t="shared" si="7"/>
        <v>243.53798583886805</v>
      </c>
      <c r="E90" s="11">
        <f t="shared" si="8"/>
        <v>936.6395426626226</v>
      </c>
      <c r="F90" s="11">
        <f t="shared" si="5"/>
        <v>83795.312353819754</v>
      </c>
    </row>
    <row r="91" spans="1:6">
      <c r="A91">
        <v>78</v>
      </c>
      <c r="B91">
        <f t="shared" si="9"/>
        <v>83795.312353819754</v>
      </c>
      <c r="C91">
        <f t="shared" si="6"/>
        <v>691.09300296505216</v>
      </c>
      <c r="D91" s="11">
        <f t="shared" si="7"/>
        <v>245.54653969757044</v>
      </c>
      <c r="E91" s="11">
        <f t="shared" si="8"/>
        <v>936.6395426626226</v>
      </c>
      <c r="F91" s="11">
        <f t="shared" si="5"/>
        <v>83549.765814122191</v>
      </c>
    </row>
    <row r="92" spans="1:6">
      <c r="A92">
        <v>79</v>
      </c>
      <c r="B92">
        <f t="shared" si="9"/>
        <v>83549.765814122191</v>
      </c>
      <c r="C92">
        <f t="shared" si="6"/>
        <v>689.06788377018904</v>
      </c>
      <c r="D92" s="11">
        <f t="shared" si="7"/>
        <v>247.57165889243356</v>
      </c>
      <c r="E92" s="11">
        <f t="shared" si="8"/>
        <v>936.6395426626226</v>
      </c>
      <c r="F92" s="11">
        <f t="shared" si="5"/>
        <v>83302.19415522975</v>
      </c>
    </row>
    <row r="93" spans="1:6">
      <c r="A93">
        <v>80</v>
      </c>
      <c r="B93">
        <f t="shared" si="9"/>
        <v>83302.19415522975</v>
      </c>
      <c r="C93">
        <f t="shared" si="6"/>
        <v>687.02606261830192</v>
      </c>
      <c r="D93" s="11">
        <f t="shared" si="7"/>
        <v>249.61348004432068</v>
      </c>
      <c r="E93" s="11">
        <f t="shared" si="8"/>
        <v>936.6395426626226</v>
      </c>
      <c r="F93" s="11">
        <f t="shared" si="5"/>
        <v>83052.580675185425</v>
      </c>
    </row>
    <row r="94" spans="1:6">
      <c r="A94">
        <v>81</v>
      </c>
      <c r="B94">
        <f t="shared" si="9"/>
        <v>83052.580675185425</v>
      </c>
      <c r="C94">
        <f t="shared" si="6"/>
        <v>684.96740176176149</v>
      </c>
      <c r="D94" s="11">
        <f t="shared" si="7"/>
        <v>251.67214090086111</v>
      </c>
      <c r="E94" s="11">
        <f t="shared" si="8"/>
        <v>936.6395426626226</v>
      </c>
      <c r="F94" s="11">
        <f t="shared" si="5"/>
        <v>82800.908534284565</v>
      </c>
    </row>
    <row r="95" spans="1:6">
      <c r="A95">
        <v>82</v>
      </c>
      <c r="B95">
        <f t="shared" si="9"/>
        <v>82800.908534284565</v>
      </c>
      <c r="C95">
        <f t="shared" si="6"/>
        <v>682.89176231687918</v>
      </c>
      <c r="D95" s="11">
        <f t="shared" si="7"/>
        <v>253.74778034574342</v>
      </c>
      <c r="E95" s="11">
        <f t="shared" si="8"/>
        <v>936.6395426626226</v>
      </c>
      <c r="F95" s="11">
        <f t="shared" si="5"/>
        <v>82547.160753938821</v>
      </c>
    </row>
    <row r="96" spans="1:6">
      <c r="A96">
        <v>83</v>
      </c>
      <c r="B96">
        <f t="shared" si="9"/>
        <v>82547.160753938821</v>
      </c>
      <c r="C96">
        <f t="shared" si="6"/>
        <v>680.79900425453798</v>
      </c>
      <c r="D96" s="11">
        <f t="shared" si="7"/>
        <v>255.84053840808463</v>
      </c>
      <c r="E96" s="11">
        <f t="shared" si="8"/>
        <v>936.6395426626226</v>
      </c>
      <c r="F96" s="11">
        <f t="shared" si="5"/>
        <v>82291.320215530737</v>
      </c>
    </row>
    <row r="97" spans="1:6">
      <c r="A97">
        <v>84</v>
      </c>
      <c r="B97">
        <f t="shared" si="9"/>
        <v>82291.320215530737</v>
      </c>
      <c r="C97">
        <f t="shared" si="6"/>
        <v>678.68898639074541</v>
      </c>
      <c r="D97" s="11">
        <f t="shared" si="7"/>
        <v>257.95055627187719</v>
      </c>
      <c r="E97" s="11">
        <f t="shared" si="8"/>
        <v>936.6395426626226</v>
      </c>
      <c r="F97" s="11">
        <f t="shared" si="5"/>
        <v>82033.369659258853</v>
      </c>
    </row>
    <row r="98" spans="1:6">
      <c r="A98">
        <v>85</v>
      </c>
      <c r="B98">
        <f t="shared" si="9"/>
        <v>82033.369659258853</v>
      </c>
      <c r="C98">
        <f t="shared" si="6"/>
        <v>676.56156637710887</v>
      </c>
      <c r="D98" s="11">
        <f t="shared" si="7"/>
        <v>260.07797628551373</v>
      </c>
      <c r="E98" s="11">
        <f t="shared" si="8"/>
        <v>936.6395426626226</v>
      </c>
      <c r="F98" s="11">
        <f t="shared" si="5"/>
        <v>81773.291682973344</v>
      </c>
    </row>
    <row r="99" spans="1:6">
      <c r="A99">
        <v>86</v>
      </c>
      <c r="B99">
        <f t="shared" si="9"/>
        <v>81773.291682973344</v>
      </c>
      <c r="C99">
        <f t="shared" si="6"/>
        <v>674.41660069123259</v>
      </c>
      <c r="D99" s="11">
        <f t="shared" si="7"/>
        <v>262.22294197139001</v>
      </c>
      <c r="E99" s="11">
        <f t="shared" si="8"/>
        <v>936.6395426626226</v>
      </c>
      <c r="F99" s="11">
        <f t="shared" ref="F99:F162" si="10">B99-D99</f>
        <v>81511.06874100196</v>
      </c>
    </row>
    <row r="100" spans="1:6">
      <c r="A100">
        <v>87</v>
      </c>
      <c r="B100">
        <f t="shared" si="9"/>
        <v>81511.06874100196</v>
      </c>
      <c r="C100">
        <f t="shared" si="6"/>
        <v>672.2539446270348</v>
      </c>
      <c r="D100" s="11">
        <f t="shared" si="7"/>
        <v>264.3855980355878</v>
      </c>
      <c r="E100" s="11">
        <f t="shared" si="8"/>
        <v>936.6395426626226</v>
      </c>
      <c r="F100" s="11">
        <f t="shared" si="10"/>
        <v>81246.683142966373</v>
      </c>
    </row>
    <row r="101" spans="1:6">
      <c r="A101">
        <v>88</v>
      </c>
      <c r="B101">
        <f t="shared" si="9"/>
        <v>81246.683142966373</v>
      </c>
      <c r="C101">
        <f t="shared" si="6"/>
        <v>670.07345228498559</v>
      </c>
      <c r="D101" s="11">
        <f t="shared" si="7"/>
        <v>266.56609037763701</v>
      </c>
      <c r="E101" s="11">
        <f t="shared" si="8"/>
        <v>936.6395426626226</v>
      </c>
      <c r="F101" s="11">
        <f t="shared" si="10"/>
        <v>80980.117052588728</v>
      </c>
    </row>
    <row r="102" spans="1:6">
      <c r="A102">
        <v>89</v>
      </c>
      <c r="B102">
        <f t="shared" si="9"/>
        <v>80980.117052588728</v>
      </c>
      <c r="C102">
        <f t="shared" si="6"/>
        <v>667.87497656226412</v>
      </c>
      <c r="D102" s="11">
        <f t="shared" si="7"/>
        <v>268.76456610035848</v>
      </c>
      <c r="E102" s="11">
        <f t="shared" si="8"/>
        <v>936.6395426626226</v>
      </c>
      <c r="F102" s="11">
        <f t="shared" si="10"/>
        <v>80711.352486488366</v>
      </c>
    </row>
    <row r="103" spans="1:6">
      <c r="A103">
        <v>90</v>
      </c>
      <c r="B103">
        <f t="shared" si="9"/>
        <v>80711.352486488366</v>
      </c>
      <c r="C103">
        <f t="shared" si="6"/>
        <v>665.65836914283454</v>
      </c>
      <c r="D103" s="11">
        <f t="shared" si="7"/>
        <v>270.98117351978806</v>
      </c>
      <c r="E103" s="11">
        <f t="shared" si="8"/>
        <v>936.6395426626226</v>
      </c>
      <c r="F103" s="11">
        <f t="shared" si="10"/>
        <v>80440.371312968578</v>
      </c>
    </row>
    <row r="104" spans="1:6">
      <c r="A104">
        <v>91</v>
      </c>
      <c r="B104">
        <f t="shared" si="9"/>
        <v>80440.371312968578</v>
      </c>
      <c r="C104">
        <f t="shared" si="6"/>
        <v>663.42348048744009</v>
      </c>
      <c r="D104" s="11">
        <f t="shared" si="7"/>
        <v>273.21606217518251</v>
      </c>
      <c r="E104" s="11">
        <f t="shared" si="8"/>
        <v>936.6395426626226</v>
      </c>
      <c r="F104" s="11">
        <f t="shared" si="10"/>
        <v>80167.155250793396</v>
      </c>
    </row>
    <row r="105" spans="1:6">
      <c r="A105">
        <v>92</v>
      </c>
      <c r="B105">
        <f t="shared" si="9"/>
        <v>80167.155250793396</v>
      </c>
      <c r="C105">
        <f t="shared" si="6"/>
        <v>661.17015982351484</v>
      </c>
      <c r="D105" s="11">
        <f t="shared" si="7"/>
        <v>275.46938283910777</v>
      </c>
      <c r="E105" s="11">
        <f t="shared" si="8"/>
        <v>936.6395426626226</v>
      </c>
      <c r="F105" s="11">
        <f t="shared" si="10"/>
        <v>79891.685867954293</v>
      </c>
    </row>
    <row r="106" spans="1:6">
      <c r="A106">
        <v>93</v>
      </c>
      <c r="B106">
        <f t="shared" si="9"/>
        <v>79891.685867954293</v>
      </c>
      <c r="C106">
        <f t="shared" si="6"/>
        <v>658.89825513501194</v>
      </c>
      <c r="D106" s="11">
        <f t="shared" si="7"/>
        <v>277.74128752761067</v>
      </c>
      <c r="E106" s="11">
        <f t="shared" si="8"/>
        <v>936.6395426626226</v>
      </c>
      <c r="F106" s="11">
        <f t="shared" si="10"/>
        <v>79613.944580426687</v>
      </c>
    </row>
    <row r="107" spans="1:6">
      <c r="A107">
        <v>94</v>
      </c>
      <c r="B107">
        <f t="shared" si="9"/>
        <v>79613.944580426687</v>
      </c>
      <c r="C107">
        <f t="shared" si="6"/>
        <v>656.60761315214825</v>
      </c>
      <c r="D107" s="11">
        <f t="shared" si="7"/>
        <v>280.03192951047436</v>
      </c>
      <c r="E107" s="11">
        <f t="shared" si="8"/>
        <v>936.6395426626226</v>
      </c>
      <c r="F107" s="11">
        <f t="shared" si="10"/>
        <v>79333.912650916216</v>
      </c>
    </row>
    <row r="108" spans="1:6">
      <c r="A108">
        <v>95</v>
      </c>
      <c r="B108">
        <f t="shared" si="9"/>
        <v>79333.912650916216</v>
      </c>
      <c r="C108">
        <f t="shared" si="6"/>
        <v>654.29807934106429</v>
      </c>
      <c r="D108" s="11">
        <f t="shared" si="7"/>
        <v>282.34146332155831</v>
      </c>
      <c r="E108" s="11">
        <f t="shared" si="8"/>
        <v>936.6395426626226</v>
      </c>
      <c r="F108" s="11">
        <f t="shared" si="10"/>
        <v>79051.571187594658</v>
      </c>
    </row>
    <row r="109" spans="1:6">
      <c r="A109">
        <v>96</v>
      </c>
      <c r="B109">
        <f t="shared" si="9"/>
        <v>79051.571187594658</v>
      </c>
      <c r="C109">
        <f t="shared" si="6"/>
        <v>651.96949789339885</v>
      </c>
      <c r="D109" s="11">
        <f t="shared" si="7"/>
        <v>284.67004476922375</v>
      </c>
      <c r="E109" s="11">
        <f t="shared" si="8"/>
        <v>936.6395426626226</v>
      </c>
      <c r="F109" s="11">
        <f t="shared" si="10"/>
        <v>78766.901142825431</v>
      </c>
    </row>
    <row r="110" spans="1:6">
      <c r="A110">
        <v>97</v>
      </c>
      <c r="B110">
        <f t="shared" si="9"/>
        <v>78766.901142825431</v>
      </c>
      <c r="C110">
        <f t="shared" si="6"/>
        <v>649.62171171577745</v>
      </c>
      <c r="D110" s="11">
        <f t="shared" si="7"/>
        <v>287.01783094684515</v>
      </c>
      <c r="E110" s="11">
        <f t="shared" si="8"/>
        <v>936.6395426626226</v>
      </c>
      <c r="F110" s="11">
        <f t="shared" si="10"/>
        <v>78479.883311878584</v>
      </c>
    </row>
    <row r="111" spans="1:6">
      <c r="A111">
        <v>98</v>
      </c>
      <c r="B111">
        <f t="shared" si="9"/>
        <v>78479.883311878584</v>
      </c>
      <c r="C111">
        <f t="shared" si="6"/>
        <v>647.25456241921506</v>
      </c>
      <c r="D111" s="11">
        <f t="shared" si="7"/>
        <v>289.38498024340754</v>
      </c>
      <c r="E111" s="11">
        <f t="shared" si="8"/>
        <v>936.6395426626226</v>
      </c>
      <c r="F111" s="11">
        <f t="shared" si="10"/>
        <v>78190.498331635172</v>
      </c>
    </row>
    <row r="112" spans="1:6">
      <c r="A112">
        <v>99</v>
      </c>
      <c r="B112">
        <f t="shared" si="9"/>
        <v>78190.498331635172</v>
      </c>
      <c r="C112">
        <f t="shared" si="6"/>
        <v>644.86789030842976</v>
      </c>
      <c r="D112" s="11">
        <f t="shared" si="7"/>
        <v>291.77165235419284</v>
      </c>
      <c r="E112" s="11">
        <f t="shared" si="8"/>
        <v>936.6395426626226</v>
      </c>
      <c r="F112" s="11">
        <f t="shared" si="10"/>
        <v>77898.726679280982</v>
      </c>
    </row>
    <row r="113" spans="1:6">
      <c r="A113">
        <v>100</v>
      </c>
      <c r="B113">
        <f t="shared" si="9"/>
        <v>77898.726679280982</v>
      </c>
      <c r="C113">
        <f t="shared" si="6"/>
        <v>642.46153437107</v>
      </c>
      <c r="D113" s="11">
        <f t="shared" si="7"/>
        <v>294.1780082915526</v>
      </c>
      <c r="E113" s="11">
        <f t="shared" si="8"/>
        <v>936.6395426626226</v>
      </c>
      <c r="F113" s="11">
        <f t="shared" si="10"/>
        <v>77604.548670989432</v>
      </c>
    </row>
    <row r="114" spans="1:6">
      <c r="A114">
        <v>101</v>
      </c>
      <c r="B114">
        <f t="shared" si="9"/>
        <v>77604.548670989432</v>
      </c>
      <c r="C114">
        <f t="shared" si="6"/>
        <v>640.03533226685147</v>
      </c>
      <c r="D114" s="11">
        <f t="shared" si="7"/>
        <v>296.60421039577113</v>
      </c>
      <c r="E114" s="11">
        <f t="shared" si="8"/>
        <v>936.6395426626226</v>
      </c>
      <c r="F114" s="11">
        <f t="shared" si="10"/>
        <v>77307.944460593659</v>
      </c>
    </row>
    <row r="115" spans="1:6">
      <c r="A115">
        <v>102</v>
      </c>
      <c r="B115">
        <f t="shared" si="9"/>
        <v>77307.944460593659</v>
      </c>
      <c r="C115">
        <f t="shared" si="6"/>
        <v>637.58912031660566</v>
      </c>
      <c r="D115" s="11">
        <f t="shared" si="7"/>
        <v>299.05042234601694</v>
      </c>
      <c r="E115" s="11">
        <f t="shared" si="8"/>
        <v>936.6395426626226</v>
      </c>
      <c r="F115" s="11">
        <f t="shared" si="10"/>
        <v>77008.894038247643</v>
      </c>
    </row>
    <row r="116" spans="1:6">
      <c r="A116">
        <v>103</v>
      </c>
      <c r="B116">
        <f t="shared" si="9"/>
        <v>77008.894038247643</v>
      </c>
      <c r="C116">
        <f t="shared" si="6"/>
        <v>635.12273349123745</v>
      </c>
      <c r="D116" s="11">
        <f t="shared" si="7"/>
        <v>301.51680917138515</v>
      </c>
      <c r="E116" s="11">
        <f t="shared" si="8"/>
        <v>936.6395426626226</v>
      </c>
      <c r="F116" s="11">
        <f t="shared" si="10"/>
        <v>76707.377229076257</v>
      </c>
    </row>
    <row r="117" spans="1:6">
      <c r="A117">
        <v>104</v>
      </c>
      <c r="B117">
        <f t="shared" si="9"/>
        <v>76707.377229076257</v>
      </c>
      <c r="C117">
        <f t="shared" si="6"/>
        <v>632.63600540059156</v>
      </c>
      <c r="D117" s="11">
        <f t="shared" si="7"/>
        <v>304.00353726203105</v>
      </c>
      <c r="E117" s="11">
        <f t="shared" si="8"/>
        <v>936.6395426626226</v>
      </c>
      <c r="F117" s="11">
        <f t="shared" si="10"/>
        <v>76403.373691814224</v>
      </c>
    </row>
    <row r="118" spans="1:6">
      <c r="A118">
        <v>105</v>
      </c>
      <c r="B118">
        <f t="shared" si="9"/>
        <v>76403.373691814224</v>
      </c>
      <c r="C118">
        <f t="shared" si="6"/>
        <v>630.12876828222738</v>
      </c>
      <c r="D118" s="11">
        <f t="shared" si="7"/>
        <v>306.51077438039522</v>
      </c>
      <c r="E118" s="11">
        <f t="shared" si="8"/>
        <v>936.6395426626226</v>
      </c>
      <c r="F118" s="11">
        <f t="shared" si="10"/>
        <v>76096.862917433828</v>
      </c>
    </row>
    <row r="119" spans="1:6">
      <c r="A119">
        <v>106</v>
      </c>
      <c r="B119">
        <f t="shared" si="9"/>
        <v>76096.862917433828</v>
      </c>
      <c r="C119">
        <f t="shared" si="6"/>
        <v>627.60085299010143</v>
      </c>
      <c r="D119" s="11">
        <f t="shared" si="7"/>
        <v>309.03868967252117</v>
      </c>
      <c r="E119" s="11">
        <f t="shared" si="8"/>
        <v>936.6395426626226</v>
      </c>
      <c r="F119" s="11">
        <f t="shared" si="10"/>
        <v>75787.824227761303</v>
      </c>
    </row>
    <row r="120" spans="1:6">
      <c r="A120">
        <v>107</v>
      </c>
      <c r="B120">
        <f t="shared" si="9"/>
        <v>75787.824227761303</v>
      </c>
      <c r="C120">
        <f t="shared" si="6"/>
        <v>625.05208898315595</v>
      </c>
      <c r="D120" s="11">
        <f t="shared" si="7"/>
        <v>311.58745367946665</v>
      </c>
      <c r="E120" s="11">
        <f t="shared" si="8"/>
        <v>936.6395426626226</v>
      </c>
      <c r="F120" s="11">
        <f t="shared" si="10"/>
        <v>75476.23677408183</v>
      </c>
    </row>
    <row r="121" spans="1:6">
      <c r="A121">
        <v>108</v>
      </c>
      <c r="B121">
        <f t="shared" si="9"/>
        <v>75476.23677408183</v>
      </c>
      <c r="C121">
        <f t="shared" si="6"/>
        <v>622.48230431381376</v>
      </c>
      <c r="D121" s="11">
        <f t="shared" si="7"/>
        <v>314.15723834880885</v>
      </c>
      <c r="E121" s="11">
        <f t="shared" si="8"/>
        <v>936.6395426626226</v>
      </c>
      <c r="F121" s="11">
        <f t="shared" si="10"/>
        <v>75162.079535733021</v>
      </c>
    </row>
    <row r="122" spans="1:6">
      <c r="A122">
        <v>109</v>
      </c>
      <c r="B122">
        <f t="shared" si="9"/>
        <v>75162.079535733021</v>
      </c>
      <c r="C122">
        <f t="shared" si="6"/>
        <v>619.89132561637848</v>
      </c>
      <c r="D122" s="11">
        <f t="shared" si="7"/>
        <v>316.74821704624412</v>
      </c>
      <c r="E122" s="11">
        <f t="shared" si="8"/>
        <v>936.6395426626226</v>
      </c>
      <c r="F122" s="11">
        <f t="shared" si="10"/>
        <v>74845.331318686774</v>
      </c>
    </row>
    <row r="123" spans="1:6">
      <c r="A123">
        <v>110</v>
      </c>
      <c r="B123">
        <f t="shared" si="9"/>
        <v>74845.331318686774</v>
      </c>
      <c r="C123">
        <f t="shared" si="6"/>
        <v>617.27897809533795</v>
      </c>
      <c r="D123" s="11">
        <f t="shared" si="7"/>
        <v>319.36056456728465</v>
      </c>
      <c r="E123" s="11">
        <f t="shared" si="8"/>
        <v>936.6395426626226</v>
      </c>
      <c r="F123" s="11">
        <f t="shared" si="10"/>
        <v>74525.970754119495</v>
      </c>
    </row>
    <row r="124" spans="1:6">
      <c r="A124">
        <v>111</v>
      </c>
      <c r="B124">
        <f t="shared" si="9"/>
        <v>74525.970754119495</v>
      </c>
      <c r="C124">
        <f t="shared" si="6"/>
        <v>614.64508551357289</v>
      </c>
      <c r="D124" s="11">
        <f t="shared" si="7"/>
        <v>321.99445714904971</v>
      </c>
      <c r="E124" s="11">
        <f t="shared" si="8"/>
        <v>936.6395426626226</v>
      </c>
      <c r="F124" s="11">
        <f t="shared" si="10"/>
        <v>74203.976296970446</v>
      </c>
    </row>
    <row r="125" spans="1:6">
      <c r="A125">
        <v>112</v>
      </c>
      <c r="B125">
        <f t="shared" si="9"/>
        <v>74203.976296970446</v>
      </c>
      <c r="C125">
        <f t="shared" si="6"/>
        <v>611.98947018046658</v>
      </c>
      <c r="D125" s="11">
        <f t="shared" si="7"/>
        <v>324.65007248215602</v>
      </c>
      <c r="E125" s="11">
        <f t="shared" si="8"/>
        <v>936.6395426626226</v>
      </c>
      <c r="F125" s="11">
        <f t="shared" si="10"/>
        <v>73879.326224488294</v>
      </c>
    </row>
    <row r="126" spans="1:6">
      <c r="A126">
        <v>113</v>
      </c>
      <c r="B126">
        <f t="shared" si="9"/>
        <v>73879.326224488294</v>
      </c>
      <c r="C126">
        <f t="shared" si="6"/>
        <v>609.31195293991789</v>
      </c>
      <c r="D126" s="11">
        <f t="shared" si="7"/>
        <v>327.32758972270472</v>
      </c>
      <c r="E126" s="11">
        <f t="shared" si="8"/>
        <v>936.6395426626226</v>
      </c>
      <c r="F126" s="11">
        <f t="shared" si="10"/>
        <v>73551.998634765594</v>
      </c>
    </row>
    <row r="127" spans="1:6">
      <c r="A127">
        <v>114</v>
      </c>
      <c r="B127">
        <f t="shared" si="9"/>
        <v>73551.998634765594</v>
      </c>
      <c r="C127">
        <f t="shared" si="6"/>
        <v>606.61235315825468</v>
      </c>
      <c r="D127" s="11">
        <f t="shared" si="7"/>
        <v>330.02718950436793</v>
      </c>
      <c r="E127" s="11">
        <f t="shared" si="8"/>
        <v>936.6395426626226</v>
      </c>
      <c r="F127" s="11">
        <f t="shared" si="10"/>
        <v>73221.971445261224</v>
      </c>
    </row>
    <row r="128" spans="1:6">
      <c r="A128">
        <v>115</v>
      </c>
      <c r="B128">
        <f t="shared" si="9"/>
        <v>73221.971445261224</v>
      </c>
      <c r="C128">
        <f t="shared" si="6"/>
        <v>603.89048871204739</v>
      </c>
      <c r="D128" s="11">
        <f t="shared" si="7"/>
        <v>332.74905395057522</v>
      </c>
      <c r="E128" s="11">
        <f t="shared" si="8"/>
        <v>936.6395426626226</v>
      </c>
      <c r="F128" s="11">
        <f t="shared" si="10"/>
        <v>72889.222391310643</v>
      </c>
    </row>
    <row r="129" spans="1:6">
      <c r="A129">
        <v>116</v>
      </c>
      <c r="B129">
        <f t="shared" si="9"/>
        <v>72889.222391310643</v>
      </c>
      <c r="C129">
        <f t="shared" si="6"/>
        <v>601.1461759758231</v>
      </c>
      <c r="D129" s="11">
        <f t="shared" si="7"/>
        <v>335.4933666867995</v>
      </c>
      <c r="E129" s="11">
        <f t="shared" si="8"/>
        <v>936.6395426626226</v>
      </c>
      <c r="F129" s="11">
        <f t="shared" si="10"/>
        <v>72553.729024623841</v>
      </c>
    </row>
    <row r="130" spans="1:6">
      <c r="A130">
        <v>117</v>
      </c>
      <c r="B130">
        <f t="shared" si="9"/>
        <v>72553.729024623841</v>
      </c>
      <c r="C130">
        <f t="shared" si="6"/>
        <v>598.37922980967664</v>
      </c>
      <c r="D130" s="11">
        <f t="shared" si="7"/>
        <v>338.26031285294596</v>
      </c>
      <c r="E130" s="11">
        <f t="shared" si="8"/>
        <v>936.6395426626226</v>
      </c>
      <c r="F130" s="11">
        <f t="shared" si="10"/>
        <v>72215.468711770896</v>
      </c>
    </row>
    <row r="131" spans="1:6">
      <c r="A131">
        <v>118</v>
      </c>
      <c r="B131">
        <f t="shared" si="9"/>
        <v>72215.468711770896</v>
      </c>
      <c r="C131">
        <f t="shared" si="6"/>
        <v>595.58946354678164</v>
      </c>
      <c r="D131" s="11">
        <f t="shared" si="7"/>
        <v>341.05007911584096</v>
      </c>
      <c r="E131" s="11">
        <f t="shared" si="8"/>
        <v>936.6395426626226</v>
      </c>
      <c r="F131" s="11">
        <f t="shared" si="10"/>
        <v>71874.418632655055</v>
      </c>
    </row>
    <row r="132" spans="1:6">
      <c r="A132">
        <v>119</v>
      </c>
      <c r="B132">
        <f t="shared" si="9"/>
        <v>71874.418632655055</v>
      </c>
      <c r="C132">
        <f t="shared" si="6"/>
        <v>592.77668898079617</v>
      </c>
      <c r="D132" s="11">
        <f t="shared" si="7"/>
        <v>343.86285368182644</v>
      </c>
      <c r="E132" s="11">
        <f t="shared" si="8"/>
        <v>936.6395426626226</v>
      </c>
      <c r="F132" s="11">
        <f t="shared" si="10"/>
        <v>71530.555778973227</v>
      </c>
    </row>
    <row r="133" spans="1:6">
      <c r="A133">
        <v>120</v>
      </c>
      <c r="B133">
        <f t="shared" si="9"/>
        <v>71530.555778973227</v>
      </c>
      <c r="C133">
        <f t="shared" si="6"/>
        <v>589.94071635316652</v>
      </c>
      <c r="D133" s="11">
        <f t="shared" si="7"/>
        <v>346.69882630945608</v>
      </c>
      <c r="E133" s="11">
        <f t="shared" si="8"/>
        <v>936.6395426626226</v>
      </c>
      <c r="F133" s="11">
        <f t="shared" si="10"/>
        <v>71183.856952663773</v>
      </c>
    </row>
    <row r="134" spans="1:6">
      <c r="A134">
        <v>121</v>
      </c>
      <c r="B134">
        <f t="shared" si="9"/>
        <v>71183.856952663773</v>
      </c>
      <c r="C134">
        <f t="shared" si="6"/>
        <v>587.08135434032545</v>
      </c>
      <c r="D134" s="11">
        <f t="shared" si="7"/>
        <v>349.55818832229716</v>
      </c>
      <c r="E134" s="11">
        <f t="shared" si="8"/>
        <v>936.6395426626226</v>
      </c>
      <c r="F134" s="11">
        <f t="shared" si="10"/>
        <v>70834.298764341482</v>
      </c>
    </row>
    <row r="135" spans="1:6">
      <c r="A135">
        <v>122</v>
      </c>
      <c r="B135">
        <f t="shared" si="9"/>
        <v>70834.298764341482</v>
      </c>
      <c r="C135">
        <f t="shared" si="6"/>
        <v>584.19841004078478</v>
      </c>
      <c r="D135" s="11">
        <f t="shared" si="7"/>
        <v>352.44113262183782</v>
      </c>
      <c r="E135" s="11">
        <f t="shared" si="8"/>
        <v>936.6395426626226</v>
      </c>
      <c r="F135" s="11">
        <f t="shared" si="10"/>
        <v>70481.857631719642</v>
      </c>
    </row>
    <row r="136" spans="1:6">
      <c r="A136">
        <v>123</v>
      </c>
      <c r="B136">
        <f t="shared" si="9"/>
        <v>70481.857631719642</v>
      </c>
      <c r="C136">
        <f t="shared" si="6"/>
        <v>581.29168896212138</v>
      </c>
      <c r="D136" s="11">
        <f t="shared" si="7"/>
        <v>355.34785370050122</v>
      </c>
      <c r="E136" s="11">
        <f t="shared" si="8"/>
        <v>936.6395426626226</v>
      </c>
      <c r="F136" s="11">
        <f t="shared" si="10"/>
        <v>70126.509778019143</v>
      </c>
    </row>
    <row r="137" spans="1:6">
      <c r="A137">
        <v>124</v>
      </c>
      <c r="B137">
        <f t="shared" si="9"/>
        <v>70126.509778019143</v>
      </c>
      <c r="C137">
        <f t="shared" si="6"/>
        <v>578.36099500785667</v>
      </c>
      <c r="D137" s="11">
        <f t="shared" si="7"/>
        <v>358.27854765476593</v>
      </c>
      <c r="E137" s="11">
        <f t="shared" si="8"/>
        <v>936.6395426626226</v>
      </c>
      <c r="F137" s="11">
        <f t="shared" si="10"/>
        <v>69768.23123036437</v>
      </c>
    </row>
    <row r="138" spans="1:6">
      <c r="A138">
        <v>125</v>
      </c>
      <c r="B138">
        <f t="shared" si="9"/>
        <v>69768.23123036437</v>
      </c>
      <c r="C138">
        <f t="shared" si="6"/>
        <v>575.40613046422675</v>
      </c>
      <c r="D138" s="11">
        <f t="shared" si="7"/>
        <v>361.23341219839585</v>
      </c>
      <c r="E138" s="11">
        <f t="shared" si="8"/>
        <v>936.6395426626226</v>
      </c>
      <c r="F138" s="11">
        <f t="shared" si="10"/>
        <v>69406.997818165968</v>
      </c>
    </row>
    <row r="139" spans="1:6">
      <c r="A139">
        <v>126</v>
      </c>
      <c r="B139">
        <f t="shared" si="9"/>
        <v>69406.997818165968</v>
      </c>
      <c r="C139">
        <f t="shared" si="6"/>
        <v>572.42689598684467</v>
      </c>
      <c r="D139" s="11">
        <f t="shared" si="7"/>
        <v>364.21264667577793</v>
      </c>
      <c r="E139" s="11">
        <f t="shared" si="8"/>
        <v>936.6395426626226</v>
      </c>
      <c r="F139" s="11">
        <f t="shared" si="10"/>
        <v>69042.785171490192</v>
      </c>
    </row>
    <row r="140" spans="1:6">
      <c r="A140">
        <v>127</v>
      </c>
      <c r="B140">
        <f t="shared" si="9"/>
        <v>69042.785171490192</v>
      </c>
      <c r="C140">
        <f t="shared" si="6"/>
        <v>569.42309058725129</v>
      </c>
      <c r="D140" s="11">
        <f t="shared" si="7"/>
        <v>367.21645207537131</v>
      </c>
      <c r="E140" s="11">
        <f t="shared" si="8"/>
        <v>936.6395426626226</v>
      </c>
      <c r="F140" s="11">
        <f t="shared" si="10"/>
        <v>68675.568719414819</v>
      </c>
    </row>
    <row r="141" spans="1:6">
      <c r="A141">
        <v>128</v>
      </c>
      <c r="B141">
        <f t="shared" si="9"/>
        <v>68675.568719414819</v>
      </c>
      <c r="C141">
        <f t="shared" si="6"/>
        <v>566.39451161935665</v>
      </c>
      <c r="D141" s="11">
        <f t="shared" si="7"/>
        <v>370.24503104326595</v>
      </c>
      <c r="E141" s="11">
        <f t="shared" si="8"/>
        <v>936.6395426626226</v>
      </c>
      <c r="F141" s="11">
        <f t="shared" si="10"/>
        <v>68305.323688371558</v>
      </c>
    </row>
    <row r="142" spans="1:6">
      <c r="A142">
        <v>129</v>
      </c>
      <c r="B142">
        <f t="shared" si="9"/>
        <v>68305.323688371558</v>
      </c>
      <c r="C142">
        <f t="shared" si="6"/>
        <v>563.3409547657684</v>
      </c>
      <c r="D142" s="11">
        <f t="shared" si="7"/>
        <v>373.2985878968542</v>
      </c>
      <c r="E142" s="11">
        <f t="shared" si="8"/>
        <v>936.6395426626226</v>
      </c>
      <c r="F142" s="11">
        <f t="shared" si="10"/>
        <v>67932.025100474697</v>
      </c>
    </row>
    <row r="143" spans="1:6">
      <c r="A143">
        <v>130</v>
      </c>
      <c r="B143">
        <f t="shared" si="9"/>
        <v>67932.025100474697</v>
      </c>
      <c r="C143">
        <f t="shared" ref="C143:C206" si="11">B143*$B$11</f>
        <v>560.2622140240079</v>
      </c>
      <c r="D143" s="11">
        <f t="shared" ref="D143:D206" si="12">E143-C143</f>
        <v>376.3773286386147</v>
      </c>
      <c r="E143" s="11">
        <f t="shared" ref="E143:E206" si="13">-$B$9</f>
        <v>936.6395426626226</v>
      </c>
      <c r="F143" s="11">
        <f t="shared" si="10"/>
        <v>67555.647771836084</v>
      </c>
    </row>
    <row r="144" spans="1:6">
      <c r="A144">
        <v>131</v>
      </c>
      <c r="B144">
        <f t="shared" ref="B144:B207" si="14">F143</f>
        <v>67555.647771836084</v>
      </c>
      <c r="C144">
        <f t="shared" si="11"/>
        <v>557.158081692613</v>
      </c>
      <c r="D144" s="11">
        <f t="shared" si="12"/>
        <v>379.48146097000961</v>
      </c>
      <c r="E144" s="11">
        <f t="shared" si="13"/>
        <v>936.6395426626226</v>
      </c>
      <c r="F144" s="11">
        <f t="shared" si="10"/>
        <v>67176.166310866072</v>
      </c>
    </row>
    <row r="145" spans="1:6">
      <c r="A145">
        <v>132</v>
      </c>
      <c r="B145">
        <f t="shared" si="14"/>
        <v>67176.166310866072</v>
      </c>
      <c r="C145">
        <f t="shared" si="11"/>
        <v>554.02834835712554</v>
      </c>
      <c r="D145" s="11">
        <f t="shared" si="12"/>
        <v>382.61119430549707</v>
      </c>
      <c r="E145" s="11">
        <f t="shared" si="13"/>
        <v>936.6395426626226</v>
      </c>
      <c r="F145" s="11">
        <f t="shared" si="10"/>
        <v>66793.555116560572</v>
      </c>
    </row>
    <row r="146" spans="1:6">
      <c r="A146">
        <v>133</v>
      </c>
      <c r="B146">
        <f t="shared" si="14"/>
        <v>66793.555116560572</v>
      </c>
      <c r="C146">
        <f t="shared" si="11"/>
        <v>550.87280287596388</v>
      </c>
      <c r="D146" s="11">
        <f t="shared" si="12"/>
        <v>385.76673978665872</v>
      </c>
      <c r="E146" s="11">
        <f t="shared" si="13"/>
        <v>936.6395426626226</v>
      </c>
      <c r="F146" s="11">
        <f t="shared" si="10"/>
        <v>66407.788376773911</v>
      </c>
    </row>
    <row r="147" spans="1:6">
      <c r="A147">
        <v>134</v>
      </c>
      <c r="B147">
        <f t="shared" si="14"/>
        <v>66407.788376773911</v>
      </c>
      <c r="C147">
        <f t="shared" si="11"/>
        <v>547.69123236617804</v>
      </c>
      <c r="D147" s="11">
        <f t="shared" si="12"/>
        <v>388.94831029644456</v>
      </c>
      <c r="E147" s="11">
        <f t="shared" si="13"/>
        <v>936.6395426626226</v>
      </c>
      <c r="F147" s="11">
        <f t="shared" si="10"/>
        <v>66018.840066477467</v>
      </c>
    </row>
    <row r="148" spans="1:6">
      <c r="A148">
        <v>135</v>
      </c>
      <c r="B148">
        <f t="shared" si="14"/>
        <v>66018.840066477467</v>
      </c>
      <c r="C148">
        <f t="shared" si="11"/>
        <v>544.48342218908886</v>
      </c>
      <c r="D148" s="11">
        <f t="shared" si="12"/>
        <v>392.15612047353375</v>
      </c>
      <c r="E148" s="11">
        <f t="shared" si="13"/>
        <v>936.6395426626226</v>
      </c>
      <c r="F148" s="11">
        <f t="shared" si="10"/>
        <v>65626.683946003934</v>
      </c>
    </row>
    <row r="149" spans="1:6">
      <c r="A149">
        <v>136</v>
      </c>
      <c r="B149">
        <f t="shared" si="14"/>
        <v>65626.683946003934</v>
      </c>
      <c r="C149">
        <f t="shared" si="11"/>
        <v>541.24915593580693</v>
      </c>
      <c r="D149" s="11">
        <f t="shared" si="12"/>
        <v>395.39038672681568</v>
      </c>
      <c r="E149" s="11">
        <f t="shared" si="13"/>
        <v>936.6395426626226</v>
      </c>
      <c r="F149" s="11">
        <f t="shared" si="10"/>
        <v>65231.293559277117</v>
      </c>
    </row>
    <row r="150" spans="1:6">
      <c r="A150">
        <v>137</v>
      </c>
      <c r="B150">
        <f t="shared" si="14"/>
        <v>65231.293559277117</v>
      </c>
      <c r="C150">
        <f t="shared" si="11"/>
        <v>537.98821541263339</v>
      </c>
      <c r="D150" s="11">
        <f t="shared" si="12"/>
        <v>398.65132724998921</v>
      </c>
      <c r="E150" s="11">
        <f t="shared" si="13"/>
        <v>936.6395426626226</v>
      </c>
      <c r="F150" s="11">
        <f t="shared" si="10"/>
        <v>64832.64223202713</v>
      </c>
    </row>
    <row r="151" spans="1:6">
      <c r="A151">
        <v>138</v>
      </c>
      <c r="B151">
        <f t="shared" si="14"/>
        <v>64832.64223202713</v>
      </c>
      <c r="C151">
        <f t="shared" si="11"/>
        <v>534.70038062634023</v>
      </c>
      <c r="D151" s="11">
        <f t="shared" si="12"/>
        <v>401.93916203628237</v>
      </c>
      <c r="E151" s="11">
        <f t="shared" si="13"/>
        <v>936.6395426626226</v>
      </c>
      <c r="F151" s="11">
        <f t="shared" si="10"/>
        <v>64430.70306999085</v>
      </c>
    </row>
    <row r="152" spans="1:6">
      <c r="A152">
        <v>139</v>
      </c>
      <c r="B152">
        <f t="shared" si="14"/>
        <v>64430.70306999085</v>
      </c>
      <c r="C152">
        <f t="shared" si="11"/>
        <v>531.38542976932786</v>
      </c>
      <c r="D152" s="11">
        <f t="shared" si="12"/>
        <v>405.25411289329475</v>
      </c>
      <c r="E152" s="11">
        <f t="shared" si="13"/>
        <v>936.6395426626226</v>
      </c>
      <c r="F152" s="11">
        <f t="shared" si="10"/>
        <v>64025.448957097557</v>
      </c>
    </row>
    <row r="153" spans="1:6">
      <c r="A153">
        <v>140</v>
      </c>
      <c r="B153">
        <f t="shared" si="14"/>
        <v>64025.448957097557</v>
      </c>
      <c r="C153">
        <f t="shared" si="11"/>
        <v>528.04313920466245</v>
      </c>
      <c r="D153" s="11">
        <f t="shared" si="12"/>
        <v>408.59640345796015</v>
      </c>
      <c r="E153" s="11">
        <f t="shared" si="13"/>
        <v>936.6395426626226</v>
      </c>
      <c r="F153" s="11">
        <f t="shared" si="10"/>
        <v>63616.852553639597</v>
      </c>
    </row>
    <row r="154" spans="1:6">
      <c r="A154">
        <v>141</v>
      </c>
      <c r="B154">
        <f t="shared" si="14"/>
        <v>63616.852553639597</v>
      </c>
      <c r="C154">
        <f t="shared" si="11"/>
        <v>524.67328345098781</v>
      </c>
      <c r="D154" s="11">
        <f t="shared" si="12"/>
        <v>411.96625921163479</v>
      </c>
      <c r="E154" s="11">
        <f t="shared" si="13"/>
        <v>936.6395426626226</v>
      </c>
      <c r="F154" s="11">
        <f t="shared" si="10"/>
        <v>63204.886294427961</v>
      </c>
    </row>
    <row r="155" spans="1:6">
      <c r="A155">
        <v>142</v>
      </c>
      <c r="B155">
        <f t="shared" si="14"/>
        <v>63204.886294427961</v>
      </c>
      <c r="C155">
        <f t="shared" si="11"/>
        <v>521.27563516731425</v>
      </c>
      <c r="D155" s="11">
        <f t="shared" si="12"/>
        <v>415.36390749530835</v>
      </c>
      <c r="E155" s="11">
        <f t="shared" si="13"/>
        <v>936.6395426626226</v>
      </c>
      <c r="F155" s="11">
        <f t="shared" si="10"/>
        <v>62789.522386932651</v>
      </c>
    </row>
    <row r="156" spans="1:6">
      <c r="A156">
        <v>143</v>
      </c>
      <c r="B156">
        <f t="shared" si="14"/>
        <v>62789.522386932651</v>
      </c>
      <c r="C156">
        <f t="shared" si="11"/>
        <v>517.84996513768101</v>
      </c>
      <c r="D156" s="11">
        <f t="shared" si="12"/>
        <v>418.78957752494159</v>
      </c>
      <c r="E156" s="11">
        <f t="shared" si="13"/>
        <v>936.6395426626226</v>
      </c>
      <c r="F156" s="11">
        <f t="shared" si="10"/>
        <v>62370.732809407709</v>
      </c>
    </row>
    <row r="157" spans="1:6">
      <c r="A157">
        <v>144</v>
      </c>
      <c r="B157">
        <f t="shared" si="14"/>
        <v>62370.732809407709</v>
      </c>
      <c r="C157">
        <f t="shared" si="11"/>
        <v>514.39604225569315</v>
      </c>
      <c r="D157" s="11">
        <f t="shared" si="12"/>
        <v>422.24350040692946</v>
      </c>
      <c r="E157" s="11">
        <f t="shared" si="13"/>
        <v>936.6395426626226</v>
      </c>
      <c r="F157" s="11">
        <f t="shared" si="10"/>
        <v>61948.489309000783</v>
      </c>
    </row>
    <row r="158" spans="1:6">
      <c r="A158">
        <v>145</v>
      </c>
      <c r="B158">
        <f t="shared" si="14"/>
        <v>61948.489309000783</v>
      </c>
      <c r="C158">
        <f t="shared" si="11"/>
        <v>510.91363350892993</v>
      </c>
      <c r="D158" s="11">
        <f t="shared" si="12"/>
        <v>425.72590915369267</v>
      </c>
      <c r="E158" s="11">
        <f t="shared" si="13"/>
        <v>936.6395426626226</v>
      </c>
      <c r="F158" s="11">
        <f t="shared" si="10"/>
        <v>61522.763399847092</v>
      </c>
    </row>
    <row r="159" spans="1:6">
      <c r="A159">
        <v>146</v>
      </c>
      <c r="B159">
        <f t="shared" si="14"/>
        <v>61522.763399847092</v>
      </c>
      <c r="C159">
        <f t="shared" si="11"/>
        <v>507.40250396322523</v>
      </c>
      <c r="D159" s="11">
        <f t="shared" si="12"/>
        <v>429.23703869939737</v>
      </c>
      <c r="E159" s="11">
        <f t="shared" si="13"/>
        <v>936.6395426626226</v>
      </c>
      <c r="F159" s="11">
        <f t="shared" si="10"/>
        <v>61093.526361147691</v>
      </c>
    </row>
    <row r="160" spans="1:6">
      <c r="A160">
        <v>147</v>
      </c>
      <c r="B160">
        <f t="shared" si="14"/>
        <v>61093.526361147691</v>
      </c>
      <c r="C160">
        <f t="shared" si="11"/>
        <v>503.86241674681816</v>
      </c>
      <c r="D160" s="11">
        <f t="shared" si="12"/>
        <v>432.77712591580445</v>
      </c>
      <c r="E160" s="11">
        <f t="shared" si="13"/>
        <v>936.6395426626226</v>
      </c>
      <c r="F160" s="11">
        <f t="shared" si="10"/>
        <v>60660.749235231888</v>
      </c>
    </row>
    <row r="161" spans="1:6">
      <c r="A161">
        <v>148</v>
      </c>
      <c r="B161">
        <f t="shared" si="14"/>
        <v>60660.749235231888</v>
      </c>
      <c r="C161">
        <f t="shared" si="11"/>
        <v>500.29313303437311</v>
      </c>
      <c r="D161" s="11">
        <f t="shared" si="12"/>
        <v>436.34640962824949</v>
      </c>
      <c r="E161" s="11">
        <f t="shared" si="13"/>
        <v>936.6395426626226</v>
      </c>
      <c r="F161" s="11">
        <f t="shared" si="10"/>
        <v>60224.40282560364</v>
      </c>
    </row>
    <row r="162" spans="1:6">
      <c r="A162">
        <v>149</v>
      </c>
      <c r="B162">
        <f t="shared" si="14"/>
        <v>60224.40282560364</v>
      </c>
      <c r="C162">
        <f t="shared" si="11"/>
        <v>496.69441203086745</v>
      </c>
      <c r="D162" s="11">
        <f t="shared" si="12"/>
        <v>439.94513063175515</v>
      </c>
      <c r="E162" s="11">
        <f t="shared" si="13"/>
        <v>936.6395426626226</v>
      </c>
      <c r="F162" s="11">
        <f t="shared" si="10"/>
        <v>59784.457694971883</v>
      </c>
    </row>
    <row r="163" spans="1:6">
      <c r="A163">
        <v>150</v>
      </c>
      <c r="B163">
        <f t="shared" si="14"/>
        <v>59784.457694971883</v>
      </c>
      <c r="C163">
        <f t="shared" si="11"/>
        <v>493.06601095534728</v>
      </c>
      <c r="D163" s="11">
        <f t="shared" si="12"/>
        <v>443.57353170727532</v>
      </c>
      <c r="E163" s="11">
        <f t="shared" si="13"/>
        <v>936.6395426626226</v>
      </c>
      <c r="F163" s="11">
        <f t="shared" ref="F163:F226" si="15">B163-D163</f>
        <v>59340.884163264607</v>
      </c>
    </row>
    <row r="164" spans="1:6">
      <c r="A164">
        <v>151</v>
      </c>
      <c r="B164">
        <f t="shared" si="14"/>
        <v>59340.884163264607</v>
      </c>
      <c r="C164">
        <f t="shared" si="11"/>
        <v>489.40768502454807</v>
      </c>
      <c r="D164" s="11">
        <f t="shared" si="12"/>
        <v>447.23185763807453</v>
      </c>
      <c r="E164" s="11">
        <f t="shared" si="13"/>
        <v>936.6395426626226</v>
      </c>
      <c r="F164" s="11">
        <f t="shared" si="15"/>
        <v>58893.652305626536</v>
      </c>
    </row>
    <row r="165" spans="1:6">
      <c r="A165">
        <v>152</v>
      </c>
      <c r="B165">
        <f t="shared" si="14"/>
        <v>58893.652305626536</v>
      </c>
      <c r="C165">
        <f t="shared" si="11"/>
        <v>485.71918743638145</v>
      </c>
      <c r="D165" s="11">
        <f t="shared" si="12"/>
        <v>450.92035522624116</v>
      </c>
      <c r="E165" s="11">
        <f t="shared" si="13"/>
        <v>936.6395426626226</v>
      </c>
      <c r="F165" s="11">
        <f t="shared" si="15"/>
        <v>58442.731950400295</v>
      </c>
    </row>
    <row r="166" spans="1:6">
      <c r="A166">
        <v>153</v>
      </c>
      <c r="B166">
        <f t="shared" si="14"/>
        <v>58442.731950400295</v>
      </c>
      <c r="C166">
        <f t="shared" si="11"/>
        <v>482.00026935328458</v>
      </c>
      <c r="D166" s="11">
        <f t="shared" si="12"/>
        <v>454.63927330933802</v>
      </c>
      <c r="E166" s="11">
        <f t="shared" si="13"/>
        <v>936.6395426626226</v>
      </c>
      <c r="F166" s="11">
        <f t="shared" si="15"/>
        <v>57988.092677090957</v>
      </c>
    </row>
    <row r="167" spans="1:6">
      <c r="A167">
        <v>154</v>
      </c>
      <c r="B167">
        <f t="shared" si="14"/>
        <v>57988.092677090957</v>
      </c>
      <c r="C167">
        <f t="shared" si="11"/>
        <v>478.25067988543321</v>
      </c>
      <c r="D167" s="11">
        <f t="shared" si="12"/>
        <v>458.38886277718939</v>
      </c>
      <c r="E167" s="11">
        <f t="shared" si="13"/>
        <v>936.6395426626226</v>
      </c>
      <c r="F167" s="11">
        <f t="shared" si="15"/>
        <v>57529.703814313769</v>
      </c>
    </row>
    <row r="168" spans="1:6">
      <c r="A168">
        <v>155</v>
      </c>
      <c r="B168">
        <f t="shared" si="14"/>
        <v>57529.703814313769</v>
      </c>
      <c r="C168">
        <f t="shared" si="11"/>
        <v>474.47016607381568</v>
      </c>
      <c r="D168" s="11">
        <f t="shared" si="12"/>
        <v>462.16937658880693</v>
      </c>
      <c r="E168" s="11">
        <f t="shared" si="13"/>
        <v>936.6395426626226</v>
      </c>
      <c r="F168" s="11">
        <f t="shared" si="15"/>
        <v>57067.534437724964</v>
      </c>
    </row>
    <row r="169" spans="1:6">
      <c r="A169">
        <v>156</v>
      </c>
      <c r="B169">
        <f t="shared" si="14"/>
        <v>57067.534437724964</v>
      </c>
      <c r="C169">
        <f t="shared" si="11"/>
        <v>470.65847287316751</v>
      </c>
      <c r="D169" s="11">
        <f t="shared" si="12"/>
        <v>465.98106978945509</v>
      </c>
      <c r="E169" s="11">
        <f t="shared" si="13"/>
        <v>936.6395426626226</v>
      </c>
      <c r="F169" s="11">
        <f t="shared" si="15"/>
        <v>56601.553367935507</v>
      </c>
    </row>
    <row r="170" spans="1:6">
      <c r="A170">
        <v>157</v>
      </c>
      <c r="B170">
        <f t="shared" si="14"/>
        <v>56601.553367935507</v>
      </c>
      <c r="C170">
        <f t="shared" si="11"/>
        <v>466.81534313476533</v>
      </c>
      <c r="D170" s="11">
        <f t="shared" si="12"/>
        <v>469.82419952785727</v>
      </c>
      <c r="E170" s="11">
        <f t="shared" si="13"/>
        <v>936.6395426626226</v>
      </c>
      <c r="F170" s="11">
        <f t="shared" si="15"/>
        <v>56131.729168407648</v>
      </c>
    </row>
    <row r="171" spans="1:6">
      <c r="A171">
        <v>158</v>
      </c>
      <c r="B171">
        <f t="shared" si="14"/>
        <v>56131.729168407648</v>
      </c>
      <c r="C171">
        <f t="shared" si="11"/>
        <v>462.94051758907881</v>
      </c>
      <c r="D171" s="11">
        <f t="shared" si="12"/>
        <v>473.69902507354379</v>
      </c>
      <c r="E171" s="11">
        <f t="shared" si="13"/>
        <v>936.6395426626226</v>
      </c>
      <c r="F171" s="11">
        <f t="shared" si="15"/>
        <v>55658.030143334101</v>
      </c>
    </row>
    <row r="172" spans="1:6">
      <c r="A172">
        <v>159</v>
      </c>
      <c r="B172">
        <f t="shared" si="14"/>
        <v>55658.030143334101</v>
      </c>
      <c r="C172">
        <f t="shared" si="11"/>
        <v>459.03373482827953</v>
      </c>
      <c r="D172" s="11">
        <f t="shared" si="12"/>
        <v>477.60580783434307</v>
      </c>
      <c r="E172" s="11">
        <f t="shared" si="13"/>
        <v>936.6395426626226</v>
      </c>
      <c r="F172" s="11">
        <f t="shared" si="15"/>
        <v>55180.42433549976</v>
      </c>
    </row>
    <row r="173" spans="1:6">
      <c r="A173">
        <v>160</v>
      </c>
      <c r="B173">
        <f t="shared" si="14"/>
        <v>55180.42433549976</v>
      </c>
      <c r="C173">
        <f t="shared" si="11"/>
        <v>455.09473128860554</v>
      </c>
      <c r="D173" s="11">
        <f t="shared" si="12"/>
        <v>481.54481137401706</v>
      </c>
      <c r="E173" s="11">
        <f t="shared" si="13"/>
        <v>936.6395426626226</v>
      </c>
      <c r="F173" s="11">
        <f t="shared" si="15"/>
        <v>54698.879524125739</v>
      </c>
    </row>
    <row r="174" spans="1:6">
      <c r="A174">
        <v>161</v>
      </c>
      <c r="B174">
        <f t="shared" si="14"/>
        <v>54698.879524125739</v>
      </c>
      <c r="C174">
        <f t="shared" si="11"/>
        <v>451.12324123258043</v>
      </c>
      <c r="D174" s="11">
        <f t="shared" si="12"/>
        <v>485.51630143004218</v>
      </c>
      <c r="E174" s="11">
        <f t="shared" si="13"/>
        <v>936.6395426626226</v>
      </c>
      <c r="F174" s="11">
        <f t="shared" si="15"/>
        <v>54213.363222695698</v>
      </c>
    </row>
    <row r="175" spans="1:6">
      <c r="A175">
        <v>162</v>
      </c>
      <c r="B175">
        <f t="shared" si="14"/>
        <v>54213.363222695698</v>
      </c>
      <c r="C175">
        <f t="shared" si="11"/>
        <v>447.11899673108621</v>
      </c>
      <c r="D175" s="11">
        <f t="shared" si="12"/>
        <v>489.52054593153639</v>
      </c>
      <c r="E175" s="11">
        <f t="shared" si="13"/>
        <v>936.6395426626226</v>
      </c>
      <c r="F175" s="11">
        <f t="shared" si="15"/>
        <v>53723.842676764165</v>
      </c>
    </row>
    <row r="176" spans="1:6">
      <c r="A176">
        <v>163</v>
      </c>
      <c r="B176">
        <f t="shared" si="14"/>
        <v>53723.842676764165</v>
      </c>
      <c r="C176">
        <f t="shared" si="11"/>
        <v>443.08172764528763</v>
      </c>
      <c r="D176" s="11">
        <f t="shared" si="12"/>
        <v>493.55781501733497</v>
      </c>
      <c r="E176" s="11">
        <f t="shared" si="13"/>
        <v>936.6395426626226</v>
      </c>
      <c r="F176" s="11">
        <f t="shared" si="15"/>
        <v>53230.284861746833</v>
      </c>
    </row>
    <row r="177" spans="1:6">
      <c r="A177">
        <v>164</v>
      </c>
      <c r="B177">
        <f t="shared" si="14"/>
        <v>53230.284861746833</v>
      </c>
      <c r="C177">
        <f t="shared" si="11"/>
        <v>439.0111616084078</v>
      </c>
      <c r="D177" s="11">
        <f t="shared" si="12"/>
        <v>497.6283810542148</v>
      </c>
      <c r="E177" s="11">
        <f t="shared" si="13"/>
        <v>936.6395426626226</v>
      </c>
      <c r="F177" s="11">
        <f t="shared" si="15"/>
        <v>52732.656480692618</v>
      </c>
    </row>
    <row r="178" spans="1:6">
      <c r="A178">
        <v>165</v>
      </c>
      <c r="B178">
        <f t="shared" si="14"/>
        <v>52732.656480692618</v>
      </c>
      <c r="C178">
        <f t="shared" si="11"/>
        <v>434.90702400735353</v>
      </c>
      <c r="D178" s="11">
        <f t="shared" si="12"/>
        <v>501.73251865526908</v>
      </c>
      <c r="E178" s="11">
        <f t="shared" si="13"/>
        <v>936.6395426626226</v>
      </c>
      <c r="F178" s="11">
        <f t="shared" si="15"/>
        <v>52230.923962037348</v>
      </c>
    </row>
    <row r="179" spans="1:6">
      <c r="A179">
        <v>166</v>
      </c>
      <c r="B179">
        <f t="shared" si="14"/>
        <v>52230.923962037348</v>
      </c>
      <c r="C179">
        <f t="shared" si="11"/>
        <v>430.76903796418935</v>
      </c>
      <c r="D179" s="11">
        <f t="shared" si="12"/>
        <v>505.87050469843325</v>
      </c>
      <c r="E179" s="11">
        <f t="shared" si="13"/>
        <v>936.6395426626226</v>
      </c>
      <c r="F179" s="11">
        <f t="shared" si="15"/>
        <v>51725.053457338916</v>
      </c>
    </row>
    <row r="180" spans="1:6">
      <c r="A180">
        <v>167</v>
      </c>
      <c r="B180">
        <f t="shared" si="14"/>
        <v>51725.053457338916</v>
      </c>
      <c r="C180">
        <f t="shared" si="11"/>
        <v>426.59692431745805</v>
      </c>
      <c r="D180" s="11">
        <f t="shared" si="12"/>
        <v>510.04261834516456</v>
      </c>
      <c r="E180" s="11">
        <f t="shared" si="13"/>
        <v>936.6395426626226</v>
      </c>
      <c r="F180" s="11">
        <f t="shared" si="15"/>
        <v>51215.010838993752</v>
      </c>
    </row>
    <row r="181" spans="1:6">
      <c r="A181">
        <v>168</v>
      </c>
      <c r="B181">
        <f t="shared" si="14"/>
        <v>51215.010838993752</v>
      </c>
      <c r="C181">
        <f t="shared" si="11"/>
        <v>422.39040160334764</v>
      </c>
      <c r="D181" s="11">
        <f t="shared" si="12"/>
        <v>514.24914105927496</v>
      </c>
      <c r="E181" s="11">
        <f t="shared" si="13"/>
        <v>936.6395426626226</v>
      </c>
      <c r="F181" s="11">
        <f t="shared" si="15"/>
        <v>50700.761697934475</v>
      </c>
    </row>
    <row r="182" spans="1:6">
      <c r="A182">
        <v>169</v>
      </c>
      <c r="B182">
        <f t="shared" si="14"/>
        <v>50700.761697934475</v>
      </c>
      <c r="C182">
        <f t="shared" si="11"/>
        <v>418.14918603670321</v>
      </c>
      <c r="D182" s="11">
        <f t="shared" si="12"/>
        <v>518.49035662591939</v>
      </c>
      <c r="E182" s="11">
        <f t="shared" si="13"/>
        <v>936.6395426626226</v>
      </c>
      <c r="F182" s="11">
        <f t="shared" si="15"/>
        <v>50182.271341308558</v>
      </c>
    </row>
    <row r="183" spans="1:6">
      <c r="A183">
        <v>170</v>
      </c>
      <c r="B183">
        <f t="shared" si="14"/>
        <v>50182.271341308558</v>
      </c>
      <c r="C183">
        <f t="shared" si="11"/>
        <v>413.87299149188163</v>
      </c>
      <c r="D183" s="11">
        <f t="shared" si="12"/>
        <v>522.76655117074097</v>
      </c>
      <c r="E183" s="11">
        <f t="shared" si="13"/>
        <v>936.6395426626226</v>
      </c>
      <c r="F183" s="11">
        <f t="shared" si="15"/>
        <v>49659.50479013782</v>
      </c>
    </row>
    <row r="184" spans="1:6">
      <c r="A184">
        <v>171</v>
      </c>
      <c r="B184">
        <f t="shared" si="14"/>
        <v>49659.50479013782</v>
      </c>
      <c r="C184">
        <f t="shared" si="11"/>
        <v>409.56152948344862</v>
      </c>
      <c r="D184" s="11">
        <f t="shared" si="12"/>
        <v>527.07801317917392</v>
      </c>
      <c r="E184" s="11">
        <f t="shared" si="13"/>
        <v>936.6395426626226</v>
      </c>
      <c r="F184" s="11">
        <f t="shared" si="15"/>
        <v>49132.426776958644</v>
      </c>
    </row>
    <row r="185" spans="1:6">
      <c r="A185">
        <v>172</v>
      </c>
      <c r="B185">
        <f t="shared" si="14"/>
        <v>49132.426776958644</v>
      </c>
      <c r="C185">
        <f t="shared" si="11"/>
        <v>405.21450914671681</v>
      </c>
      <c r="D185" s="11">
        <f t="shared" si="12"/>
        <v>531.42503351590585</v>
      </c>
      <c r="E185" s="11">
        <f t="shared" si="13"/>
        <v>936.6395426626226</v>
      </c>
      <c r="F185" s="11">
        <f t="shared" si="15"/>
        <v>48601.001743442735</v>
      </c>
    </row>
    <row r="186" spans="1:6">
      <c r="A186">
        <v>173</v>
      </c>
      <c r="B186">
        <f t="shared" si="14"/>
        <v>48601.001743442735</v>
      </c>
      <c r="C186">
        <f t="shared" si="11"/>
        <v>400.83163721812292</v>
      </c>
      <c r="D186" s="11">
        <f t="shared" si="12"/>
        <v>535.80790544449974</v>
      </c>
      <c r="E186" s="11">
        <f t="shared" si="13"/>
        <v>936.6395426626226</v>
      </c>
      <c r="F186" s="11">
        <f t="shared" si="15"/>
        <v>48065.193837998238</v>
      </c>
    </row>
    <row r="187" spans="1:6">
      <c r="A187">
        <v>174</v>
      </c>
      <c r="B187">
        <f t="shared" si="14"/>
        <v>48065.193837998238</v>
      </c>
      <c r="C187">
        <f t="shared" si="11"/>
        <v>396.41261801544346</v>
      </c>
      <c r="D187" s="11">
        <f t="shared" si="12"/>
        <v>540.2269246471792</v>
      </c>
      <c r="E187" s="11">
        <f t="shared" si="13"/>
        <v>936.6395426626226</v>
      </c>
      <c r="F187" s="11">
        <f t="shared" si="15"/>
        <v>47524.966913351062</v>
      </c>
    </row>
    <row r="188" spans="1:6">
      <c r="A188">
        <v>175</v>
      </c>
      <c r="B188">
        <f t="shared" si="14"/>
        <v>47524.966913351062</v>
      </c>
      <c r="C188">
        <f t="shared" si="11"/>
        <v>391.95715341784688</v>
      </c>
      <c r="D188" s="11">
        <f t="shared" si="12"/>
        <v>544.68238924477578</v>
      </c>
      <c r="E188" s="11">
        <f t="shared" si="13"/>
        <v>936.6395426626226</v>
      </c>
      <c r="F188" s="11">
        <f t="shared" si="15"/>
        <v>46980.284524106282</v>
      </c>
    </row>
    <row r="189" spans="1:6">
      <c r="A189">
        <v>176</v>
      </c>
      <c r="B189">
        <f t="shared" si="14"/>
        <v>46980.284524106282</v>
      </c>
      <c r="C189">
        <f t="shared" si="11"/>
        <v>387.46494284578142</v>
      </c>
      <c r="D189" s="11">
        <f t="shared" si="12"/>
        <v>549.17459981684124</v>
      </c>
      <c r="E189" s="11">
        <f t="shared" si="13"/>
        <v>936.6395426626226</v>
      </c>
      <c r="F189" s="11">
        <f t="shared" si="15"/>
        <v>46431.109924289442</v>
      </c>
    </row>
    <row r="190" spans="1:6">
      <c r="A190">
        <v>177</v>
      </c>
      <c r="B190">
        <f t="shared" si="14"/>
        <v>46431.109924289442</v>
      </c>
      <c r="C190">
        <f t="shared" si="11"/>
        <v>382.93568324069747</v>
      </c>
      <c r="D190" s="11">
        <f t="shared" si="12"/>
        <v>553.70385942192513</v>
      </c>
      <c r="E190" s="11">
        <f t="shared" si="13"/>
        <v>936.6395426626226</v>
      </c>
      <c r="F190" s="11">
        <f t="shared" si="15"/>
        <v>45877.406064867515</v>
      </c>
    </row>
    <row r="191" spans="1:6">
      <c r="A191">
        <v>178</v>
      </c>
      <c r="B191">
        <f t="shared" si="14"/>
        <v>45877.406064867515</v>
      </c>
      <c r="C191">
        <f t="shared" si="11"/>
        <v>378.36906904460159</v>
      </c>
      <c r="D191" s="11">
        <f t="shared" si="12"/>
        <v>558.27047361802101</v>
      </c>
      <c r="E191" s="11">
        <f t="shared" si="13"/>
        <v>936.6395426626226</v>
      </c>
      <c r="F191" s="11">
        <f t="shared" si="15"/>
        <v>45319.135591249491</v>
      </c>
    </row>
    <row r="192" spans="1:6">
      <c r="A192">
        <v>179</v>
      </c>
      <c r="B192">
        <f t="shared" si="14"/>
        <v>45319.135591249491</v>
      </c>
      <c r="C192">
        <f t="shared" si="11"/>
        <v>373.76479217944336</v>
      </c>
      <c r="D192" s="11">
        <f t="shared" si="12"/>
        <v>562.87475048317924</v>
      </c>
      <c r="E192" s="11">
        <f t="shared" si="13"/>
        <v>936.6395426626226</v>
      </c>
      <c r="F192" s="11">
        <f t="shared" si="15"/>
        <v>44756.260840766314</v>
      </c>
    </row>
    <row r="193" spans="1:6">
      <c r="A193">
        <v>180</v>
      </c>
      <c r="B193">
        <f t="shared" si="14"/>
        <v>44756.260840766314</v>
      </c>
      <c r="C193">
        <f t="shared" si="11"/>
        <v>369.1225420263309</v>
      </c>
      <c r="D193" s="11">
        <f t="shared" si="12"/>
        <v>567.51700063629164</v>
      </c>
      <c r="E193" s="11">
        <f t="shared" si="13"/>
        <v>936.6395426626226</v>
      </c>
      <c r="F193" s="11">
        <f t="shared" si="15"/>
        <v>44188.743840130024</v>
      </c>
    </row>
    <row r="194" spans="1:6">
      <c r="A194">
        <v>181</v>
      </c>
      <c r="B194">
        <f t="shared" si="14"/>
        <v>44188.743840130024</v>
      </c>
      <c r="C194">
        <f t="shared" si="11"/>
        <v>364.44200540457592</v>
      </c>
      <c r="D194" s="11">
        <f t="shared" si="12"/>
        <v>572.19753725804662</v>
      </c>
      <c r="E194" s="11">
        <f t="shared" si="13"/>
        <v>936.6395426626226</v>
      </c>
      <c r="F194" s="11">
        <f t="shared" si="15"/>
        <v>43616.546302871975</v>
      </c>
    </row>
    <row r="195" spans="1:6">
      <c r="A195">
        <v>182</v>
      </c>
      <c r="B195">
        <f t="shared" si="14"/>
        <v>43616.546302871975</v>
      </c>
      <c r="C195">
        <f t="shared" si="11"/>
        <v>359.72286655056524</v>
      </c>
      <c r="D195" s="11">
        <f t="shared" si="12"/>
        <v>576.9166761120573</v>
      </c>
      <c r="E195" s="11">
        <f t="shared" si="13"/>
        <v>936.6395426626226</v>
      </c>
      <c r="F195" s="11">
        <f t="shared" si="15"/>
        <v>43039.629626759917</v>
      </c>
    </row>
    <row r="196" spans="1:6">
      <c r="A196">
        <v>183</v>
      </c>
      <c r="B196">
        <f t="shared" si="14"/>
        <v>43039.629626759917</v>
      </c>
      <c r="C196">
        <f t="shared" si="11"/>
        <v>354.96480709645874</v>
      </c>
      <c r="D196" s="11">
        <f t="shared" si="12"/>
        <v>581.67473556616392</v>
      </c>
      <c r="E196" s="11">
        <f t="shared" si="13"/>
        <v>936.6395426626226</v>
      </c>
      <c r="F196" s="11">
        <f t="shared" si="15"/>
        <v>42457.954891193753</v>
      </c>
    </row>
    <row r="197" spans="1:6">
      <c r="A197">
        <v>184</v>
      </c>
      <c r="B197">
        <f t="shared" si="14"/>
        <v>42457.954891193753</v>
      </c>
      <c r="C197">
        <f t="shared" si="11"/>
        <v>350.16750604871106</v>
      </c>
      <c r="D197" s="11">
        <f t="shared" si="12"/>
        <v>586.47203661391154</v>
      </c>
      <c r="E197" s="11">
        <f t="shared" si="13"/>
        <v>936.6395426626226</v>
      </c>
      <c r="F197" s="11">
        <f t="shared" si="15"/>
        <v>41871.482854579845</v>
      </c>
    </row>
    <row r="198" spans="1:6">
      <c r="A198">
        <v>185</v>
      </c>
      <c r="B198">
        <f t="shared" si="14"/>
        <v>41871.482854579845</v>
      </c>
      <c r="C198">
        <f t="shared" si="11"/>
        <v>345.33063976641648</v>
      </c>
      <c r="D198" s="11">
        <f t="shared" si="12"/>
        <v>591.30890289620606</v>
      </c>
      <c r="E198" s="11">
        <f t="shared" si="13"/>
        <v>936.6395426626226</v>
      </c>
      <c r="F198" s="11">
        <f t="shared" si="15"/>
        <v>41280.173951683639</v>
      </c>
    </row>
    <row r="199" spans="1:6">
      <c r="A199">
        <v>186</v>
      </c>
      <c r="B199">
        <f t="shared" si="14"/>
        <v>41280.173951683639</v>
      </c>
      <c r="C199">
        <f t="shared" si="11"/>
        <v>340.45388193947485</v>
      </c>
      <c r="D199" s="11">
        <f t="shared" si="12"/>
        <v>596.18566072314775</v>
      </c>
      <c r="E199" s="11">
        <f t="shared" si="13"/>
        <v>936.6395426626226</v>
      </c>
      <c r="F199" s="11">
        <f t="shared" si="15"/>
        <v>40683.988290960493</v>
      </c>
    </row>
    <row r="200" spans="1:6">
      <c r="A200">
        <v>187</v>
      </c>
      <c r="B200">
        <f t="shared" si="14"/>
        <v>40683.988290960493</v>
      </c>
      <c r="C200">
        <f t="shared" si="11"/>
        <v>335.53690356657808</v>
      </c>
      <c r="D200" s="11">
        <f t="shared" si="12"/>
        <v>601.10263909604453</v>
      </c>
      <c r="E200" s="11">
        <f t="shared" si="13"/>
        <v>936.6395426626226</v>
      </c>
      <c r="F200" s="11">
        <f t="shared" si="15"/>
        <v>40082.885651864446</v>
      </c>
    </row>
    <row r="201" spans="1:6">
      <c r="A201">
        <v>188</v>
      </c>
      <c r="B201">
        <f t="shared" si="14"/>
        <v>40082.885651864446</v>
      </c>
      <c r="C201">
        <f t="shared" si="11"/>
        <v>330.57937293301427</v>
      </c>
      <c r="D201" s="11">
        <f t="shared" si="12"/>
        <v>606.06016972960833</v>
      </c>
      <c r="E201" s="11">
        <f t="shared" si="13"/>
        <v>936.6395426626226</v>
      </c>
      <c r="F201" s="11">
        <f t="shared" si="15"/>
        <v>39476.825482134838</v>
      </c>
    </row>
    <row r="202" spans="1:6">
      <c r="A202">
        <v>189</v>
      </c>
      <c r="B202">
        <f t="shared" si="14"/>
        <v>39476.825482134838</v>
      </c>
      <c r="C202">
        <f t="shared" si="11"/>
        <v>325.58095558828973</v>
      </c>
      <c r="D202" s="11">
        <f t="shared" si="12"/>
        <v>611.05858707433288</v>
      </c>
      <c r="E202" s="11">
        <f t="shared" si="13"/>
        <v>936.6395426626226</v>
      </c>
      <c r="F202" s="11">
        <f t="shared" si="15"/>
        <v>38865.766895060508</v>
      </c>
    </row>
    <row r="203" spans="1:6">
      <c r="A203">
        <v>190</v>
      </c>
      <c r="B203">
        <f t="shared" si="14"/>
        <v>38865.766895060508</v>
      </c>
      <c r="C203">
        <f t="shared" si="11"/>
        <v>320.54131432356536</v>
      </c>
      <c r="D203" s="11">
        <f t="shared" si="12"/>
        <v>616.09822833905719</v>
      </c>
      <c r="E203" s="11">
        <f t="shared" si="13"/>
        <v>936.6395426626226</v>
      </c>
      <c r="F203" s="11">
        <f t="shared" si="15"/>
        <v>38249.668666721453</v>
      </c>
    </row>
    <row r="204" spans="1:6">
      <c r="A204">
        <v>191</v>
      </c>
      <c r="B204">
        <f t="shared" si="14"/>
        <v>38249.668666721453</v>
      </c>
      <c r="C204">
        <f t="shared" si="11"/>
        <v>315.46010914890763</v>
      </c>
      <c r="D204" s="11">
        <f t="shared" si="12"/>
        <v>621.17943351371491</v>
      </c>
      <c r="E204" s="11">
        <f t="shared" si="13"/>
        <v>936.6395426626226</v>
      </c>
      <c r="F204" s="11">
        <f t="shared" si="15"/>
        <v>37628.489233207736</v>
      </c>
    </row>
    <row r="205" spans="1:6">
      <c r="A205">
        <v>192</v>
      </c>
      <c r="B205">
        <f t="shared" si="14"/>
        <v>37628.489233207736</v>
      </c>
      <c r="C205">
        <f t="shared" si="11"/>
        <v>310.33699727035213</v>
      </c>
      <c r="D205" s="11">
        <f t="shared" si="12"/>
        <v>626.30254539227053</v>
      </c>
      <c r="E205" s="11">
        <f t="shared" si="13"/>
        <v>936.6395426626226</v>
      </c>
      <c r="F205" s="11">
        <f t="shared" si="15"/>
        <v>37002.186687815469</v>
      </c>
    </row>
    <row r="206" spans="1:6">
      <c r="A206">
        <v>193</v>
      </c>
      <c r="B206">
        <f t="shared" si="14"/>
        <v>37002.186687815469</v>
      </c>
      <c r="C206">
        <f t="shared" si="11"/>
        <v>305.17163306677725</v>
      </c>
      <c r="D206" s="11">
        <f t="shared" si="12"/>
        <v>631.46790959584541</v>
      </c>
      <c r="E206" s="11">
        <f t="shared" si="13"/>
        <v>936.6395426626226</v>
      </c>
      <c r="F206" s="11">
        <f t="shared" si="15"/>
        <v>36370.718778219627</v>
      </c>
    </row>
    <row r="207" spans="1:6">
      <c r="A207">
        <v>194</v>
      </c>
      <c r="B207">
        <f t="shared" si="14"/>
        <v>36370.718778219627</v>
      </c>
      <c r="C207">
        <f t="shared" ref="C207:C253" si="16">B207*$B$11</f>
        <v>299.96366806658756</v>
      </c>
      <c r="D207" s="11">
        <f t="shared" ref="D207:D253" si="17">E207-C207</f>
        <v>636.6758745960351</v>
      </c>
      <c r="E207" s="11">
        <f t="shared" ref="E207:E253" si="18">-$B$9</f>
        <v>936.6395426626226</v>
      </c>
      <c r="F207" s="11">
        <f t="shared" si="15"/>
        <v>35734.042903623595</v>
      </c>
    </row>
    <row r="208" spans="1:6">
      <c r="A208">
        <v>195</v>
      </c>
      <c r="B208">
        <f t="shared" ref="B208:B253" si="19">F207</f>
        <v>35734.042903623595</v>
      </c>
      <c r="C208">
        <f t="shared" si="16"/>
        <v>294.71275092420501</v>
      </c>
      <c r="D208" s="11">
        <f t="shared" si="17"/>
        <v>641.92679173841759</v>
      </c>
      <c r="E208" s="11">
        <f t="shared" si="18"/>
        <v>936.6395426626226</v>
      </c>
      <c r="F208" s="11">
        <f t="shared" si="15"/>
        <v>35092.116111885174</v>
      </c>
    </row>
    <row r="209" spans="1:6">
      <c r="A209">
        <v>196</v>
      </c>
      <c r="B209">
        <f t="shared" si="19"/>
        <v>35092.116111885174</v>
      </c>
      <c r="C209">
        <f t="shared" si="16"/>
        <v>289.41852739636579</v>
      </c>
      <c r="D209" s="11">
        <f t="shared" si="17"/>
        <v>647.22101526625681</v>
      </c>
      <c r="E209" s="11">
        <f t="shared" si="18"/>
        <v>936.6395426626226</v>
      </c>
      <c r="F209" s="11">
        <f t="shared" si="15"/>
        <v>34444.895096618915</v>
      </c>
    </row>
    <row r="210" spans="1:6">
      <c r="A210">
        <v>197</v>
      </c>
      <c r="B210">
        <f t="shared" si="19"/>
        <v>34444.895096618915</v>
      </c>
      <c r="C210">
        <f t="shared" si="16"/>
        <v>284.08064031822238</v>
      </c>
      <c r="D210" s="11">
        <f t="shared" si="17"/>
        <v>652.55890234440017</v>
      </c>
      <c r="E210" s="11">
        <f t="shared" si="18"/>
        <v>936.6395426626226</v>
      </c>
      <c r="F210" s="11">
        <f t="shared" si="15"/>
        <v>33792.336194274518</v>
      </c>
    </row>
    <row r="211" spans="1:6">
      <c r="A211">
        <v>198</v>
      </c>
      <c r="B211">
        <f t="shared" si="19"/>
        <v>33792.336194274518</v>
      </c>
      <c r="C211">
        <f t="shared" si="16"/>
        <v>278.69872957924758</v>
      </c>
      <c r="D211" s="11">
        <f t="shared" si="17"/>
        <v>657.94081308337502</v>
      </c>
      <c r="E211" s="11">
        <f t="shared" si="18"/>
        <v>936.6395426626226</v>
      </c>
      <c r="F211" s="11">
        <f t="shared" si="15"/>
        <v>33134.395381191141</v>
      </c>
    </row>
    <row r="212" spans="1:6">
      <c r="A212">
        <v>199</v>
      </c>
      <c r="B212">
        <f t="shared" si="19"/>
        <v>33134.395381191141</v>
      </c>
      <c r="C212">
        <f t="shared" si="16"/>
        <v>273.27243209894073</v>
      </c>
      <c r="D212" s="11">
        <f t="shared" si="17"/>
        <v>663.36711056368188</v>
      </c>
      <c r="E212" s="11">
        <f t="shared" si="18"/>
        <v>936.6395426626226</v>
      </c>
      <c r="F212" s="11">
        <f t="shared" si="15"/>
        <v>32471.028270627459</v>
      </c>
    </row>
    <row r="213" spans="1:6">
      <c r="A213">
        <v>200</v>
      </c>
      <c r="B213">
        <f t="shared" si="19"/>
        <v>32471.028270627459</v>
      </c>
      <c r="C213">
        <f t="shared" si="16"/>
        <v>267.80138180233297</v>
      </c>
      <c r="D213" s="11">
        <f t="shared" si="17"/>
        <v>668.83816086028969</v>
      </c>
      <c r="E213" s="11">
        <f t="shared" si="18"/>
        <v>936.6395426626226</v>
      </c>
      <c r="F213" s="11">
        <f t="shared" si="15"/>
        <v>31802.190109767169</v>
      </c>
    </row>
    <row r="214" spans="1:6">
      <c r="A214">
        <v>201</v>
      </c>
      <c r="B214">
        <f t="shared" si="19"/>
        <v>31802.190109767169</v>
      </c>
      <c r="C214">
        <f t="shared" si="16"/>
        <v>262.28520959529078</v>
      </c>
      <c r="D214" s="11">
        <f t="shared" si="17"/>
        <v>674.35433306733182</v>
      </c>
      <c r="E214" s="11">
        <f t="shared" si="18"/>
        <v>936.6395426626226</v>
      </c>
      <c r="F214" s="11">
        <f t="shared" si="15"/>
        <v>31127.835776699838</v>
      </c>
    </row>
    <row r="215" spans="1:6">
      <c r="A215">
        <v>202</v>
      </c>
      <c r="B215">
        <f t="shared" si="19"/>
        <v>31127.835776699838</v>
      </c>
      <c r="C215">
        <f t="shared" si="16"/>
        <v>256.72354333961567</v>
      </c>
      <c r="D215" s="11">
        <f t="shared" si="17"/>
        <v>679.91599932300687</v>
      </c>
      <c r="E215" s="11">
        <f t="shared" si="18"/>
        <v>936.6395426626226</v>
      </c>
      <c r="F215" s="11">
        <f t="shared" si="15"/>
        <v>30447.919777376832</v>
      </c>
    </row>
    <row r="216" spans="1:6">
      <c r="A216">
        <v>203</v>
      </c>
      <c r="B216">
        <f t="shared" si="19"/>
        <v>30447.919777376832</v>
      </c>
      <c r="C216">
        <f t="shared" si="16"/>
        <v>251.11600782793852</v>
      </c>
      <c r="D216" s="11">
        <f t="shared" si="17"/>
        <v>685.52353483468414</v>
      </c>
      <c r="E216" s="11">
        <f t="shared" si="18"/>
        <v>936.6395426626226</v>
      </c>
      <c r="F216" s="11">
        <f t="shared" si="15"/>
        <v>29762.396242542149</v>
      </c>
    </row>
    <row r="217" spans="1:6">
      <c r="A217">
        <v>204</v>
      </c>
      <c r="B217">
        <f t="shared" si="19"/>
        <v>29762.396242542149</v>
      </c>
      <c r="C217">
        <f t="shared" si="16"/>
        <v>245.46222475840716</v>
      </c>
      <c r="D217" s="11">
        <f t="shared" si="17"/>
        <v>691.17731790421544</v>
      </c>
      <c r="E217" s="11">
        <f t="shared" si="18"/>
        <v>936.6395426626226</v>
      </c>
      <c r="F217" s="11">
        <f t="shared" si="15"/>
        <v>29071.218924637935</v>
      </c>
    </row>
    <row r="218" spans="1:6">
      <c r="A218">
        <v>205</v>
      </c>
      <c r="B218">
        <f t="shared" si="19"/>
        <v>29071.218924637935</v>
      </c>
      <c r="C218">
        <f t="shared" si="16"/>
        <v>239.76181270916464</v>
      </c>
      <c r="D218" s="11">
        <f t="shared" si="17"/>
        <v>696.8777299534579</v>
      </c>
      <c r="E218" s="11">
        <f t="shared" si="18"/>
        <v>936.6395426626226</v>
      </c>
      <c r="F218" s="11">
        <f t="shared" si="15"/>
        <v>28374.341194684475</v>
      </c>
    </row>
    <row r="219" spans="1:6">
      <c r="A219">
        <v>206</v>
      </c>
      <c r="B219">
        <f t="shared" si="19"/>
        <v>28374.341194684475</v>
      </c>
      <c r="C219">
        <f t="shared" si="16"/>
        <v>234.01438711261753</v>
      </c>
      <c r="D219" s="11">
        <f t="shared" si="17"/>
        <v>702.62515555000505</v>
      </c>
      <c r="E219" s="11">
        <f t="shared" si="18"/>
        <v>936.6395426626226</v>
      </c>
      <c r="F219" s="11">
        <f t="shared" si="15"/>
        <v>27671.71603913447</v>
      </c>
    </row>
    <row r="220" spans="1:6">
      <c r="A220">
        <v>207</v>
      </c>
      <c r="B220">
        <f t="shared" si="19"/>
        <v>27671.71603913447</v>
      </c>
      <c r="C220">
        <f t="shared" si="16"/>
        <v>228.21956022949172</v>
      </c>
      <c r="D220" s="11">
        <f t="shared" si="17"/>
        <v>708.41998243313083</v>
      </c>
      <c r="E220" s="11">
        <f t="shared" si="18"/>
        <v>936.6395426626226</v>
      </c>
      <c r="F220" s="11">
        <f t="shared" si="15"/>
        <v>26963.29605670134</v>
      </c>
    </row>
    <row r="221" spans="1:6">
      <c r="A221">
        <v>208</v>
      </c>
      <c r="B221">
        <f t="shared" si="19"/>
        <v>26963.29605670134</v>
      </c>
      <c r="C221">
        <f t="shared" si="16"/>
        <v>222.37694112267428</v>
      </c>
      <c r="D221" s="11">
        <f t="shared" si="17"/>
        <v>714.26260153994826</v>
      </c>
      <c r="E221" s="11">
        <f t="shared" si="18"/>
        <v>936.6395426626226</v>
      </c>
      <c r="F221" s="11">
        <f t="shared" si="15"/>
        <v>26249.033455161392</v>
      </c>
    </row>
    <row r="222" spans="1:6">
      <c r="A222">
        <v>209</v>
      </c>
      <c r="B222">
        <f t="shared" si="19"/>
        <v>26249.033455161392</v>
      </c>
      <c r="C222">
        <f t="shared" si="16"/>
        <v>216.48613563083973</v>
      </c>
      <c r="D222" s="11">
        <f t="shared" si="17"/>
        <v>720.15340703178288</v>
      </c>
      <c r="E222" s="11">
        <f t="shared" si="18"/>
        <v>936.6395426626226</v>
      </c>
      <c r="F222" s="11">
        <f t="shared" si="15"/>
        <v>25528.880048129609</v>
      </c>
    </row>
    <row r="223" spans="1:6">
      <c r="A223">
        <v>210</v>
      </c>
      <c r="B223">
        <f t="shared" si="19"/>
        <v>25528.880048129609</v>
      </c>
      <c r="C223">
        <f t="shared" si="16"/>
        <v>210.54674634185858</v>
      </c>
      <c r="D223" s="11">
        <f t="shared" si="17"/>
        <v>726.09279632076402</v>
      </c>
      <c r="E223" s="11">
        <f t="shared" si="18"/>
        <v>936.6395426626226</v>
      </c>
      <c r="F223" s="11">
        <f t="shared" si="15"/>
        <v>24802.787251808844</v>
      </c>
    </row>
    <row r="224" spans="1:6">
      <c r="A224">
        <v>211</v>
      </c>
      <c r="B224">
        <f t="shared" si="19"/>
        <v>24802.787251808844</v>
      </c>
      <c r="C224">
        <f t="shared" si="16"/>
        <v>204.55837256598667</v>
      </c>
      <c r="D224" s="11">
        <f t="shared" si="17"/>
        <v>732.0811700966359</v>
      </c>
      <c r="E224" s="11">
        <f t="shared" si="18"/>
        <v>936.6395426626226</v>
      </c>
      <c r="F224" s="11">
        <f t="shared" si="15"/>
        <v>24070.706081712207</v>
      </c>
    </row>
    <row r="225" spans="1:6">
      <c r="A225">
        <v>212</v>
      </c>
      <c r="B225">
        <f t="shared" si="19"/>
        <v>24070.706081712207</v>
      </c>
      <c r="C225">
        <f t="shared" si="16"/>
        <v>198.52061030883348</v>
      </c>
      <c r="D225" s="11">
        <f t="shared" si="17"/>
        <v>738.11893235378909</v>
      </c>
      <c r="E225" s="11">
        <f t="shared" si="18"/>
        <v>936.6395426626226</v>
      </c>
      <c r="F225" s="11">
        <f t="shared" si="15"/>
        <v>23332.58714935842</v>
      </c>
    </row>
    <row r="226" spans="1:6">
      <c r="A226">
        <v>213</v>
      </c>
      <c r="B226">
        <f t="shared" si="19"/>
        <v>23332.58714935842</v>
      </c>
      <c r="C226">
        <f t="shared" si="16"/>
        <v>192.43305224410742</v>
      </c>
      <c r="D226" s="11">
        <f t="shared" si="17"/>
        <v>744.20649041851516</v>
      </c>
      <c r="E226" s="11">
        <f t="shared" si="18"/>
        <v>936.6395426626226</v>
      </c>
      <c r="F226" s="11">
        <f t="shared" si="15"/>
        <v>22588.380658939906</v>
      </c>
    </row>
    <row r="227" spans="1:6">
      <c r="A227">
        <v>214</v>
      </c>
      <c r="B227">
        <f t="shared" si="19"/>
        <v>22588.380658939906</v>
      </c>
      <c r="C227">
        <f t="shared" si="16"/>
        <v>186.29528768613608</v>
      </c>
      <c r="D227" s="11">
        <f t="shared" si="17"/>
        <v>750.34425497648658</v>
      </c>
      <c r="E227" s="11">
        <f t="shared" si="18"/>
        <v>936.6395426626226</v>
      </c>
      <c r="F227" s="11">
        <f t="shared" ref="F227:F253" si="20">B227-D227</f>
        <v>21838.036403963419</v>
      </c>
    </row>
    <row r="228" spans="1:6">
      <c r="A228">
        <v>215</v>
      </c>
      <c r="B228">
        <f t="shared" si="19"/>
        <v>21838.036403963419</v>
      </c>
      <c r="C228">
        <f t="shared" si="16"/>
        <v>180.10690256216037</v>
      </c>
      <c r="D228" s="11">
        <f t="shared" si="17"/>
        <v>756.53264010046223</v>
      </c>
      <c r="E228" s="11">
        <f t="shared" si="18"/>
        <v>936.6395426626226</v>
      </c>
      <c r="F228" s="11">
        <f t="shared" si="20"/>
        <v>21081.503763862958</v>
      </c>
    </row>
    <row r="229" spans="1:6">
      <c r="A229">
        <v>216</v>
      </c>
      <c r="B229">
        <f t="shared" si="19"/>
        <v>21081.503763862958</v>
      </c>
      <c r="C229">
        <f t="shared" si="16"/>
        <v>173.86747938439984</v>
      </c>
      <c r="D229" s="11">
        <f t="shared" si="17"/>
        <v>762.77206327822273</v>
      </c>
      <c r="E229" s="11">
        <f t="shared" si="18"/>
        <v>936.6395426626226</v>
      </c>
      <c r="F229" s="11">
        <f t="shared" si="20"/>
        <v>20318.731700584736</v>
      </c>
    </row>
    <row r="230" spans="1:6">
      <c r="A230">
        <v>217</v>
      </c>
      <c r="B230">
        <f t="shared" si="19"/>
        <v>20318.731700584736</v>
      </c>
      <c r="C230">
        <f t="shared" si="16"/>
        <v>167.57659722188748</v>
      </c>
      <c r="D230" s="11">
        <f t="shared" si="17"/>
        <v>769.06294544073512</v>
      </c>
      <c r="E230" s="11">
        <f t="shared" si="18"/>
        <v>936.6395426626226</v>
      </c>
      <c r="F230" s="11">
        <f t="shared" si="20"/>
        <v>19549.668755144001</v>
      </c>
    </row>
    <row r="231" spans="1:6">
      <c r="A231">
        <v>218</v>
      </c>
      <c r="B231">
        <f t="shared" si="19"/>
        <v>19549.668755144001</v>
      </c>
      <c r="C231">
        <f t="shared" si="16"/>
        <v>161.2338316720726</v>
      </c>
      <c r="D231" s="11">
        <f t="shared" si="17"/>
        <v>775.40571099055001</v>
      </c>
      <c r="E231" s="11">
        <f t="shared" si="18"/>
        <v>936.6395426626226</v>
      </c>
      <c r="F231" s="11">
        <f t="shared" si="20"/>
        <v>18774.263044153449</v>
      </c>
    </row>
    <row r="232" spans="1:6">
      <c r="A232">
        <v>219</v>
      </c>
      <c r="B232">
        <f t="shared" si="19"/>
        <v>18774.263044153449</v>
      </c>
      <c r="C232">
        <f t="shared" si="16"/>
        <v>154.83875483218915</v>
      </c>
      <c r="D232" s="11">
        <f t="shared" si="17"/>
        <v>781.80078783043348</v>
      </c>
      <c r="E232" s="11">
        <f t="shared" si="18"/>
        <v>936.6395426626226</v>
      </c>
      <c r="F232" s="11">
        <f t="shared" si="20"/>
        <v>17992.462256323015</v>
      </c>
    </row>
    <row r="233" spans="1:6">
      <c r="A233">
        <v>220</v>
      </c>
      <c r="B233">
        <f t="shared" si="19"/>
        <v>17992.462256323015</v>
      </c>
      <c r="C233">
        <f t="shared" si="16"/>
        <v>148.39093527038821</v>
      </c>
      <c r="D233" s="11">
        <f t="shared" si="17"/>
        <v>788.24860739223436</v>
      </c>
      <c r="E233" s="11">
        <f t="shared" si="18"/>
        <v>936.6395426626226</v>
      </c>
      <c r="F233" s="11">
        <f t="shared" si="20"/>
        <v>17204.213648930781</v>
      </c>
    </row>
    <row r="234" spans="1:6">
      <c r="A234">
        <v>221</v>
      </c>
      <c r="B234">
        <f t="shared" si="19"/>
        <v>17204.213648930781</v>
      </c>
      <c r="C234">
        <f t="shared" si="16"/>
        <v>141.88993799663217</v>
      </c>
      <c r="D234" s="11">
        <f t="shared" si="17"/>
        <v>794.74960466599043</v>
      </c>
      <c r="E234" s="11">
        <f t="shared" si="18"/>
        <v>936.6395426626226</v>
      </c>
      <c r="F234" s="11">
        <f t="shared" si="20"/>
        <v>16409.464044264791</v>
      </c>
    </row>
    <row r="235" spans="1:6">
      <c r="A235">
        <v>222</v>
      </c>
      <c r="B235">
        <f t="shared" si="19"/>
        <v>16409.464044264791</v>
      </c>
      <c r="C235">
        <f t="shared" si="16"/>
        <v>135.33532443334886</v>
      </c>
      <c r="D235" s="11">
        <f t="shared" si="17"/>
        <v>801.30421822927372</v>
      </c>
      <c r="E235" s="11">
        <f t="shared" si="18"/>
        <v>936.6395426626226</v>
      </c>
      <c r="F235" s="11">
        <f t="shared" si="20"/>
        <v>15608.159826035517</v>
      </c>
    </row>
    <row r="236" spans="1:6">
      <c r="A236">
        <v>223</v>
      </c>
      <c r="B236">
        <f t="shared" si="19"/>
        <v>15608.159826035517</v>
      </c>
      <c r="C236">
        <f t="shared" si="16"/>
        <v>128.72665238584395</v>
      </c>
      <c r="D236" s="11">
        <f t="shared" si="17"/>
        <v>807.91289027677863</v>
      </c>
      <c r="E236" s="11">
        <f t="shared" si="18"/>
        <v>936.6395426626226</v>
      </c>
      <c r="F236" s="11">
        <f t="shared" si="20"/>
        <v>14800.246935758738</v>
      </c>
    </row>
    <row r="237" spans="1:6">
      <c r="A237">
        <v>224</v>
      </c>
      <c r="B237">
        <f t="shared" si="19"/>
        <v>14800.246935758738</v>
      </c>
      <c r="C237">
        <f t="shared" si="16"/>
        <v>122.06347601246891</v>
      </c>
      <c r="D237" s="11">
        <f t="shared" si="17"/>
        <v>814.57606665015373</v>
      </c>
      <c r="E237" s="11">
        <f t="shared" si="18"/>
        <v>936.6395426626226</v>
      </c>
      <c r="F237" s="11">
        <f t="shared" si="20"/>
        <v>13985.670869108584</v>
      </c>
    </row>
    <row r="238" spans="1:6">
      <c r="A238">
        <v>225</v>
      </c>
      <c r="B238">
        <f t="shared" si="19"/>
        <v>13985.670869108584</v>
      </c>
      <c r="C238">
        <f t="shared" si="16"/>
        <v>115.34534579454325</v>
      </c>
      <c r="D238" s="11">
        <f t="shared" si="17"/>
        <v>821.29419686807933</v>
      </c>
      <c r="E238" s="11">
        <f t="shared" si="18"/>
        <v>936.6395426626226</v>
      </c>
      <c r="F238" s="11">
        <f t="shared" si="20"/>
        <v>13164.376672240505</v>
      </c>
    </row>
    <row r="239" spans="1:6">
      <c r="A239">
        <v>226</v>
      </c>
      <c r="B239">
        <f t="shared" si="19"/>
        <v>13164.376672240505</v>
      </c>
      <c r="C239">
        <f t="shared" si="16"/>
        <v>108.57180850602859</v>
      </c>
      <c r="D239" s="11">
        <f t="shared" si="17"/>
        <v>828.06773415659404</v>
      </c>
      <c r="E239" s="11">
        <f t="shared" si="18"/>
        <v>936.6395426626226</v>
      </c>
      <c r="F239" s="11">
        <f t="shared" si="20"/>
        <v>12336.308938083912</v>
      </c>
    </row>
    <row r="240" spans="1:6">
      <c r="A240">
        <v>227</v>
      </c>
      <c r="B240">
        <f t="shared" si="19"/>
        <v>12336.308938083912</v>
      </c>
      <c r="C240">
        <f t="shared" si="16"/>
        <v>101.74240718295255</v>
      </c>
      <c r="D240" s="11">
        <f t="shared" si="17"/>
        <v>834.89713547967006</v>
      </c>
      <c r="E240" s="11">
        <f t="shared" si="18"/>
        <v>936.6395426626226</v>
      </c>
      <c r="F240" s="11">
        <f t="shared" si="20"/>
        <v>11501.411802604242</v>
      </c>
    </row>
    <row r="241" spans="1:6">
      <c r="A241">
        <v>228</v>
      </c>
      <c r="B241">
        <f t="shared" si="19"/>
        <v>11501.411802604242</v>
      </c>
      <c r="C241">
        <f t="shared" si="16"/>
        <v>94.856681092580587</v>
      </c>
      <c r="D241" s="11">
        <f t="shared" si="17"/>
        <v>841.78286157004197</v>
      </c>
      <c r="E241" s="11">
        <f t="shared" si="18"/>
        <v>936.6395426626226</v>
      </c>
      <c r="F241" s="11">
        <f t="shared" si="20"/>
        <v>10659.6289410342</v>
      </c>
    </row>
    <row r="242" spans="1:6">
      <c r="A242">
        <v>229</v>
      </c>
      <c r="B242">
        <f t="shared" si="19"/>
        <v>10659.6289410342</v>
      </c>
      <c r="C242">
        <f t="shared" si="16"/>
        <v>87.914165702333506</v>
      </c>
      <c r="D242" s="11">
        <f t="shared" si="17"/>
        <v>848.72537696028905</v>
      </c>
      <c r="E242" s="11">
        <f t="shared" si="18"/>
        <v>936.6395426626226</v>
      </c>
      <c r="F242" s="11">
        <f t="shared" si="20"/>
        <v>9810.9035640739112</v>
      </c>
    </row>
    <row r="243" spans="1:6">
      <c r="A243">
        <v>230</v>
      </c>
      <c r="B243">
        <f t="shared" si="19"/>
        <v>9810.9035640739112</v>
      </c>
      <c r="C243">
        <f t="shared" si="16"/>
        <v>80.914392648448654</v>
      </c>
      <c r="D243" s="11">
        <f t="shared" si="17"/>
        <v>855.72515001417401</v>
      </c>
      <c r="E243" s="11">
        <f t="shared" si="18"/>
        <v>936.6395426626226</v>
      </c>
      <c r="F243" s="11">
        <f t="shared" si="20"/>
        <v>8955.1784140597374</v>
      </c>
    </row>
    <row r="244" spans="1:6">
      <c r="A244">
        <v>231</v>
      </c>
      <c r="B244">
        <f t="shared" si="19"/>
        <v>8955.1784140597374</v>
      </c>
      <c r="C244">
        <f t="shared" si="16"/>
        <v>73.856889704382624</v>
      </c>
      <c r="D244" s="11">
        <f t="shared" si="17"/>
        <v>862.78265295823996</v>
      </c>
      <c r="E244" s="11">
        <f t="shared" si="18"/>
        <v>936.6395426626226</v>
      </c>
      <c r="F244" s="11">
        <f t="shared" si="20"/>
        <v>8092.3957611014976</v>
      </c>
    </row>
    <row r="245" spans="1:6">
      <c r="A245">
        <v>232</v>
      </c>
      <c r="B245">
        <f t="shared" si="19"/>
        <v>8092.3957611014976</v>
      </c>
      <c r="C245">
        <f t="shared" si="16"/>
        <v>66.741180748953411</v>
      </c>
      <c r="D245" s="11">
        <f t="shared" si="17"/>
        <v>869.89836191366919</v>
      </c>
      <c r="E245" s="11">
        <f t="shared" si="18"/>
        <v>936.6395426626226</v>
      </c>
      <c r="F245" s="11">
        <f t="shared" si="20"/>
        <v>7222.4973991878287</v>
      </c>
    </row>
    <row r="246" spans="1:6">
      <c r="A246">
        <v>233</v>
      </c>
      <c r="B246">
        <f t="shared" si="19"/>
        <v>7222.4973991878287</v>
      </c>
      <c r="C246">
        <f t="shared" si="16"/>
        <v>59.566785734219714</v>
      </c>
      <c r="D246" s="11">
        <f t="shared" si="17"/>
        <v>877.0727569284029</v>
      </c>
      <c r="E246" s="11">
        <f t="shared" si="18"/>
        <v>936.6395426626226</v>
      </c>
      <c r="F246" s="11">
        <f t="shared" si="20"/>
        <v>6345.424642259426</v>
      </c>
    </row>
    <row r="247" spans="1:6">
      <c r="A247">
        <v>234</v>
      </c>
      <c r="B247">
        <f t="shared" si="19"/>
        <v>6345.424642259426</v>
      </c>
      <c r="C247">
        <f t="shared" si="16"/>
        <v>52.333220653095495</v>
      </c>
      <c r="D247" s="11">
        <f t="shared" si="17"/>
        <v>884.30632200952709</v>
      </c>
      <c r="E247" s="11">
        <f t="shared" si="18"/>
        <v>936.6395426626226</v>
      </c>
      <c r="F247" s="11">
        <f t="shared" si="20"/>
        <v>5461.1183202498987</v>
      </c>
    </row>
    <row r="248" spans="1:6">
      <c r="A248">
        <v>235</v>
      </c>
      <c r="B248">
        <f t="shared" si="19"/>
        <v>5461.1183202498987</v>
      </c>
      <c r="C248">
        <f t="shared" si="16"/>
        <v>45.039997506697304</v>
      </c>
      <c r="D248" s="11">
        <f t="shared" si="17"/>
        <v>891.59954515592528</v>
      </c>
      <c r="E248" s="11">
        <f t="shared" si="18"/>
        <v>936.6395426626226</v>
      </c>
      <c r="F248" s="11">
        <f t="shared" si="20"/>
        <v>4569.5187750939731</v>
      </c>
    </row>
    <row r="249" spans="1:6">
      <c r="A249">
        <v>236</v>
      </c>
      <c r="B249">
        <f t="shared" si="19"/>
        <v>4569.5187750939731</v>
      </c>
      <c r="C249">
        <f t="shared" si="16"/>
        <v>37.686624271422346</v>
      </c>
      <c r="D249" s="11">
        <f t="shared" si="17"/>
        <v>898.95291839120023</v>
      </c>
      <c r="E249" s="11">
        <f t="shared" si="18"/>
        <v>936.6395426626226</v>
      </c>
      <c r="F249" s="11">
        <f t="shared" si="20"/>
        <v>3670.5658567027731</v>
      </c>
    </row>
    <row r="250" spans="1:6">
      <c r="A250">
        <v>237</v>
      </c>
      <c r="B250">
        <f t="shared" si="19"/>
        <v>3670.5658567027731</v>
      </c>
      <c r="C250">
        <f t="shared" si="16"/>
        <v>30.272604865755056</v>
      </c>
      <c r="D250" s="11">
        <f t="shared" si="17"/>
        <v>906.36693779686755</v>
      </c>
      <c r="E250" s="11">
        <f t="shared" si="18"/>
        <v>936.6395426626226</v>
      </c>
      <c r="F250" s="11">
        <f t="shared" si="20"/>
        <v>2764.1989189059054</v>
      </c>
    </row>
    <row r="251" spans="1:6">
      <c r="A251">
        <v>238</v>
      </c>
      <c r="B251">
        <f t="shared" si="19"/>
        <v>2764.1989189059054</v>
      </c>
      <c r="C251">
        <f t="shared" si="16"/>
        <v>22.797439116799858</v>
      </c>
      <c r="D251" s="11">
        <f t="shared" si="17"/>
        <v>913.84210354582274</v>
      </c>
      <c r="E251" s="11">
        <f t="shared" si="18"/>
        <v>936.6395426626226</v>
      </c>
      <c r="F251" s="11">
        <f t="shared" si="20"/>
        <v>1850.3568153600827</v>
      </c>
    </row>
    <row r="252" spans="1:6">
      <c r="A252">
        <v>239</v>
      </c>
      <c r="B252">
        <f t="shared" si="19"/>
        <v>1850.3568153600827</v>
      </c>
      <c r="C252">
        <f t="shared" si="16"/>
        <v>15.260622726537974</v>
      </c>
      <c r="D252" s="11">
        <f t="shared" si="17"/>
        <v>921.37891993608469</v>
      </c>
      <c r="E252" s="11">
        <f t="shared" si="18"/>
        <v>936.6395426626226</v>
      </c>
      <c r="F252" s="11">
        <f t="shared" si="20"/>
        <v>928.97789542399801</v>
      </c>
    </row>
    <row r="253" spans="1:6">
      <c r="A253">
        <v>240</v>
      </c>
      <c r="B253">
        <f t="shared" si="19"/>
        <v>928.97789542399801</v>
      </c>
      <c r="C253">
        <f t="shared" si="16"/>
        <v>7.66164723780589</v>
      </c>
      <c r="D253" s="11">
        <f t="shared" si="17"/>
        <v>928.97789542481667</v>
      </c>
      <c r="E253" s="11">
        <f t="shared" si="18"/>
        <v>936.6395426626226</v>
      </c>
      <c r="F253" s="11">
        <f t="shared" si="20"/>
        <v>-8.1865891843335703E-10</v>
      </c>
    </row>
    <row r="255" spans="1:6">
      <c r="A255" s="8" t="s">
        <v>10</v>
      </c>
    </row>
    <row r="256" spans="1:6">
      <c r="A256" s="8" t="s">
        <v>34</v>
      </c>
      <c r="B256">
        <v>6</v>
      </c>
    </row>
    <row r="257" spans="1:3">
      <c r="A257" s="8" t="s">
        <v>8</v>
      </c>
      <c r="B257" s="11">
        <f>PMT(B6,B256*12,B2)</f>
        <v>-1830.9214945246265</v>
      </c>
    </row>
    <row r="258" spans="1:3">
      <c r="A258" s="8" t="s">
        <v>46</v>
      </c>
      <c r="B258" s="23">
        <f>RATE(B256*12,B257,B10)</f>
        <v>8.670722003135645E-3</v>
      </c>
    </row>
    <row r="259" spans="1:3">
      <c r="A259" s="8" t="s">
        <v>11</v>
      </c>
      <c r="B259" s="25">
        <f>(1+B258)^12-1</f>
        <v>0.10915688781626809</v>
      </c>
    </row>
    <row r="261" spans="1:3">
      <c r="A261" s="8" t="s">
        <v>38</v>
      </c>
    </row>
    <row r="262" spans="1:3">
      <c r="A262" s="8" t="s">
        <v>48</v>
      </c>
      <c r="B262" s="8" t="s">
        <v>49</v>
      </c>
      <c r="C262" s="8" t="s">
        <v>47</v>
      </c>
    </row>
    <row r="263" spans="1:3">
      <c r="A263">
        <v>1</v>
      </c>
      <c r="B263">
        <v>12</v>
      </c>
      <c r="C263">
        <f>CUMIPMT($B$11,$B$1*12,$B$10,A263,B263,0)</f>
        <v>-9601.1936598046414</v>
      </c>
    </row>
    <row r="264" spans="1:3">
      <c r="A264">
        <v>13</v>
      </c>
      <c r="B264">
        <v>24</v>
      </c>
      <c r="C264">
        <f t="shared" ref="C264:C282" si="21">CUMIPMT($B$11,$B$1*12,$B$10,A264,B264,0)</f>
        <v>-9431.4736525490007</v>
      </c>
    </row>
    <row r="265" spans="1:3">
      <c r="A265">
        <v>25</v>
      </c>
      <c r="B265">
        <v>36</v>
      </c>
      <c r="C265">
        <f t="shared" si="21"/>
        <v>-9244.173408804716</v>
      </c>
    </row>
    <row r="266" spans="1:3">
      <c r="A266">
        <v>37</v>
      </c>
      <c r="B266">
        <v>48</v>
      </c>
      <c r="C266">
        <f t="shared" si="21"/>
        <v>-9037.4719015756527</v>
      </c>
    </row>
    <row r="267" spans="1:3">
      <c r="A267">
        <v>49</v>
      </c>
      <c r="B267">
        <v>60</v>
      </c>
      <c r="C267">
        <f t="shared" si="21"/>
        <v>-8809.3594750424672</v>
      </c>
    </row>
    <row r="268" spans="1:3">
      <c r="A268">
        <v>61</v>
      </c>
      <c r="B268">
        <v>72</v>
      </c>
      <c r="C268">
        <f t="shared" si="21"/>
        <v>-8557.6183056798545</v>
      </c>
    </row>
    <row r="269" spans="1:3">
      <c r="A269">
        <v>73</v>
      </c>
      <c r="B269">
        <v>84</v>
      </c>
      <c r="C269">
        <f t="shared" si="21"/>
        <v>-8279.8008394628832</v>
      </c>
    </row>
    <row r="270" spans="1:3">
      <c r="A270">
        <v>85</v>
      </c>
      <c r="B270">
        <v>96</v>
      </c>
      <c r="C270">
        <f t="shared" si="21"/>
        <v>-7973.2059955180548</v>
      </c>
    </row>
    <row r="271" spans="1:3">
      <c r="A271">
        <v>97</v>
      </c>
      <c r="B271">
        <v>108</v>
      </c>
      <c r="C271">
        <f t="shared" si="21"/>
        <v>-7634.8529048590963</v>
      </c>
    </row>
    <row r="272" spans="1:3">
      <c r="A272">
        <v>109</v>
      </c>
      <c r="B272">
        <v>120</v>
      </c>
      <c r="C272">
        <f t="shared" si="21"/>
        <v>-7261.451928882243</v>
      </c>
    </row>
    <row r="273" spans="1:3">
      <c r="A273">
        <v>121</v>
      </c>
      <c r="B273">
        <v>132</v>
      </c>
      <c r="C273">
        <f t="shared" si="21"/>
        <v>-6849.372675848309</v>
      </c>
    </row>
    <row r="274" spans="1:3">
      <c r="A274">
        <v>133</v>
      </c>
      <c r="B274">
        <v>144</v>
      </c>
      <c r="C274">
        <f t="shared" si="21"/>
        <v>-6394.6087043917105</v>
      </c>
    </row>
    <row r="275" spans="1:3">
      <c r="A275">
        <v>145</v>
      </c>
      <c r="B275">
        <v>156</v>
      </c>
      <c r="C275">
        <f t="shared" si="21"/>
        <v>-5892.7385708862275</v>
      </c>
    </row>
    <row r="276" spans="1:3">
      <c r="A276">
        <v>157</v>
      </c>
      <c r="B276">
        <v>168</v>
      </c>
      <c r="C276">
        <f t="shared" si="21"/>
        <v>-5338.8828419504807</v>
      </c>
    </row>
    <row r="277" spans="1:3">
      <c r="A277">
        <v>169</v>
      </c>
      <c r="B277">
        <v>180</v>
      </c>
      <c r="C277">
        <f t="shared" si="21"/>
        <v>-4727.6566541470629</v>
      </c>
    </row>
    <row r="278" spans="1:3">
      <c r="A278">
        <v>181</v>
      </c>
      <c r="B278">
        <v>192</v>
      </c>
      <c r="C278">
        <f t="shared" si="21"/>
        <v>-4053.1173596369599</v>
      </c>
    </row>
    <row r="279" spans="1:3">
      <c r="A279">
        <v>193</v>
      </c>
      <c r="B279">
        <v>204</v>
      </c>
      <c r="C279">
        <f t="shared" si="21"/>
        <v>-3308.7067487739896</v>
      </c>
    </row>
    <row r="280" spans="1:3">
      <c r="A280">
        <v>205</v>
      </c>
      <c r="B280">
        <v>216</v>
      </c>
      <c r="C280">
        <f t="shared" si="21"/>
        <v>-2487.187287898334</v>
      </c>
    </row>
    <row r="281" spans="1:3">
      <c r="A281">
        <v>217</v>
      </c>
      <c r="B281">
        <v>228</v>
      </c>
      <c r="C281">
        <f t="shared" si="21"/>
        <v>-1580.5717524010088</v>
      </c>
    </row>
    <row r="282" spans="1:3">
      <c r="A282">
        <v>229</v>
      </c>
      <c r="B282">
        <v>240</v>
      </c>
      <c r="C282">
        <f t="shared" si="21"/>
        <v>-580.04557091653078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6546E-1268-1043-A78B-9FECA8D8C471}">
  <dimension ref="A1:F53"/>
  <sheetViews>
    <sheetView topLeftCell="A3" workbookViewId="0">
      <selection activeCell="F25" sqref="F25"/>
    </sheetView>
  </sheetViews>
  <sheetFormatPr baseColWidth="10" defaultRowHeight="13"/>
  <cols>
    <col min="1" max="1" width="13.3320312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bestFit="1" customWidth="1"/>
  </cols>
  <sheetData>
    <row r="1" spans="1:2">
      <c r="A1" s="8" t="s">
        <v>5</v>
      </c>
      <c r="B1">
        <v>250000</v>
      </c>
    </row>
    <row r="2" spans="1:2">
      <c r="A2" s="8" t="s">
        <v>9</v>
      </c>
      <c r="B2">
        <v>36</v>
      </c>
    </row>
    <row r="3" spans="1:2">
      <c r="A3" s="8" t="s">
        <v>6</v>
      </c>
      <c r="B3" s="9">
        <v>0.08</v>
      </c>
    </row>
    <row r="4" spans="1:2">
      <c r="A4" s="8" t="s">
        <v>46</v>
      </c>
      <c r="B4" s="15">
        <f>B3/12</f>
        <v>6.6666666666666671E-3</v>
      </c>
    </row>
    <row r="5" spans="1:2">
      <c r="A5" s="8" t="s">
        <v>35</v>
      </c>
      <c r="B5" s="9">
        <v>0.01</v>
      </c>
    </row>
    <row r="6" spans="1:2">
      <c r="A6" s="8" t="s">
        <v>36</v>
      </c>
      <c r="B6">
        <v>1500</v>
      </c>
    </row>
    <row r="8" spans="1:2">
      <c r="A8" s="8" t="s">
        <v>7</v>
      </c>
    </row>
    <row r="9" spans="1:2">
      <c r="A9" s="8" t="s">
        <v>8</v>
      </c>
      <c r="B9" s="11">
        <f>PMT(B4,B2,B1)</f>
        <v>-7834.0913653577127</v>
      </c>
    </row>
    <row r="11" spans="1:2">
      <c r="A11" s="8" t="s">
        <v>10</v>
      </c>
    </row>
    <row r="12" spans="1:2">
      <c r="A12" s="8" t="s">
        <v>37</v>
      </c>
      <c r="B12" s="8">
        <f>B1*(1-B5)-B6</f>
        <v>246000</v>
      </c>
    </row>
    <row r="13" spans="1:2">
      <c r="A13" s="8" t="s">
        <v>50</v>
      </c>
      <c r="B13" s="18">
        <f>RATE(B2,B9,B12)</f>
        <v>7.5826275598459229E-3</v>
      </c>
    </row>
    <row r="14" spans="1:2">
      <c r="A14" s="8" t="s">
        <v>11</v>
      </c>
      <c r="B14" s="26">
        <f>(1+B13)^12-1</f>
        <v>9.4883852981993977E-2</v>
      </c>
    </row>
    <row r="16" spans="1:2">
      <c r="A16" s="8" t="s">
        <v>38</v>
      </c>
    </row>
    <row r="17" spans="1:6">
      <c r="A17" s="8" t="s">
        <v>39</v>
      </c>
      <c r="B17" s="8" t="s">
        <v>40</v>
      </c>
      <c r="C17" s="8" t="s">
        <v>41</v>
      </c>
      <c r="D17" s="8" t="s">
        <v>42</v>
      </c>
      <c r="E17" s="8" t="s">
        <v>43</v>
      </c>
      <c r="F17" s="8" t="s">
        <v>44</v>
      </c>
    </row>
    <row r="18" spans="1:6">
      <c r="A18">
        <v>1</v>
      </c>
      <c r="B18">
        <f>B12</f>
        <v>246000</v>
      </c>
      <c r="C18">
        <f>B18*$B$13</f>
        <v>1865.326379722097</v>
      </c>
      <c r="D18" s="11">
        <f>E18-C18</f>
        <v>5968.7649856356156</v>
      </c>
      <c r="E18" s="11">
        <f>-$B$9</f>
        <v>7834.0913653577127</v>
      </c>
      <c r="F18" s="11">
        <f>B18-D18</f>
        <v>240031.23501436439</v>
      </c>
    </row>
    <row r="19" spans="1:6">
      <c r="A19">
        <v>2</v>
      </c>
      <c r="B19">
        <f>F18</f>
        <v>240031.23501436439</v>
      </c>
      <c r="C19">
        <f t="shared" ref="C19:C53" si="0">B19*$B$13</f>
        <v>1820.0674578437731</v>
      </c>
      <c r="D19" s="11">
        <f t="shared" ref="D19:D53" si="1">E19-C19</f>
        <v>6014.0239075139398</v>
      </c>
      <c r="E19" s="11">
        <f t="shared" ref="E19:E53" si="2">-$B$9</f>
        <v>7834.0913653577127</v>
      </c>
      <c r="F19" s="11">
        <f t="shared" ref="F19:F53" si="3">B19-D19</f>
        <v>234017.21110685045</v>
      </c>
    </row>
    <row r="20" spans="1:6">
      <c r="A20">
        <v>3</v>
      </c>
      <c r="B20">
        <f t="shared" ref="B20:B53" si="4">F19</f>
        <v>234017.21110685045</v>
      </c>
      <c r="C20">
        <f t="shared" si="0"/>
        <v>1774.4653544170856</v>
      </c>
      <c r="D20" s="11">
        <f t="shared" si="1"/>
        <v>6059.6260109406267</v>
      </c>
      <c r="E20" s="11">
        <f t="shared" si="2"/>
        <v>7834.0913653577127</v>
      </c>
      <c r="F20" s="11">
        <f t="shared" si="3"/>
        <v>227957.58509590983</v>
      </c>
    </row>
    <row r="21" spans="1:6">
      <c r="A21">
        <v>4</v>
      </c>
      <c r="B21">
        <f t="shared" si="4"/>
        <v>227957.58509590983</v>
      </c>
      <c r="C21">
        <f t="shared" si="0"/>
        <v>1728.5174672241681</v>
      </c>
      <c r="D21" s="11">
        <f t="shared" si="1"/>
        <v>6105.5738981335444</v>
      </c>
      <c r="E21" s="11">
        <f t="shared" si="2"/>
        <v>7834.0913653577127</v>
      </c>
      <c r="F21" s="11">
        <f t="shared" si="3"/>
        <v>221852.0111977763</v>
      </c>
    </row>
    <row r="22" spans="1:6">
      <c r="A22">
        <v>5</v>
      </c>
      <c r="B22">
        <f t="shared" si="4"/>
        <v>221852.0111977763</v>
      </c>
      <c r="C22">
        <f t="shared" si="0"/>
        <v>1682.2211743155049</v>
      </c>
      <c r="D22" s="11">
        <f t="shared" si="1"/>
        <v>6151.8701910422078</v>
      </c>
      <c r="E22" s="11">
        <f t="shared" si="2"/>
        <v>7834.0913653577127</v>
      </c>
      <c r="F22" s="11">
        <f t="shared" si="3"/>
        <v>215700.14100673411</v>
      </c>
    </row>
    <row r="23" spans="1:6">
      <c r="A23">
        <v>6</v>
      </c>
      <c r="B23">
        <f t="shared" si="4"/>
        <v>215700.14100673411</v>
      </c>
      <c r="C23">
        <f t="shared" si="0"/>
        <v>1635.5738338603137</v>
      </c>
      <c r="D23" s="11">
        <f t="shared" si="1"/>
        <v>6198.5175314973985</v>
      </c>
      <c r="E23" s="11">
        <f t="shared" si="2"/>
        <v>7834.0913653577127</v>
      </c>
      <c r="F23" s="11">
        <f t="shared" si="3"/>
        <v>209501.6234752367</v>
      </c>
    </row>
    <row r="24" spans="1:6">
      <c r="A24">
        <v>7</v>
      </c>
      <c r="B24">
        <f t="shared" si="4"/>
        <v>209501.6234752367</v>
      </c>
      <c r="C24">
        <f t="shared" si="0"/>
        <v>1588.5727839957933</v>
      </c>
      <c r="D24" s="11">
        <f t="shared" si="1"/>
        <v>6245.5185813619191</v>
      </c>
      <c r="E24" s="11">
        <f t="shared" si="2"/>
        <v>7834.0913653577127</v>
      </c>
      <c r="F24" s="11">
        <f t="shared" si="3"/>
        <v>203256.10489387478</v>
      </c>
    </row>
    <row r="25" spans="1:6">
      <c r="A25">
        <v>8</v>
      </c>
      <c r="B25">
        <f t="shared" si="4"/>
        <v>203256.10489387478</v>
      </c>
      <c r="C25">
        <f t="shared" si="0"/>
        <v>1541.2153426752286</v>
      </c>
      <c r="D25" s="11">
        <f t="shared" si="1"/>
        <v>6292.8760226824843</v>
      </c>
      <c r="E25" s="11">
        <f t="shared" si="2"/>
        <v>7834.0913653577127</v>
      </c>
      <c r="F25" s="11">
        <f t="shared" si="3"/>
        <v>196963.22887119229</v>
      </c>
    </row>
    <row r="26" spans="1:6">
      <c r="A26">
        <v>9</v>
      </c>
      <c r="B26">
        <f t="shared" si="4"/>
        <v>196963.22887119229</v>
      </c>
      <c r="C26">
        <f t="shared" si="0"/>
        <v>1493.4988075149429</v>
      </c>
      <c r="D26" s="11">
        <f t="shared" si="1"/>
        <v>6340.5925578427696</v>
      </c>
      <c r="E26" s="11">
        <f t="shared" si="2"/>
        <v>7834.0913653577127</v>
      </c>
      <c r="F26" s="11">
        <f t="shared" si="3"/>
        <v>190622.63631334953</v>
      </c>
    </row>
    <row r="27" spans="1:6">
      <c r="A27">
        <v>10</v>
      </c>
      <c r="B27">
        <f t="shared" si="4"/>
        <v>190622.63631334953</v>
      </c>
      <c r="C27">
        <f t="shared" si="0"/>
        <v>1445.4204556400903</v>
      </c>
      <c r="D27" s="11">
        <f t="shared" si="1"/>
        <v>6388.6709097176226</v>
      </c>
      <c r="E27" s="11">
        <f t="shared" si="2"/>
        <v>7834.0913653577127</v>
      </c>
      <c r="F27" s="11">
        <f t="shared" si="3"/>
        <v>184233.96540363191</v>
      </c>
    </row>
    <row r="28" spans="1:6">
      <c r="A28">
        <v>11</v>
      </c>
      <c r="B28">
        <f t="shared" si="4"/>
        <v>184233.96540363191</v>
      </c>
      <c r="C28">
        <f t="shared" si="0"/>
        <v>1396.9775435292797</v>
      </c>
      <c r="D28" s="11">
        <f t="shared" si="1"/>
        <v>6437.1138218284332</v>
      </c>
      <c r="E28" s="11">
        <f t="shared" si="2"/>
        <v>7834.0913653577127</v>
      </c>
      <c r="F28" s="11">
        <f t="shared" si="3"/>
        <v>177796.85158180346</v>
      </c>
    </row>
    <row r="29" spans="1:6">
      <c r="A29">
        <v>12</v>
      </c>
      <c r="B29">
        <f t="shared" si="4"/>
        <v>177796.85158180346</v>
      </c>
      <c r="C29">
        <f t="shared" si="0"/>
        <v>1348.167306858018</v>
      </c>
      <c r="D29" s="11">
        <f t="shared" si="1"/>
        <v>6485.9240584996951</v>
      </c>
      <c r="E29" s="11">
        <f t="shared" si="2"/>
        <v>7834.0913653577127</v>
      </c>
      <c r="F29" s="11">
        <f t="shared" si="3"/>
        <v>171310.92752330378</v>
      </c>
    </row>
    <row r="30" spans="1:6">
      <c r="A30">
        <v>13</v>
      </c>
      <c r="B30">
        <f t="shared" si="4"/>
        <v>171310.92752330378</v>
      </c>
      <c r="C30">
        <f t="shared" si="0"/>
        <v>1298.9869603409707</v>
      </c>
      <c r="D30" s="11">
        <f t="shared" si="1"/>
        <v>6535.104405016742</v>
      </c>
      <c r="E30" s="11">
        <f t="shared" si="2"/>
        <v>7834.0913653577127</v>
      </c>
      <c r="F30" s="11">
        <f t="shared" si="3"/>
        <v>164775.82311828702</v>
      </c>
    </row>
    <row r="31" spans="1:6">
      <c r="A31">
        <v>14</v>
      </c>
      <c r="B31">
        <f t="shared" si="4"/>
        <v>164775.82311828702</v>
      </c>
      <c r="C31">
        <f t="shared" si="0"/>
        <v>1249.43369757302</v>
      </c>
      <c r="D31" s="11">
        <f t="shared" si="1"/>
        <v>6584.6576677846924</v>
      </c>
      <c r="E31" s="11">
        <f t="shared" si="2"/>
        <v>7834.0913653577127</v>
      </c>
      <c r="F31" s="11">
        <f t="shared" si="3"/>
        <v>158191.16545050233</v>
      </c>
    </row>
    <row r="32" spans="1:6">
      <c r="A32">
        <v>15</v>
      </c>
      <c r="B32">
        <f t="shared" si="4"/>
        <v>158191.16545050233</v>
      </c>
      <c r="C32">
        <f t="shared" si="0"/>
        <v>1199.5046908691252</v>
      </c>
      <c r="D32" s="11">
        <f t="shared" si="1"/>
        <v>6634.586674488588</v>
      </c>
      <c r="E32" s="11">
        <f t="shared" si="2"/>
        <v>7834.0913653577127</v>
      </c>
      <c r="F32" s="11">
        <f t="shared" si="3"/>
        <v>151556.57877601375</v>
      </c>
    </row>
    <row r="33" spans="1:6">
      <c r="A33">
        <v>16</v>
      </c>
      <c r="B33">
        <f t="shared" si="4"/>
        <v>151556.57877601375</v>
      </c>
      <c r="C33">
        <f t="shared" si="0"/>
        <v>1149.1970911029614</v>
      </c>
      <c r="D33" s="11">
        <f t="shared" si="1"/>
        <v>6684.8942742547515</v>
      </c>
      <c r="E33" s="11">
        <f t="shared" si="2"/>
        <v>7834.0913653577127</v>
      </c>
      <c r="F33" s="11">
        <f t="shared" si="3"/>
        <v>144871.68450175901</v>
      </c>
    </row>
    <row r="34" spans="1:6">
      <c r="A34">
        <v>17</v>
      </c>
      <c r="B34">
        <f t="shared" si="4"/>
        <v>144871.68450175901</v>
      </c>
      <c r="C34">
        <f t="shared" si="0"/>
        <v>1098.5080275443413</v>
      </c>
      <c r="D34" s="11">
        <f t="shared" si="1"/>
        <v>6735.5833378133711</v>
      </c>
      <c r="E34" s="11">
        <f t="shared" si="2"/>
        <v>7834.0913653577127</v>
      </c>
      <c r="F34" s="11">
        <f t="shared" si="3"/>
        <v>138136.10116394563</v>
      </c>
    </row>
    <row r="35" spans="1:6">
      <c r="A35">
        <v>18</v>
      </c>
      <c r="B35">
        <f t="shared" si="4"/>
        <v>138136.10116394563</v>
      </c>
      <c r="C35">
        <f t="shared" si="0"/>
        <v>1047.4346076953987</v>
      </c>
      <c r="D35" s="11">
        <f t="shared" si="1"/>
        <v>6786.6567576623138</v>
      </c>
      <c r="E35" s="11">
        <f t="shared" si="2"/>
        <v>7834.0913653577127</v>
      </c>
      <c r="F35" s="11">
        <f t="shared" si="3"/>
        <v>131349.44440628332</v>
      </c>
    </row>
    <row r="36" spans="1:6">
      <c r="A36">
        <v>19</v>
      </c>
      <c r="B36">
        <f t="shared" si="4"/>
        <v>131349.44440628332</v>
      </c>
      <c r="C36">
        <f t="shared" si="0"/>
        <v>995.97391712553383</v>
      </c>
      <c r="D36" s="11">
        <f t="shared" si="1"/>
        <v>6838.1174482321785</v>
      </c>
      <c r="E36" s="11">
        <f t="shared" si="2"/>
        <v>7834.0913653577127</v>
      </c>
      <c r="F36" s="11">
        <f t="shared" si="3"/>
        <v>124511.32695805114</v>
      </c>
    </row>
    <row r="37" spans="1:6">
      <c r="A37">
        <v>20</v>
      </c>
      <c r="B37">
        <f t="shared" si="4"/>
        <v>124511.32695805114</v>
      </c>
      <c r="C37">
        <f t="shared" si="0"/>
        <v>944.12301930510523</v>
      </c>
      <c r="D37" s="11">
        <f t="shared" si="1"/>
        <v>6889.9683460526076</v>
      </c>
      <c r="E37" s="11">
        <f t="shared" si="2"/>
        <v>7834.0913653577127</v>
      </c>
      <c r="F37" s="11">
        <f t="shared" si="3"/>
        <v>117621.35861199853</v>
      </c>
    </row>
    <row r="38" spans="1:6">
      <c r="A38">
        <v>21</v>
      </c>
      <c r="B38">
        <f t="shared" si="4"/>
        <v>117621.35861199853</v>
      </c>
      <c r="C38">
        <f t="shared" si="0"/>
        <v>891.87895543786067</v>
      </c>
      <c r="D38" s="11">
        <f t="shared" si="1"/>
        <v>6942.2124099198518</v>
      </c>
      <c r="E38" s="11">
        <f t="shared" si="2"/>
        <v>7834.0913653577127</v>
      </c>
      <c r="F38" s="11">
        <f t="shared" si="3"/>
        <v>110679.14620207867</v>
      </c>
    </row>
    <row r="39" spans="1:6">
      <c r="A39">
        <v>22</v>
      </c>
      <c r="B39">
        <f t="shared" si="4"/>
        <v>110679.14620207867</v>
      </c>
      <c r="C39">
        <f t="shared" si="0"/>
        <v>839.23874429209798</v>
      </c>
      <c r="D39" s="11">
        <f t="shared" si="1"/>
        <v>6994.8526210656146</v>
      </c>
      <c r="E39" s="11">
        <f t="shared" si="2"/>
        <v>7834.0913653577127</v>
      </c>
      <c r="F39" s="11">
        <f t="shared" si="3"/>
        <v>103684.29358101306</v>
      </c>
    </row>
    <row r="40" spans="1:6">
      <c r="A40">
        <v>23</v>
      </c>
      <c r="B40">
        <f t="shared" si="4"/>
        <v>103684.29358101306</v>
      </c>
      <c r="C40">
        <f t="shared" si="0"/>
        <v>786.19938203054528</v>
      </c>
      <c r="D40" s="11">
        <f t="shared" si="1"/>
        <v>7047.8919833271675</v>
      </c>
      <c r="E40" s="11">
        <f t="shared" si="2"/>
        <v>7834.0913653577127</v>
      </c>
      <c r="F40" s="11">
        <f t="shared" si="3"/>
        <v>96636.401597685894</v>
      </c>
    </row>
    <row r="41" spans="1:6">
      <c r="A41">
        <v>24</v>
      </c>
      <c r="B41">
        <f t="shared" si="4"/>
        <v>96636.401597685894</v>
      </c>
      <c r="C41">
        <f t="shared" si="0"/>
        <v>732.75784203895159</v>
      </c>
      <c r="D41" s="11">
        <f t="shared" si="1"/>
        <v>7101.3335233187609</v>
      </c>
      <c r="E41" s="11">
        <f t="shared" si="2"/>
        <v>7834.0913653577127</v>
      </c>
      <c r="F41" s="11">
        <f t="shared" si="3"/>
        <v>89535.068074367126</v>
      </c>
    </row>
    <row r="42" spans="1:6">
      <c r="A42">
        <v>25</v>
      </c>
      <c r="B42">
        <f t="shared" si="4"/>
        <v>89535.068074367126</v>
      </c>
      <c r="C42">
        <f t="shared" si="0"/>
        <v>678.91107475337697</v>
      </c>
      <c r="D42" s="11">
        <f t="shared" si="1"/>
        <v>7155.1802906043358</v>
      </c>
      <c r="E42" s="11">
        <f t="shared" si="2"/>
        <v>7834.0913653577127</v>
      </c>
      <c r="F42" s="11">
        <f t="shared" si="3"/>
        <v>82379.887783762795</v>
      </c>
    </row>
    <row r="43" spans="1:6">
      <c r="A43">
        <v>26</v>
      </c>
      <c r="B43">
        <f t="shared" si="4"/>
        <v>82379.887783762795</v>
      </c>
      <c r="C43">
        <f t="shared" si="0"/>
        <v>624.65600748617419</v>
      </c>
      <c r="D43" s="11">
        <f t="shared" si="1"/>
        <v>7209.4353578715381</v>
      </c>
      <c r="E43" s="11">
        <f t="shared" si="2"/>
        <v>7834.0913653577127</v>
      </c>
      <c r="F43" s="11">
        <f t="shared" si="3"/>
        <v>75170.452425891257</v>
      </c>
    </row>
    <row r="44" spans="1:6">
      <c r="A44">
        <v>27</v>
      </c>
      <c r="B44">
        <f t="shared" si="4"/>
        <v>75170.452425891257</v>
      </c>
      <c r="C44">
        <f t="shared" si="0"/>
        <v>569.98954425064983</v>
      </c>
      <c r="D44" s="11">
        <f t="shared" si="1"/>
        <v>7264.1018211070632</v>
      </c>
      <c r="E44" s="11">
        <f t="shared" si="2"/>
        <v>7834.0913653577127</v>
      </c>
      <c r="F44" s="11">
        <f t="shared" si="3"/>
        <v>67906.350604784195</v>
      </c>
    </row>
    <row r="45" spans="1:6">
      <c r="A45">
        <v>28</v>
      </c>
      <c r="B45">
        <f t="shared" si="4"/>
        <v>67906.350604784195</v>
      </c>
      <c r="C45">
        <f t="shared" si="0"/>
        <v>514.90856558439646</v>
      </c>
      <c r="D45" s="11">
        <f t="shared" si="1"/>
        <v>7319.1827997733162</v>
      </c>
      <c r="E45" s="11">
        <f t="shared" si="2"/>
        <v>7834.0913653577127</v>
      </c>
      <c r="F45" s="11">
        <f t="shared" si="3"/>
        <v>60587.167805010875</v>
      </c>
    </row>
    <row r="46" spans="1:6">
      <c r="A46">
        <v>29</v>
      </c>
      <c r="B46">
        <f t="shared" si="4"/>
        <v>60587.167805010875</v>
      </c>
      <c r="C46">
        <f t="shared" si="0"/>
        <v>459.40992837128505</v>
      </c>
      <c r="D46" s="11">
        <f t="shared" si="1"/>
        <v>7374.6814369864278</v>
      </c>
      <c r="E46" s="11">
        <f t="shared" si="2"/>
        <v>7834.0913653577127</v>
      </c>
      <c r="F46" s="11">
        <f t="shared" si="3"/>
        <v>53212.486368024445</v>
      </c>
    </row>
    <row r="47" spans="1:6">
      <c r="A47">
        <v>30</v>
      </c>
      <c r="B47">
        <f t="shared" si="4"/>
        <v>53212.486368024445</v>
      </c>
      <c r="C47">
        <f t="shared" si="0"/>
        <v>403.49046566210762</v>
      </c>
      <c r="D47" s="11">
        <f t="shared" si="1"/>
        <v>7430.6008996956052</v>
      </c>
      <c r="E47" s="11">
        <f t="shared" si="2"/>
        <v>7834.0913653577127</v>
      </c>
      <c r="F47" s="11">
        <f t="shared" si="3"/>
        <v>45781.885468328837</v>
      </c>
    </row>
    <row r="48" spans="1:6">
      <c r="A48">
        <v>31</v>
      </c>
      <c r="B48">
        <f t="shared" si="4"/>
        <v>45781.885468328837</v>
      </c>
      <c r="C48">
        <f t="shared" si="0"/>
        <v>347.1469864938598</v>
      </c>
      <c r="D48" s="11">
        <f t="shared" si="1"/>
        <v>7486.9443788638528</v>
      </c>
      <c r="E48" s="11">
        <f t="shared" si="2"/>
        <v>7834.0913653577127</v>
      </c>
      <c r="F48" s="11">
        <f t="shared" si="3"/>
        <v>38294.941089464985</v>
      </c>
    </row>
    <row r="49" spans="1:6">
      <c r="A49">
        <v>32</v>
      </c>
      <c r="B49">
        <f t="shared" si="4"/>
        <v>38294.941089464985</v>
      </c>
      <c r="C49">
        <f t="shared" si="0"/>
        <v>290.37627570765324</v>
      </c>
      <c r="D49" s="11">
        <f t="shared" si="1"/>
        <v>7543.7150896500598</v>
      </c>
      <c r="E49" s="11">
        <f t="shared" si="2"/>
        <v>7834.0913653577127</v>
      </c>
      <c r="F49" s="11">
        <f t="shared" si="3"/>
        <v>30751.225999814924</v>
      </c>
    </row>
    <row r="50" spans="1:6">
      <c r="A50">
        <v>33</v>
      </c>
      <c r="B50">
        <f t="shared" si="4"/>
        <v>30751.225999814924</v>
      </c>
      <c r="C50">
        <f t="shared" si="0"/>
        <v>233.17509376524714</v>
      </c>
      <c r="D50" s="11">
        <f t="shared" si="1"/>
        <v>7600.9162715924658</v>
      </c>
      <c r="E50" s="11">
        <f t="shared" si="2"/>
        <v>7834.0913653577127</v>
      </c>
      <c r="F50" s="11">
        <f t="shared" si="3"/>
        <v>23150.309728222459</v>
      </c>
    </row>
    <row r="51" spans="1:6">
      <c r="A51">
        <v>34</v>
      </c>
      <c r="B51">
        <f t="shared" si="4"/>
        <v>23150.309728222459</v>
      </c>
      <c r="C51">
        <f t="shared" si="0"/>
        <v>175.54017656418878</v>
      </c>
      <c r="D51" s="11">
        <f t="shared" si="1"/>
        <v>7658.5511887935236</v>
      </c>
      <c r="E51" s="11">
        <f t="shared" si="2"/>
        <v>7834.0913653577127</v>
      </c>
      <c r="F51" s="11">
        <f t="shared" si="3"/>
        <v>15491.758539428934</v>
      </c>
    </row>
    <row r="52" spans="1:6">
      <c r="A52">
        <v>35</v>
      </c>
      <c r="B52">
        <f t="shared" si="4"/>
        <v>15491.758539428934</v>
      </c>
      <c r="C52">
        <f t="shared" si="0"/>
        <v>117.46823525155226</v>
      </c>
      <c r="D52" s="11">
        <f t="shared" si="1"/>
        <v>7716.6231301061607</v>
      </c>
      <c r="E52" s="11">
        <f t="shared" si="2"/>
        <v>7834.0913653577127</v>
      </c>
      <c r="F52" s="11">
        <f t="shared" si="3"/>
        <v>7775.1354093227737</v>
      </c>
    </row>
    <row r="53" spans="1:6">
      <c r="A53">
        <v>36</v>
      </c>
      <c r="B53">
        <f t="shared" si="4"/>
        <v>7775.1354093227737</v>
      </c>
      <c r="C53">
        <f t="shared" si="0"/>
        <v>58.955956036264773</v>
      </c>
      <c r="D53" s="11">
        <f t="shared" si="1"/>
        <v>7775.1354093214477</v>
      </c>
      <c r="E53" s="11">
        <f t="shared" si="2"/>
        <v>7834.0913653577127</v>
      </c>
      <c r="F53" s="11">
        <f t="shared" si="3"/>
        <v>1.3260432751849294E-9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F5833-9C28-0949-AE6A-5FD7612ACE75}">
  <dimension ref="A1:D56"/>
  <sheetViews>
    <sheetView workbookViewId="0">
      <selection activeCell="B57" sqref="B57"/>
    </sheetView>
  </sheetViews>
  <sheetFormatPr baseColWidth="10" defaultRowHeight="13"/>
  <cols>
    <col min="1" max="1" width="17.5" bestFit="1" customWidth="1"/>
    <col min="2" max="2" width="17" bestFit="1" customWidth="1"/>
  </cols>
  <sheetData>
    <row r="1" spans="1:4">
      <c r="A1" s="8" t="s">
        <v>51</v>
      </c>
      <c r="B1">
        <v>99000</v>
      </c>
    </row>
    <row r="2" spans="1:4">
      <c r="A2" s="8" t="s">
        <v>53</v>
      </c>
      <c r="B2">
        <v>9000</v>
      </c>
    </row>
    <row r="3" spans="1:4">
      <c r="A3" s="8" t="s">
        <v>52</v>
      </c>
      <c r="B3">
        <f>B1-B2</f>
        <v>90000</v>
      </c>
    </row>
    <row r="5" spans="1:4">
      <c r="A5" s="8" t="s">
        <v>21</v>
      </c>
      <c r="B5">
        <v>39000</v>
      </c>
    </row>
    <row r="6" spans="1:4">
      <c r="A6" s="8" t="s">
        <v>9</v>
      </c>
      <c r="B6">
        <v>36</v>
      </c>
    </row>
    <row r="7" spans="1:4">
      <c r="A7" s="8" t="s">
        <v>22</v>
      </c>
      <c r="B7">
        <f>(B1-B5)/B6</f>
        <v>1666.6666666666667</v>
      </c>
    </row>
    <row r="9" spans="1:4">
      <c r="A9" s="8" t="s">
        <v>6</v>
      </c>
      <c r="B9" s="9">
        <v>0.1</v>
      </c>
    </row>
    <row r="10" spans="1:4">
      <c r="A10" s="8" t="s">
        <v>58</v>
      </c>
      <c r="B10" s="22">
        <f>(1+B9)^(1/12)-1</f>
        <v>7.9741404289037643E-3</v>
      </c>
    </row>
    <row r="11" spans="1:4">
      <c r="A11" s="8" t="s">
        <v>45</v>
      </c>
      <c r="B11" s="24">
        <f>B9/12</f>
        <v>8.3333333333333332E-3</v>
      </c>
    </row>
    <row r="12" spans="1:4">
      <c r="A12" s="8" t="s">
        <v>8</v>
      </c>
      <c r="B12" s="27">
        <f>PMT(B11,B6,B3)</f>
        <v>-2904.0468474453737</v>
      </c>
    </row>
    <row r="14" spans="1:4">
      <c r="A14" s="8" t="s">
        <v>54</v>
      </c>
      <c r="B14" s="8" t="s">
        <v>55</v>
      </c>
      <c r="C14" s="8" t="s">
        <v>56</v>
      </c>
      <c r="D14" s="8" t="s">
        <v>57</v>
      </c>
    </row>
    <row r="15" spans="1:4">
      <c r="A15">
        <v>0</v>
      </c>
      <c r="B15">
        <v>0</v>
      </c>
      <c r="C15">
        <f>51000</f>
        <v>51000</v>
      </c>
      <c r="D15">
        <v>90000</v>
      </c>
    </row>
    <row r="16" spans="1:4">
      <c r="A16">
        <v>1</v>
      </c>
      <c r="B16">
        <v>0</v>
      </c>
      <c r="C16">
        <f>-$B$7</f>
        <v>-1666.6666666666667</v>
      </c>
      <c r="D16">
        <f>$B$12</f>
        <v>-2904.0468474453737</v>
      </c>
    </row>
    <row r="17" spans="1:4">
      <c r="A17">
        <v>2</v>
      </c>
      <c r="B17">
        <v>0</v>
      </c>
      <c r="C17">
        <f t="shared" ref="C17:C51" si="0">-$B$7</f>
        <v>-1666.6666666666667</v>
      </c>
      <c r="D17">
        <f t="shared" ref="D17:D51" si="1">$B$12</f>
        <v>-2904.0468474453737</v>
      </c>
    </row>
    <row r="18" spans="1:4">
      <c r="A18">
        <v>3</v>
      </c>
      <c r="B18">
        <v>0</v>
      </c>
      <c r="C18">
        <f t="shared" si="0"/>
        <v>-1666.6666666666667</v>
      </c>
      <c r="D18">
        <f t="shared" si="1"/>
        <v>-2904.0468474453737</v>
      </c>
    </row>
    <row r="19" spans="1:4">
      <c r="A19">
        <v>4</v>
      </c>
      <c r="B19">
        <v>0</v>
      </c>
      <c r="C19">
        <f t="shared" si="0"/>
        <v>-1666.6666666666667</v>
      </c>
      <c r="D19">
        <f t="shared" si="1"/>
        <v>-2904.0468474453737</v>
      </c>
    </row>
    <row r="20" spans="1:4">
      <c r="A20">
        <v>5</v>
      </c>
      <c r="B20">
        <v>0</v>
      </c>
      <c r="C20">
        <f t="shared" si="0"/>
        <v>-1666.6666666666667</v>
      </c>
      <c r="D20">
        <f t="shared" si="1"/>
        <v>-2904.0468474453737</v>
      </c>
    </row>
    <row r="21" spans="1:4">
      <c r="A21">
        <v>6</v>
      </c>
      <c r="B21">
        <v>0</v>
      </c>
      <c r="C21">
        <f t="shared" si="0"/>
        <v>-1666.6666666666667</v>
      </c>
      <c r="D21">
        <f t="shared" si="1"/>
        <v>-2904.0468474453737</v>
      </c>
    </row>
    <row r="22" spans="1:4">
      <c r="A22">
        <v>7</v>
      </c>
      <c r="B22">
        <v>0</v>
      </c>
      <c r="C22">
        <f t="shared" si="0"/>
        <v>-1666.6666666666667</v>
      </c>
      <c r="D22">
        <f t="shared" si="1"/>
        <v>-2904.0468474453737</v>
      </c>
    </row>
    <row r="23" spans="1:4">
      <c r="A23">
        <v>8</v>
      </c>
      <c r="B23">
        <v>0</v>
      </c>
      <c r="C23">
        <f t="shared" si="0"/>
        <v>-1666.6666666666667</v>
      </c>
      <c r="D23">
        <f t="shared" si="1"/>
        <v>-2904.0468474453737</v>
      </c>
    </row>
    <row r="24" spans="1:4">
      <c r="A24">
        <v>9</v>
      </c>
      <c r="B24">
        <v>0</v>
      </c>
      <c r="C24">
        <f t="shared" si="0"/>
        <v>-1666.6666666666667</v>
      </c>
      <c r="D24">
        <f t="shared" si="1"/>
        <v>-2904.0468474453737</v>
      </c>
    </row>
    <row r="25" spans="1:4">
      <c r="A25">
        <v>10</v>
      </c>
      <c r="B25">
        <v>0</v>
      </c>
      <c r="C25">
        <f t="shared" si="0"/>
        <v>-1666.6666666666667</v>
      </c>
      <c r="D25">
        <f t="shared" si="1"/>
        <v>-2904.0468474453737</v>
      </c>
    </row>
    <row r="26" spans="1:4">
      <c r="A26">
        <v>11</v>
      </c>
      <c r="B26">
        <v>0</v>
      </c>
      <c r="C26">
        <f t="shared" si="0"/>
        <v>-1666.6666666666667</v>
      </c>
      <c r="D26">
        <f t="shared" si="1"/>
        <v>-2904.0468474453737</v>
      </c>
    </row>
    <row r="27" spans="1:4">
      <c r="A27">
        <v>12</v>
      </c>
      <c r="B27">
        <v>0</v>
      </c>
      <c r="C27">
        <f t="shared" si="0"/>
        <v>-1666.6666666666667</v>
      </c>
      <c r="D27">
        <f t="shared" si="1"/>
        <v>-2904.0468474453737</v>
      </c>
    </row>
    <row r="28" spans="1:4">
      <c r="A28">
        <v>13</v>
      </c>
      <c r="B28">
        <v>0</v>
      </c>
      <c r="C28">
        <f t="shared" si="0"/>
        <v>-1666.6666666666667</v>
      </c>
      <c r="D28">
        <f t="shared" si="1"/>
        <v>-2904.0468474453737</v>
      </c>
    </row>
    <row r="29" spans="1:4">
      <c r="A29">
        <v>14</v>
      </c>
      <c r="B29">
        <v>0</v>
      </c>
      <c r="C29">
        <f t="shared" si="0"/>
        <v>-1666.6666666666667</v>
      </c>
      <c r="D29">
        <f t="shared" si="1"/>
        <v>-2904.0468474453737</v>
      </c>
    </row>
    <row r="30" spans="1:4">
      <c r="A30">
        <v>15</v>
      </c>
      <c r="B30">
        <v>0</v>
      </c>
      <c r="C30">
        <f t="shared" si="0"/>
        <v>-1666.6666666666667</v>
      </c>
      <c r="D30">
        <f t="shared" si="1"/>
        <v>-2904.0468474453737</v>
      </c>
    </row>
    <row r="31" spans="1:4">
      <c r="A31">
        <v>16</v>
      </c>
      <c r="B31">
        <v>0</v>
      </c>
      <c r="C31">
        <f t="shared" si="0"/>
        <v>-1666.6666666666667</v>
      </c>
      <c r="D31">
        <f t="shared" si="1"/>
        <v>-2904.0468474453737</v>
      </c>
    </row>
    <row r="32" spans="1:4">
      <c r="A32">
        <v>17</v>
      </c>
      <c r="B32">
        <v>0</v>
      </c>
      <c r="C32">
        <f t="shared" si="0"/>
        <v>-1666.6666666666667</v>
      </c>
      <c r="D32">
        <f t="shared" si="1"/>
        <v>-2904.0468474453737</v>
      </c>
    </row>
    <row r="33" spans="1:4">
      <c r="A33">
        <v>18</v>
      </c>
      <c r="B33">
        <v>0</v>
      </c>
      <c r="C33">
        <f t="shared" si="0"/>
        <v>-1666.6666666666667</v>
      </c>
      <c r="D33">
        <f t="shared" si="1"/>
        <v>-2904.0468474453737</v>
      </c>
    </row>
    <row r="34" spans="1:4">
      <c r="A34">
        <v>19</v>
      </c>
      <c r="B34">
        <v>0</v>
      </c>
      <c r="C34">
        <f t="shared" si="0"/>
        <v>-1666.6666666666667</v>
      </c>
      <c r="D34">
        <f t="shared" si="1"/>
        <v>-2904.0468474453737</v>
      </c>
    </row>
    <row r="35" spans="1:4">
      <c r="A35">
        <v>20</v>
      </c>
      <c r="B35">
        <v>0</v>
      </c>
      <c r="C35">
        <f t="shared" si="0"/>
        <v>-1666.6666666666667</v>
      </c>
      <c r="D35">
        <f t="shared" si="1"/>
        <v>-2904.0468474453737</v>
      </c>
    </row>
    <row r="36" spans="1:4">
      <c r="A36">
        <v>21</v>
      </c>
      <c r="B36">
        <v>0</v>
      </c>
      <c r="C36">
        <f t="shared" si="0"/>
        <v>-1666.6666666666667</v>
      </c>
      <c r="D36">
        <f t="shared" si="1"/>
        <v>-2904.0468474453737</v>
      </c>
    </row>
    <row r="37" spans="1:4">
      <c r="A37">
        <v>22</v>
      </c>
      <c r="B37">
        <v>0</v>
      </c>
      <c r="C37">
        <f t="shared" si="0"/>
        <v>-1666.6666666666667</v>
      </c>
      <c r="D37">
        <f t="shared" si="1"/>
        <v>-2904.0468474453737</v>
      </c>
    </row>
    <row r="38" spans="1:4">
      <c r="A38">
        <v>23</v>
      </c>
      <c r="B38">
        <v>0</v>
      </c>
      <c r="C38">
        <f t="shared" si="0"/>
        <v>-1666.6666666666667</v>
      </c>
      <c r="D38">
        <f t="shared" si="1"/>
        <v>-2904.0468474453737</v>
      </c>
    </row>
    <row r="39" spans="1:4">
      <c r="A39">
        <v>24</v>
      </c>
      <c r="B39">
        <v>0</v>
      </c>
      <c r="C39">
        <f t="shared" si="0"/>
        <v>-1666.6666666666667</v>
      </c>
      <c r="D39">
        <f t="shared" si="1"/>
        <v>-2904.0468474453737</v>
      </c>
    </row>
    <row r="40" spans="1:4">
      <c r="A40">
        <v>25</v>
      </c>
      <c r="B40">
        <v>0</v>
      </c>
      <c r="C40">
        <f t="shared" si="0"/>
        <v>-1666.6666666666667</v>
      </c>
      <c r="D40">
        <f t="shared" si="1"/>
        <v>-2904.0468474453737</v>
      </c>
    </row>
    <row r="41" spans="1:4">
      <c r="A41">
        <v>26</v>
      </c>
      <c r="B41">
        <v>0</v>
      </c>
      <c r="C41">
        <f t="shared" si="0"/>
        <v>-1666.6666666666667</v>
      </c>
      <c r="D41">
        <f t="shared" si="1"/>
        <v>-2904.0468474453737</v>
      </c>
    </row>
    <row r="42" spans="1:4">
      <c r="A42">
        <v>27</v>
      </c>
      <c r="B42">
        <v>0</v>
      </c>
      <c r="C42">
        <f t="shared" si="0"/>
        <v>-1666.6666666666667</v>
      </c>
      <c r="D42">
        <f t="shared" si="1"/>
        <v>-2904.0468474453737</v>
      </c>
    </row>
    <row r="43" spans="1:4">
      <c r="A43">
        <v>28</v>
      </c>
      <c r="B43">
        <v>0</v>
      </c>
      <c r="C43">
        <f t="shared" si="0"/>
        <v>-1666.6666666666667</v>
      </c>
      <c r="D43">
        <f t="shared" si="1"/>
        <v>-2904.0468474453737</v>
      </c>
    </row>
    <row r="44" spans="1:4">
      <c r="A44">
        <v>29</v>
      </c>
      <c r="B44">
        <v>0</v>
      </c>
      <c r="C44">
        <f t="shared" si="0"/>
        <v>-1666.6666666666667</v>
      </c>
      <c r="D44">
        <f t="shared" si="1"/>
        <v>-2904.0468474453737</v>
      </c>
    </row>
    <row r="45" spans="1:4">
      <c r="A45">
        <v>30</v>
      </c>
      <c r="B45">
        <v>0</v>
      </c>
      <c r="C45">
        <f t="shared" si="0"/>
        <v>-1666.6666666666667</v>
      </c>
      <c r="D45">
        <f t="shared" si="1"/>
        <v>-2904.0468474453737</v>
      </c>
    </row>
    <row r="46" spans="1:4">
      <c r="A46">
        <v>31</v>
      </c>
      <c r="B46">
        <v>0</v>
      </c>
      <c r="C46">
        <f t="shared" si="0"/>
        <v>-1666.6666666666667</v>
      </c>
      <c r="D46">
        <f t="shared" si="1"/>
        <v>-2904.0468474453737</v>
      </c>
    </row>
    <row r="47" spans="1:4">
      <c r="A47">
        <v>32</v>
      </c>
      <c r="B47">
        <v>0</v>
      </c>
      <c r="C47">
        <f t="shared" si="0"/>
        <v>-1666.6666666666667</v>
      </c>
      <c r="D47">
        <f t="shared" si="1"/>
        <v>-2904.0468474453737</v>
      </c>
    </row>
    <row r="48" spans="1:4">
      <c r="A48">
        <v>33</v>
      </c>
      <c r="B48">
        <v>0</v>
      </c>
      <c r="C48">
        <f t="shared" si="0"/>
        <v>-1666.6666666666667</v>
      </c>
      <c r="D48">
        <f t="shared" si="1"/>
        <v>-2904.0468474453737</v>
      </c>
    </row>
    <row r="49" spans="1:4">
      <c r="A49">
        <v>34</v>
      </c>
      <c r="B49">
        <v>0</v>
      </c>
      <c r="C49">
        <f t="shared" si="0"/>
        <v>-1666.6666666666667</v>
      </c>
      <c r="D49">
        <f t="shared" si="1"/>
        <v>-2904.0468474453737</v>
      </c>
    </row>
    <row r="50" spans="1:4">
      <c r="A50">
        <v>35</v>
      </c>
      <c r="B50">
        <v>0</v>
      </c>
      <c r="C50">
        <f t="shared" si="0"/>
        <v>-1666.6666666666667</v>
      </c>
      <c r="D50">
        <f t="shared" si="1"/>
        <v>-2904.0468474453737</v>
      </c>
    </row>
    <row r="51" spans="1:4">
      <c r="A51">
        <v>36</v>
      </c>
      <c r="B51">
        <v>0</v>
      </c>
      <c r="C51">
        <f t="shared" si="0"/>
        <v>-1666.6666666666667</v>
      </c>
      <c r="D51">
        <f t="shared" si="1"/>
        <v>-2904.0468474453737</v>
      </c>
    </row>
    <row r="52" spans="1:4">
      <c r="A52" s="8" t="s">
        <v>59</v>
      </c>
      <c r="C52" s="18">
        <f>RATE(B6,-B7,B3-B5)</f>
        <v>9.0628261301437772E-3</v>
      </c>
      <c r="D52" s="18">
        <f>RATE(B6,B12,B3)</f>
        <v>8.333333333349506E-3</v>
      </c>
    </row>
    <row r="53" spans="1:4">
      <c r="A53" s="8" t="s">
        <v>24</v>
      </c>
      <c r="C53" s="18">
        <f>IRR(C15:C51)</f>
        <v>9.062826130133983E-3</v>
      </c>
      <c r="D53" s="18">
        <f>IRR(D15:D52)</f>
        <v>8.3333294323353346E-3</v>
      </c>
    </row>
    <row r="54" spans="1:4">
      <c r="A54" s="8" t="s">
        <v>11</v>
      </c>
      <c r="C54" s="13">
        <f>(1+C53)^12-1</f>
        <v>0.11434196197122004</v>
      </c>
      <c r="D54" s="15">
        <f>(1+D53)^12-1</f>
        <v>0.10471301615488326</v>
      </c>
    </row>
    <row r="56" spans="1:4">
      <c r="B56" s="8" t="s">
        <v>60</v>
      </c>
    </row>
  </sheetData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E02C-4C43-D549-9AE1-F371CF9D5264}">
  <dimension ref="A1:D7"/>
  <sheetViews>
    <sheetView workbookViewId="0">
      <selection activeCell="C3" sqref="C3"/>
    </sheetView>
  </sheetViews>
  <sheetFormatPr baseColWidth="10" defaultRowHeight="13"/>
  <cols>
    <col min="1" max="1" width="12.33203125" bestFit="1" customWidth="1"/>
    <col min="2" max="2" width="8" bestFit="1" customWidth="1"/>
    <col min="3" max="3" width="22.1640625" bestFit="1" customWidth="1"/>
    <col min="4" max="4" width="10" bestFit="1" customWidth="1"/>
  </cols>
  <sheetData>
    <row r="1" spans="1:4">
      <c r="A1" s="8" t="s">
        <v>61</v>
      </c>
      <c r="B1">
        <v>1000</v>
      </c>
    </row>
    <row r="2" spans="1:4">
      <c r="A2" s="8" t="s">
        <v>34</v>
      </c>
      <c r="B2">
        <v>5</v>
      </c>
    </row>
    <row r="3" spans="1:4">
      <c r="B3" s="8" t="s">
        <v>17</v>
      </c>
      <c r="C3" s="8" t="s">
        <v>66</v>
      </c>
      <c r="D3" s="8" t="s">
        <v>68</v>
      </c>
    </row>
    <row r="4" spans="1:4">
      <c r="A4" s="8" t="s">
        <v>62</v>
      </c>
      <c r="B4" s="28">
        <v>0.12</v>
      </c>
      <c r="C4">
        <v>1</v>
      </c>
      <c r="D4" s="11">
        <f>FV(B4/C4,$B$2*C4,0,-$B$1)</f>
        <v>1762.3416832000005</v>
      </c>
    </row>
    <row r="5" spans="1:4">
      <c r="A5" s="8" t="s">
        <v>63</v>
      </c>
      <c r="B5" s="9">
        <v>0.11</v>
      </c>
      <c r="C5">
        <v>2</v>
      </c>
      <c r="D5" s="11">
        <f>FV(B5/C5,$B$2*C5,0,-$B$1)</f>
        <v>1708.1444583535929</v>
      </c>
    </row>
    <row r="6" spans="1:4">
      <c r="A6" s="8" t="s">
        <v>64</v>
      </c>
      <c r="B6" s="9">
        <v>0.1</v>
      </c>
      <c r="C6">
        <v>12</v>
      </c>
      <c r="D6" s="11">
        <f>FV(B6/C6,$B$2*C6,0,-$B$1)</f>
        <v>1645.3089347785847</v>
      </c>
    </row>
    <row r="7" spans="1:4">
      <c r="A7" s="8" t="s">
        <v>65</v>
      </c>
      <c r="B7" s="1">
        <v>0.115</v>
      </c>
      <c r="C7" t="s">
        <v>67</v>
      </c>
      <c r="D7">
        <f>EXP(B2*B7)*B1</f>
        <v>1777.1305269140385</v>
      </c>
    </row>
  </sheetData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50C3-ED7C-4B4A-8EF8-8027BEDCE167}">
  <dimension ref="A1:I49"/>
  <sheetViews>
    <sheetView workbookViewId="0">
      <selection activeCell="A19" sqref="A19"/>
    </sheetView>
  </sheetViews>
  <sheetFormatPr baseColWidth="10" defaultRowHeight="13"/>
  <sheetData>
    <row r="1" spans="1:9">
      <c r="A1" s="8" t="s">
        <v>6</v>
      </c>
      <c r="B1" s="9">
        <v>0.05</v>
      </c>
    </row>
    <row r="2" spans="1:9">
      <c r="A2" s="8" t="s">
        <v>34</v>
      </c>
      <c r="B2" s="10">
        <v>5</v>
      </c>
    </row>
    <row r="3" spans="1:9">
      <c r="A3" s="8"/>
      <c r="B3" s="9"/>
    </row>
    <row r="4" spans="1:9">
      <c r="A4" s="8" t="s">
        <v>39</v>
      </c>
      <c r="B4" s="8" t="s">
        <v>69</v>
      </c>
      <c r="C4" s="8" t="s">
        <v>70</v>
      </c>
      <c r="D4" s="8" t="s">
        <v>71</v>
      </c>
      <c r="E4" s="8" t="s">
        <v>72</v>
      </c>
    </row>
    <row r="5" spans="1:9">
      <c r="A5" s="8">
        <v>0</v>
      </c>
      <c r="B5" s="8">
        <v>5000</v>
      </c>
      <c r="C5" s="8">
        <v>0</v>
      </c>
      <c r="D5" s="8">
        <v>0</v>
      </c>
      <c r="E5" s="8">
        <v>0</v>
      </c>
    </row>
    <row r="6" spans="1:9">
      <c r="A6" s="8">
        <v>0.5</v>
      </c>
      <c r="B6" s="8">
        <v>0</v>
      </c>
      <c r="C6" s="8">
        <v>0</v>
      </c>
      <c r="D6" s="8">
        <v>0</v>
      </c>
      <c r="E6" s="8">
        <v>0</v>
      </c>
    </row>
    <row r="7" spans="1:9">
      <c r="A7" s="8">
        <v>1</v>
      </c>
      <c r="B7">
        <v>0</v>
      </c>
      <c r="C7">
        <v>0</v>
      </c>
      <c r="D7">
        <v>0</v>
      </c>
      <c r="E7">
        <v>400</v>
      </c>
    </row>
    <row r="8" spans="1:9">
      <c r="A8" s="8">
        <v>1.5</v>
      </c>
      <c r="B8">
        <v>0</v>
      </c>
      <c r="C8">
        <v>0</v>
      </c>
      <c r="D8">
        <v>0</v>
      </c>
      <c r="E8">
        <v>0</v>
      </c>
    </row>
    <row r="9" spans="1:9">
      <c r="A9" s="8">
        <v>2</v>
      </c>
      <c r="B9">
        <v>0</v>
      </c>
      <c r="C9">
        <v>0</v>
      </c>
      <c r="D9">
        <v>0</v>
      </c>
      <c r="E9">
        <v>400</v>
      </c>
    </row>
    <row r="10" spans="1:9">
      <c r="A10" s="8">
        <v>2.5</v>
      </c>
      <c r="B10">
        <v>0</v>
      </c>
      <c r="C10">
        <v>0</v>
      </c>
      <c r="D10">
        <v>0</v>
      </c>
      <c r="E10">
        <v>0</v>
      </c>
    </row>
    <row r="11" spans="1:9">
      <c r="A11" s="8">
        <v>3</v>
      </c>
      <c r="B11">
        <v>0</v>
      </c>
      <c r="C11">
        <v>0</v>
      </c>
      <c r="D11">
        <v>0</v>
      </c>
      <c r="E11">
        <v>400</v>
      </c>
    </row>
    <row r="12" spans="1:9">
      <c r="A12" s="8">
        <v>3.5</v>
      </c>
      <c r="B12">
        <v>0</v>
      </c>
      <c r="C12">
        <v>0</v>
      </c>
      <c r="D12">
        <v>0</v>
      </c>
      <c r="E12">
        <v>0</v>
      </c>
    </row>
    <row r="13" spans="1:9">
      <c r="A13" s="8">
        <v>4</v>
      </c>
      <c r="B13">
        <v>0</v>
      </c>
      <c r="C13">
        <v>0</v>
      </c>
      <c r="D13">
        <v>9000</v>
      </c>
      <c r="E13">
        <v>400</v>
      </c>
      <c r="H13" s="8"/>
      <c r="I13" s="8"/>
    </row>
    <row r="14" spans="1:9">
      <c r="A14" s="8">
        <v>4.5</v>
      </c>
      <c r="B14">
        <v>0</v>
      </c>
      <c r="C14">
        <v>0</v>
      </c>
      <c r="D14">
        <v>0</v>
      </c>
      <c r="E14">
        <v>0</v>
      </c>
      <c r="I14" s="8"/>
    </row>
    <row r="15" spans="1:9">
      <c r="A15" s="8">
        <v>5</v>
      </c>
      <c r="B15">
        <v>0</v>
      </c>
      <c r="C15">
        <v>10000</v>
      </c>
      <c r="D15">
        <v>0</v>
      </c>
      <c r="E15">
        <v>400</v>
      </c>
      <c r="H15" s="8"/>
      <c r="I15" s="8"/>
    </row>
    <row r="16" spans="1:9">
      <c r="A16" s="8" t="s">
        <v>61</v>
      </c>
      <c r="B16" s="11">
        <f>B5+NPV($B$1,B6:B15)</f>
        <v>5000</v>
      </c>
      <c r="C16" s="11">
        <f t="shared" ref="C16:D16" si="0">C5+NPV($B$1,C6:C15)</f>
        <v>6139.1325354075916</v>
      </c>
      <c r="D16" s="11">
        <f t="shared" si="0"/>
        <v>6091.5542582581829</v>
      </c>
      <c r="E16">
        <f>E7/((1+B1)^2-1)</f>
        <v>3902.4390243902426</v>
      </c>
      <c r="I16" s="8"/>
    </row>
    <row r="17" spans="1:9">
      <c r="H17" s="8"/>
      <c r="I17" s="8"/>
    </row>
    <row r="18" spans="1:9">
      <c r="A18" s="8" t="s">
        <v>73</v>
      </c>
      <c r="I18" s="8"/>
    </row>
    <row r="19" spans="1:9">
      <c r="H19" s="8"/>
      <c r="I19" s="8"/>
    </row>
    <row r="20" spans="1:9">
      <c r="C20" s="11"/>
      <c r="G20" s="8"/>
      <c r="I20" s="8"/>
    </row>
    <row r="21" spans="1:9">
      <c r="H21" s="8"/>
      <c r="I21" s="8"/>
    </row>
    <row r="22" spans="1:9">
      <c r="I22" s="8"/>
    </row>
    <row r="23" spans="1:9">
      <c r="H23" s="8"/>
      <c r="I23" s="8"/>
    </row>
    <row r="24" spans="1:9">
      <c r="I24" s="8"/>
    </row>
    <row r="25" spans="1:9">
      <c r="H25" s="8"/>
      <c r="I25" s="8"/>
    </row>
    <row r="26" spans="1:9">
      <c r="I26" s="8"/>
    </row>
    <row r="27" spans="1:9">
      <c r="H27" s="8"/>
      <c r="I27" s="8"/>
    </row>
    <row r="28" spans="1:9">
      <c r="I28" s="8"/>
    </row>
    <row r="29" spans="1:9">
      <c r="H29" s="8"/>
      <c r="I29" s="8"/>
    </row>
    <row r="30" spans="1:9">
      <c r="I30" s="8"/>
    </row>
    <row r="31" spans="1:9">
      <c r="H31" s="8"/>
      <c r="I31" s="8"/>
    </row>
    <row r="32" spans="1:9">
      <c r="I32" s="8"/>
    </row>
    <row r="33" spans="8:9">
      <c r="H33" s="8"/>
      <c r="I33" s="8"/>
    </row>
    <row r="34" spans="8:9">
      <c r="I34" s="8"/>
    </row>
    <row r="35" spans="8:9">
      <c r="H35" s="8"/>
      <c r="I35" s="8"/>
    </row>
    <row r="36" spans="8:9">
      <c r="I36" s="8"/>
    </row>
    <row r="37" spans="8:9">
      <c r="H37" s="8"/>
      <c r="I37" s="8"/>
    </row>
    <row r="38" spans="8:9">
      <c r="I38" s="8"/>
    </row>
    <row r="39" spans="8:9">
      <c r="H39" s="8"/>
      <c r="I39" s="8"/>
    </row>
    <row r="40" spans="8:9">
      <c r="I40" s="8"/>
    </row>
    <row r="41" spans="8:9">
      <c r="H41" s="8"/>
      <c r="I41" s="8"/>
    </row>
    <row r="42" spans="8:9">
      <c r="I42" s="8"/>
    </row>
    <row r="43" spans="8:9">
      <c r="H43" s="8"/>
      <c r="I43" s="8"/>
    </row>
    <row r="44" spans="8:9">
      <c r="I44" s="8"/>
    </row>
    <row r="45" spans="8:9">
      <c r="H45" s="8"/>
      <c r="I45" s="8"/>
    </row>
    <row r="46" spans="8:9">
      <c r="I46" s="8"/>
    </row>
    <row r="47" spans="8:9">
      <c r="H47" s="8"/>
      <c r="I47" s="8"/>
    </row>
    <row r="48" spans="8:9">
      <c r="I48" s="8"/>
    </row>
    <row r="49" spans="9:9">
      <c r="I49" s="8"/>
    </row>
  </sheetData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730A-FD93-6942-98BD-A39EFB17F6BA}">
  <dimension ref="A1:D8"/>
  <sheetViews>
    <sheetView workbookViewId="0">
      <selection activeCell="D9" sqref="D9"/>
    </sheetView>
  </sheetViews>
  <sheetFormatPr baseColWidth="10" defaultRowHeight="13"/>
  <cols>
    <col min="3" max="3" width="22.1640625" bestFit="1" customWidth="1"/>
    <col min="4" max="4" width="11.5" bestFit="1" customWidth="1"/>
  </cols>
  <sheetData>
    <row r="1" spans="1:4">
      <c r="A1" s="8" t="s">
        <v>74</v>
      </c>
      <c r="B1">
        <v>10000</v>
      </c>
    </row>
    <row r="2" spans="1:4">
      <c r="A2" s="8" t="s">
        <v>34</v>
      </c>
      <c r="B2">
        <v>2</v>
      </c>
    </row>
    <row r="4" spans="1:4">
      <c r="B4" s="8" t="s">
        <v>17</v>
      </c>
      <c r="C4" s="8" t="s">
        <v>66</v>
      </c>
      <c r="D4" s="8" t="s">
        <v>68</v>
      </c>
    </row>
    <row r="5" spans="1:4">
      <c r="A5" s="8" t="s">
        <v>69</v>
      </c>
      <c r="B5" s="9">
        <v>0.12</v>
      </c>
      <c r="C5">
        <v>12</v>
      </c>
      <c r="D5" s="11">
        <f>FV(B5/C5,C5*$B$2,0,-$B$1)</f>
        <v>12697.346485319149</v>
      </c>
    </row>
    <row r="6" spans="1:4">
      <c r="A6" s="8" t="s">
        <v>70</v>
      </c>
      <c r="B6" s="1">
        <v>0.125</v>
      </c>
      <c r="C6">
        <v>1</v>
      </c>
      <c r="D6" s="11">
        <f>FV(B6/C6,C6*$B$2,0,-$B$1)</f>
        <v>12656.25</v>
      </c>
    </row>
    <row r="7" spans="1:4">
      <c r="A7" s="8" t="s">
        <v>71</v>
      </c>
      <c r="B7" s="1">
        <v>0.115</v>
      </c>
      <c r="C7">
        <v>365</v>
      </c>
      <c r="D7" s="11">
        <f>FV(B7/C7,C7*$B$2,0,-$B$1)</f>
        <v>12585.54417632797</v>
      </c>
    </row>
    <row r="8" spans="1:4">
      <c r="A8" s="8" t="s">
        <v>72</v>
      </c>
      <c r="B8" s="8" t="s">
        <v>75</v>
      </c>
      <c r="C8">
        <v>1</v>
      </c>
      <c r="D8">
        <f>B1*1.1*1.15</f>
        <v>12649.999999999998</v>
      </c>
    </row>
  </sheetData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A813D-399A-704C-9A0F-E3FE8E9CB73A}">
  <dimension ref="A1:B17"/>
  <sheetViews>
    <sheetView workbookViewId="0">
      <selection activeCell="A17" sqref="A17"/>
    </sheetView>
  </sheetViews>
  <sheetFormatPr baseColWidth="10" defaultRowHeight="13"/>
  <cols>
    <col min="1" max="1" width="18.1640625" bestFit="1" customWidth="1"/>
    <col min="2" max="2" width="9.1640625" bestFit="1" customWidth="1"/>
  </cols>
  <sheetData>
    <row r="1" spans="1:2">
      <c r="A1" s="8" t="s">
        <v>80</v>
      </c>
      <c r="B1">
        <v>90000</v>
      </c>
    </row>
    <row r="2" spans="1:2">
      <c r="A2" s="8" t="s">
        <v>34</v>
      </c>
      <c r="B2">
        <v>25</v>
      </c>
    </row>
    <row r="3" spans="1:2">
      <c r="A3" s="8" t="s">
        <v>76</v>
      </c>
      <c r="B3" s="1">
        <v>9.2299999999999993E-2</v>
      </c>
    </row>
    <row r="4" spans="1:2">
      <c r="A4" s="8" t="s">
        <v>77</v>
      </c>
      <c r="B4" s="13">
        <f>B3/12</f>
        <v>7.6916666666666661E-3</v>
      </c>
    </row>
    <row r="5" spans="1:2">
      <c r="A5" s="8" t="s">
        <v>78</v>
      </c>
      <c r="B5">
        <v>8000</v>
      </c>
    </row>
    <row r="6" spans="1:2">
      <c r="A6" s="8" t="s">
        <v>81</v>
      </c>
      <c r="B6">
        <v>67000</v>
      </c>
    </row>
    <row r="7" spans="1:2">
      <c r="A7" s="8" t="s">
        <v>79</v>
      </c>
      <c r="B7">
        <v>19000</v>
      </c>
    </row>
    <row r="9" spans="1:2">
      <c r="A9" s="8" t="s">
        <v>7</v>
      </c>
    </row>
    <row r="10" spans="1:2">
      <c r="A10" s="8" t="s">
        <v>8</v>
      </c>
      <c r="B10" s="11">
        <f>PMT(B4,B2*12,B1)</f>
        <v>-769.50197965155439</v>
      </c>
    </row>
    <row r="12" spans="1:2">
      <c r="A12" s="8" t="s">
        <v>10</v>
      </c>
    </row>
    <row r="13" spans="1:2">
      <c r="A13" s="8" t="s">
        <v>82</v>
      </c>
      <c r="B13">
        <f>B1-B5-B7</f>
        <v>63000</v>
      </c>
    </row>
    <row r="15" spans="1:2">
      <c r="A15" s="8" t="s">
        <v>38</v>
      </c>
    </row>
    <row r="16" spans="1:2">
      <c r="A16" s="8" t="s">
        <v>45</v>
      </c>
      <c r="B16" s="17">
        <f>RATE(B2*12,B10,B1-B5)</f>
        <v>8.6826697799130582E-3</v>
      </c>
    </row>
    <row r="17" spans="1:2">
      <c r="A17" s="8" t="s">
        <v>11</v>
      </c>
      <c r="B17" s="12">
        <f>(1+B16)^12-1</f>
        <v>0.10931455459876616</v>
      </c>
    </row>
  </sheetData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D14C-9D6D-6D4F-BAA6-CDA7F7545797}">
  <dimension ref="A1:F112"/>
  <sheetViews>
    <sheetView tabSelected="1" topLeftCell="A61" workbookViewId="0">
      <selection activeCell="L100" sqref="L100"/>
    </sheetView>
  </sheetViews>
  <sheetFormatPr baseColWidth="10" defaultRowHeight="13"/>
  <cols>
    <col min="1" max="1" width="15.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bestFit="1" customWidth="1"/>
  </cols>
  <sheetData>
    <row r="1" spans="1:2">
      <c r="A1" s="8" t="s">
        <v>83</v>
      </c>
      <c r="B1">
        <v>48</v>
      </c>
    </row>
    <row r="2" spans="1:2">
      <c r="A2" t="s">
        <v>84</v>
      </c>
      <c r="B2">
        <v>8995</v>
      </c>
    </row>
    <row r="3" spans="1:2">
      <c r="A3" s="8" t="s">
        <v>85</v>
      </c>
      <c r="B3">
        <v>9.9499999999999993</v>
      </c>
    </row>
    <row r="4" spans="1:2">
      <c r="A4" s="8" t="s">
        <v>87</v>
      </c>
      <c r="B4">
        <f>B3*30</f>
        <v>298.5</v>
      </c>
    </row>
    <row r="5" spans="1:2">
      <c r="A5" s="8" t="s">
        <v>86</v>
      </c>
      <c r="B5">
        <v>18800</v>
      </c>
    </row>
    <row r="6" spans="1:2">
      <c r="A6" s="8"/>
    </row>
    <row r="7" spans="1:2">
      <c r="A7" s="8" t="s">
        <v>7</v>
      </c>
    </row>
    <row r="8" spans="1:2">
      <c r="A8" s="8" t="s">
        <v>54</v>
      </c>
      <c r="B8" s="8" t="s">
        <v>88</v>
      </c>
    </row>
    <row r="9" spans="1:2">
      <c r="A9">
        <v>0</v>
      </c>
      <c r="B9">
        <v>18800</v>
      </c>
    </row>
    <row r="10" spans="1:2">
      <c r="A10">
        <v>1</v>
      </c>
      <c r="B10">
        <f>-$B$4</f>
        <v>-298.5</v>
      </c>
    </row>
    <row r="11" spans="1:2">
      <c r="A11">
        <v>2</v>
      </c>
      <c r="B11">
        <f t="shared" ref="B11:B56" si="0">-$B$4</f>
        <v>-298.5</v>
      </c>
    </row>
    <row r="12" spans="1:2">
      <c r="A12">
        <v>3</v>
      </c>
      <c r="B12">
        <f t="shared" si="0"/>
        <v>-298.5</v>
      </c>
    </row>
    <row r="13" spans="1:2">
      <c r="A13">
        <v>4</v>
      </c>
      <c r="B13">
        <f t="shared" si="0"/>
        <v>-298.5</v>
      </c>
    </row>
    <row r="14" spans="1:2">
      <c r="A14">
        <v>5</v>
      </c>
      <c r="B14">
        <f t="shared" si="0"/>
        <v>-298.5</v>
      </c>
    </row>
    <row r="15" spans="1:2">
      <c r="A15">
        <v>6</v>
      </c>
      <c r="B15">
        <f t="shared" si="0"/>
        <v>-298.5</v>
      </c>
    </row>
    <row r="16" spans="1:2">
      <c r="A16">
        <v>7</v>
      </c>
      <c r="B16">
        <f t="shared" si="0"/>
        <v>-298.5</v>
      </c>
    </row>
    <row r="17" spans="1:2">
      <c r="A17">
        <v>8</v>
      </c>
      <c r="B17">
        <f t="shared" si="0"/>
        <v>-298.5</v>
      </c>
    </row>
    <row r="18" spans="1:2">
      <c r="A18">
        <v>9</v>
      </c>
      <c r="B18">
        <f t="shared" si="0"/>
        <v>-298.5</v>
      </c>
    </row>
    <row r="19" spans="1:2">
      <c r="A19">
        <v>10</v>
      </c>
      <c r="B19">
        <f t="shared" si="0"/>
        <v>-298.5</v>
      </c>
    </row>
    <row r="20" spans="1:2">
      <c r="A20">
        <v>11</v>
      </c>
      <c r="B20">
        <f t="shared" si="0"/>
        <v>-298.5</v>
      </c>
    </row>
    <row r="21" spans="1:2">
      <c r="A21">
        <v>12</v>
      </c>
      <c r="B21">
        <f t="shared" si="0"/>
        <v>-298.5</v>
      </c>
    </row>
    <row r="22" spans="1:2">
      <c r="A22">
        <v>13</v>
      </c>
      <c r="B22">
        <f t="shared" si="0"/>
        <v>-298.5</v>
      </c>
    </row>
    <row r="23" spans="1:2">
      <c r="A23">
        <v>14</v>
      </c>
      <c r="B23">
        <f t="shared" si="0"/>
        <v>-298.5</v>
      </c>
    </row>
    <row r="24" spans="1:2">
      <c r="A24">
        <v>15</v>
      </c>
      <c r="B24">
        <f t="shared" si="0"/>
        <v>-298.5</v>
      </c>
    </row>
    <row r="25" spans="1:2">
      <c r="A25">
        <v>16</v>
      </c>
      <c r="B25">
        <f t="shared" si="0"/>
        <v>-298.5</v>
      </c>
    </row>
    <row r="26" spans="1:2">
      <c r="A26">
        <v>17</v>
      </c>
      <c r="B26">
        <f t="shared" si="0"/>
        <v>-298.5</v>
      </c>
    </row>
    <row r="27" spans="1:2">
      <c r="A27">
        <v>18</v>
      </c>
      <c r="B27">
        <f t="shared" si="0"/>
        <v>-298.5</v>
      </c>
    </row>
    <row r="28" spans="1:2">
      <c r="A28">
        <v>19</v>
      </c>
      <c r="B28">
        <f t="shared" si="0"/>
        <v>-298.5</v>
      </c>
    </row>
    <row r="29" spans="1:2">
      <c r="A29">
        <v>20</v>
      </c>
      <c r="B29">
        <f t="shared" si="0"/>
        <v>-298.5</v>
      </c>
    </row>
    <row r="30" spans="1:2">
      <c r="A30">
        <v>21</v>
      </c>
      <c r="B30">
        <f t="shared" si="0"/>
        <v>-298.5</v>
      </c>
    </row>
    <row r="31" spans="1:2">
      <c r="A31">
        <v>22</v>
      </c>
      <c r="B31">
        <f t="shared" si="0"/>
        <v>-298.5</v>
      </c>
    </row>
    <row r="32" spans="1:2">
      <c r="A32">
        <v>23</v>
      </c>
      <c r="B32">
        <f t="shared" si="0"/>
        <v>-298.5</v>
      </c>
    </row>
    <row r="33" spans="1:2">
      <c r="A33">
        <v>24</v>
      </c>
      <c r="B33">
        <f t="shared" si="0"/>
        <v>-298.5</v>
      </c>
    </row>
    <row r="34" spans="1:2">
      <c r="A34">
        <v>25</v>
      </c>
      <c r="B34">
        <f t="shared" si="0"/>
        <v>-298.5</v>
      </c>
    </row>
    <row r="35" spans="1:2">
      <c r="A35">
        <v>26</v>
      </c>
      <c r="B35">
        <f t="shared" si="0"/>
        <v>-298.5</v>
      </c>
    </row>
    <row r="36" spans="1:2">
      <c r="A36">
        <v>27</v>
      </c>
      <c r="B36">
        <f t="shared" si="0"/>
        <v>-298.5</v>
      </c>
    </row>
    <row r="37" spans="1:2">
      <c r="A37">
        <v>28</v>
      </c>
      <c r="B37">
        <f t="shared" si="0"/>
        <v>-298.5</v>
      </c>
    </row>
    <row r="38" spans="1:2">
      <c r="A38">
        <v>29</v>
      </c>
      <c r="B38">
        <f t="shared" si="0"/>
        <v>-298.5</v>
      </c>
    </row>
    <row r="39" spans="1:2">
      <c r="A39">
        <v>30</v>
      </c>
      <c r="B39">
        <f t="shared" si="0"/>
        <v>-298.5</v>
      </c>
    </row>
    <row r="40" spans="1:2">
      <c r="A40">
        <v>31</v>
      </c>
      <c r="B40">
        <f t="shared" si="0"/>
        <v>-298.5</v>
      </c>
    </row>
    <row r="41" spans="1:2">
      <c r="A41">
        <v>32</v>
      </c>
      <c r="B41">
        <f t="shared" si="0"/>
        <v>-298.5</v>
      </c>
    </row>
    <row r="42" spans="1:2">
      <c r="A42">
        <v>33</v>
      </c>
      <c r="B42">
        <f t="shared" si="0"/>
        <v>-298.5</v>
      </c>
    </row>
    <row r="43" spans="1:2">
      <c r="A43">
        <v>34</v>
      </c>
      <c r="B43">
        <f t="shared" si="0"/>
        <v>-298.5</v>
      </c>
    </row>
    <row r="44" spans="1:2">
      <c r="A44">
        <v>35</v>
      </c>
      <c r="B44">
        <f t="shared" si="0"/>
        <v>-298.5</v>
      </c>
    </row>
    <row r="45" spans="1:2">
      <c r="A45">
        <v>36</v>
      </c>
      <c r="B45">
        <f t="shared" si="0"/>
        <v>-298.5</v>
      </c>
    </row>
    <row r="46" spans="1:2">
      <c r="A46">
        <v>37</v>
      </c>
      <c r="B46">
        <f t="shared" si="0"/>
        <v>-298.5</v>
      </c>
    </row>
    <row r="47" spans="1:2">
      <c r="A47">
        <v>38</v>
      </c>
      <c r="B47">
        <f t="shared" si="0"/>
        <v>-298.5</v>
      </c>
    </row>
    <row r="48" spans="1:2">
      <c r="A48">
        <v>39</v>
      </c>
      <c r="B48">
        <f t="shared" si="0"/>
        <v>-298.5</v>
      </c>
    </row>
    <row r="49" spans="1:6">
      <c r="A49">
        <v>40</v>
      </c>
      <c r="B49">
        <f t="shared" si="0"/>
        <v>-298.5</v>
      </c>
    </row>
    <row r="50" spans="1:6">
      <c r="A50">
        <v>41</v>
      </c>
      <c r="B50">
        <f t="shared" si="0"/>
        <v>-298.5</v>
      </c>
    </row>
    <row r="51" spans="1:6">
      <c r="A51">
        <v>42</v>
      </c>
      <c r="B51">
        <f t="shared" si="0"/>
        <v>-298.5</v>
      </c>
    </row>
    <row r="52" spans="1:6">
      <c r="A52">
        <v>43</v>
      </c>
      <c r="B52">
        <f t="shared" si="0"/>
        <v>-298.5</v>
      </c>
    </row>
    <row r="53" spans="1:6">
      <c r="A53">
        <v>44</v>
      </c>
      <c r="B53">
        <f t="shared" si="0"/>
        <v>-298.5</v>
      </c>
    </row>
    <row r="54" spans="1:6">
      <c r="A54">
        <v>45</v>
      </c>
      <c r="B54">
        <f t="shared" si="0"/>
        <v>-298.5</v>
      </c>
    </row>
    <row r="55" spans="1:6">
      <c r="A55">
        <v>46</v>
      </c>
      <c r="B55">
        <f t="shared" si="0"/>
        <v>-298.5</v>
      </c>
    </row>
    <row r="56" spans="1:6">
      <c r="A56">
        <v>47</v>
      </c>
      <c r="B56">
        <f t="shared" si="0"/>
        <v>-298.5</v>
      </c>
    </row>
    <row r="57" spans="1:6">
      <c r="A57">
        <v>48</v>
      </c>
      <c r="B57">
        <f>-B2</f>
        <v>-8995</v>
      </c>
    </row>
    <row r="58" spans="1:6">
      <c r="A58" s="8" t="s">
        <v>45</v>
      </c>
      <c r="B58" s="17">
        <f>IRR(B9:B57)</f>
        <v>6.2399220652473719E-3</v>
      </c>
    </row>
    <row r="59" spans="1:6">
      <c r="A59" s="8" t="s">
        <v>11</v>
      </c>
      <c r="B59" s="13">
        <f>(1+B58)^12-1</f>
        <v>7.7503091721954576E-2</v>
      </c>
    </row>
    <row r="61" spans="1:6">
      <c r="A61" s="8" t="s">
        <v>10</v>
      </c>
    </row>
    <row r="62" spans="1:6">
      <c r="A62" s="8" t="s">
        <v>11</v>
      </c>
      <c r="B62" s="9">
        <v>7.0000000000000007E-2</v>
      </c>
    </row>
    <row r="63" spans="1:6">
      <c r="A63" s="8" t="s">
        <v>45</v>
      </c>
      <c r="B63" s="15">
        <f>(1+B62)^(1/12)-1</f>
        <v>5.6541453874052738E-3</v>
      </c>
    </row>
    <row r="64" spans="1:6">
      <c r="A64" s="8" t="s">
        <v>39</v>
      </c>
      <c r="B64" s="8" t="s">
        <v>40</v>
      </c>
      <c r="C64" s="8" t="s">
        <v>41</v>
      </c>
      <c r="D64" s="8" t="s">
        <v>42</v>
      </c>
      <c r="E64" s="8" t="s">
        <v>43</v>
      </c>
      <c r="F64" s="8" t="s">
        <v>44</v>
      </c>
    </row>
    <row r="65" spans="1:6">
      <c r="A65">
        <v>1</v>
      </c>
      <c r="B65">
        <f>B5</f>
        <v>18800</v>
      </c>
      <c r="C65">
        <f>B65*$B$63</f>
        <v>106.29793328321915</v>
      </c>
      <c r="D65" s="11">
        <f>E65-C65</f>
        <v>192.20206671678085</v>
      </c>
      <c r="E65" s="11">
        <f>$B$4</f>
        <v>298.5</v>
      </c>
      <c r="F65" s="11">
        <f>B65-D65</f>
        <v>18607.797933283218</v>
      </c>
    </row>
    <row r="66" spans="1:6">
      <c r="A66">
        <v>2</v>
      </c>
      <c r="B66">
        <f>F65</f>
        <v>18607.797933283218</v>
      </c>
      <c r="C66">
        <f t="shared" ref="C66:C112" si="1">B66*$B$63</f>
        <v>105.21119485424269</v>
      </c>
      <c r="D66" s="11">
        <f t="shared" ref="D66:D112" si="2">E66-C66</f>
        <v>193.28880514575729</v>
      </c>
      <c r="E66" s="11">
        <f t="shared" ref="E66:E112" si="3">$B$4</f>
        <v>298.5</v>
      </c>
      <c r="F66" s="11">
        <f t="shared" ref="F66:F85" si="4">B66-D66</f>
        <v>18414.509128137463</v>
      </c>
    </row>
    <row r="67" spans="1:6">
      <c r="A67">
        <v>3</v>
      </c>
      <c r="B67">
        <f t="shared" ref="B67:B112" si="5">F66</f>
        <v>18414.509128137463</v>
      </c>
      <c r="C67">
        <f t="shared" si="1"/>
        <v>104.11831184819074</v>
      </c>
      <c r="D67" s="11">
        <f t="shared" si="2"/>
        <v>194.38168815180927</v>
      </c>
      <c r="E67" s="11">
        <f t="shared" si="3"/>
        <v>298.5</v>
      </c>
      <c r="F67" s="11">
        <f t="shared" si="4"/>
        <v>18220.127439985652</v>
      </c>
    </row>
    <row r="68" spans="1:6">
      <c r="A68">
        <v>4</v>
      </c>
      <c r="B68">
        <f t="shared" si="5"/>
        <v>18220.127439985652</v>
      </c>
      <c r="C68">
        <f t="shared" si="1"/>
        <v>103.01924952273113</v>
      </c>
      <c r="D68" s="11">
        <f t="shared" si="2"/>
        <v>195.48075047726888</v>
      </c>
      <c r="E68" s="11">
        <f t="shared" si="3"/>
        <v>298.5</v>
      </c>
      <c r="F68" s="11">
        <f t="shared" si="4"/>
        <v>18024.646689508383</v>
      </c>
    </row>
    <row r="69" spans="1:6">
      <c r="A69">
        <v>5</v>
      </c>
      <c r="B69">
        <f t="shared" si="5"/>
        <v>18024.646689508383</v>
      </c>
      <c r="C69">
        <f t="shared" si="1"/>
        <v>101.91397293909357</v>
      </c>
      <c r="D69" s="11">
        <f t="shared" si="2"/>
        <v>196.58602706090642</v>
      </c>
      <c r="E69" s="11">
        <f t="shared" si="3"/>
        <v>298.5</v>
      </c>
      <c r="F69" s="11">
        <f t="shared" si="4"/>
        <v>17828.060662447475</v>
      </c>
    </row>
    <row r="70" spans="1:6">
      <c r="A70">
        <v>6</v>
      </c>
      <c r="B70">
        <f t="shared" si="5"/>
        <v>17828.060662447475</v>
      </c>
      <c r="C70">
        <f t="shared" si="1"/>
        <v>100.8024469609588</v>
      </c>
      <c r="D70" s="11">
        <f t="shared" si="2"/>
        <v>197.6975530390412</v>
      </c>
      <c r="E70" s="11">
        <f t="shared" si="3"/>
        <v>298.5</v>
      </c>
      <c r="F70" s="11">
        <f t="shared" si="4"/>
        <v>17630.363109408434</v>
      </c>
    </row>
    <row r="71" spans="1:6">
      <c r="A71">
        <v>7</v>
      </c>
      <c r="B71">
        <f t="shared" si="5"/>
        <v>17630.363109408434</v>
      </c>
      <c r="C71">
        <f t="shared" si="1"/>
        <v>99.684636253341793</v>
      </c>
      <c r="D71" s="11">
        <f t="shared" si="2"/>
        <v>198.81536374665819</v>
      </c>
      <c r="E71" s="11">
        <f t="shared" si="3"/>
        <v>298.5</v>
      </c>
      <c r="F71" s="11">
        <f t="shared" si="4"/>
        <v>17431.547745661777</v>
      </c>
    </row>
    <row r="72" spans="1:6">
      <c r="A72">
        <v>8</v>
      </c>
      <c r="B72">
        <f t="shared" si="5"/>
        <v>17431.547745661777</v>
      </c>
      <c r="C72">
        <f t="shared" si="1"/>
        <v>98.560505281468338</v>
      </c>
      <c r="D72" s="11">
        <f t="shared" si="2"/>
        <v>199.93949471853165</v>
      </c>
      <c r="E72" s="11">
        <f t="shared" si="3"/>
        <v>298.5</v>
      </c>
      <c r="F72" s="11">
        <f t="shared" si="4"/>
        <v>17231.608250943245</v>
      </c>
    </row>
    <row r="73" spans="1:6">
      <c r="A73">
        <v>9</v>
      </c>
      <c r="B73">
        <f t="shared" si="5"/>
        <v>17231.608250943245</v>
      </c>
      <c r="C73">
        <f t="shared" si="1"/>
        <v>97.430018309645405</v>
      </c>
      <c r="D73" s="11">
        <f t="shared" si="2"/>
        <v>201.06998169035461</v>
      </c>
      <c r="E73" s="11">
        <f t="shared" si="3"/>
        <v>298.5</v>
      </c>
      <c r="F73" s="11">
        <f t="shared" si="4"/>
        <v>17030.538269252891</v>
      </c>
    </row>
    <row r="74" spans="1:6">
      <c r="A74">
        <v>10</v>
      </c>
      <c r="B74">
        <f t="shared" si="5"/>
        <v>17030.538269252891</v>
      </c>
      <c r="C74">
        <f t="shared" si="1"/>
        <v>96.293139400125227</v>
      </c>
      <c r="D74" s="11">
        <f t="shared" si="2"/>
        <v>202.20686059987477</v>
      </c>
      <c r="E74" s="11">
        <f t="shared" si="3"/>
        <v>298.5</v>
      </c>
      <c r="F74" s="11">
        <f t="shared" si="4"/>
        <v>16828.331408653015</v>
      </c>
    </row>
    <row r="75" spans="1:6">
      <c r="A75">
        <v>11</v>
      </c>
      <c r="B75">
        <f t="shared" si="5"/>
        <v>16828.331408653015</v>
      </c>
      <c r="C75">
        <f t="shared" si="1"/>
        <v>95.149832411962748</v>
      </c>
      <c r="D75" s="11">
        <f t="shared" si="2"/>
        <v>203.35016758803727</v>
      </c>
      <c r="E75" s="11">
        <f t="shared" si="3"/>
        <v>298.5</v>
      </c>
      <c r="F75" s="11">
        <f t="shared" si="4"/>
        <v>16624.981241064979</v>
      </c>
    </row>
    <row r="76" spans="1:6">
      <c r="A76">
        <v>12</v>
      </c>
      <c r="B76">
        <f t="shared" si="5"/>
        <v>16624.981241064979</v>
      </c>
      <c r="C76">
        <f t="shared" si="1"/>
        <v>94.000060999866761</v>
      </c>
      <c r="D76" s="11">
        <f t="shared" si="2"/>
        <v>204.49993900013322</v>
      </c>
      <c r="E76" s="11">
        <f t="shared" si="3"/>
        <v>298.5</v>
      </c>
      <c r="F76" s="11">
        <f t="shared" si="4"/>
        <v>16420.481302064847</v>
      </c>
    </row>
    <row r="77" spans="1:6">
      <c r="A77">
        <v>13</v>
      </c>
      <c r="B77">
        <f t="shared" si="5"/>
        <v>16420.481302064847</v>
      </c>
      <c r="C77">
        <f t="shared" si="1"/>
        <v>92.843788613044495</v>
      </c>
      <c r="D77" s="11">
        <f t="shared" si="2"/>
        <v>205.6562113869555</v>
      </c>
      <c r="E77" s="11">
        <f t="shared" si="3"/>
        <v>298.5</v>
      </c>
      <c r="F77" s="11">
        <f t="shared" si="4"/>
        <v>16214.825090677892</v>
      </c>
    </row>
    <row r="78" spans="1:6">
      <c r="A78">
        <v>14</v>
      </c>
      <c r="B78">
        <f t="shared" si="5"/>
        <v>16214.825090677892</v>
      </c>
      <c r="C78">
        <f t="shared" si="1"/>
        <v>91.680978494039707</v>
      </c>
      <c r="D78" s="11">
        <f t="shared" si="2"/>
        <v>206.81902150596028</v>
      </c>
      <c r="E78" s="11">
        <f t="shared" si="3"/>
        <v>298.5</v>
      </c>
      <c r="F78" s="11">
        <f t="shared" si="4"/>
        <v>16008.006069171932</v>
      </c>
    </row>
    <row r="79" spans="1:6">
      <c r="A79">
        <v>15</v>
      </c>
      <c r="B79">
        <f t="shared" si="5"/>
        <v>16008.006069171932</v>
      </c>
      <c r="C79">
        <f t="shared" si="1"/>
        <v>90.511593677564107</v>
      </c>
      <c r="D79" s="11">
        <f t="shared" si="2"/>
        <v>207.98840632243588</v>
      </c>
      <c r="E79" s="11">
        <f t="shared" si="3"/>
        <v>298.5</v>
      </c>
      <c r="F79" s="11">
        <f t="shared" si="4"/>
        <v>15800.017662849496</v>
      </c>
    </row>
    <row r="80" spans="1:6">
      <c r="A80">
        <v>16</v>
      </c>
      <c r="B80">
        <f t="shared" si="5"/>
        <v>15800.017662849496</v>
      </c>
      <c r="C80">
        <f t="shared" si="1"/>
        <v>89.335596989322326</v>
      </c>
      <c r="D80" s="11">
        <f t="shared" si="2"/>
        <v>209.16440301067769</v>
      </c>
      <c r="E80" s="11">
        <f t="shared" si="3"/>
        <v>298.5</v>
      </c>
      <c r="F80" s="11">
        <f t="shared" si="4"/>
        <v>15590.853259838817</v>
      </c>
    </row>
    <row r="81" spans="1:6">
      <c r="A81">
        <v>17</v>
      </c>
      <c r="B81">
        <f t="shared" si="5"/>
        <v>15590.853259838817</v>
      </c>
      <c r="C81">
        <f t="shared" si="1"/>
        <v>88.152951044830132</v>
      </c>
      <c r="D81" s="11">
        <f t="shared" si="2"/>
        <v>210.34704895516987</v>
      </c>
      <c r="E81" s="11">
        <f t="shared" si="3"/>
        <v>298.5</v>
      </c>
      <c r="F81" s="11">
        <f t="shared" si="4"/>
        <v>15380.506210883648</v>
      </c>
    </row>
    <row r="82" spans="1:6">
      <c r="A82">
        <v>18</v>
      </c>
      <c r="B82">
        <f t="shared" si="5"/>
        <v>15380.506210883648</v>
      </c>
      <c r="C82">
        <f t="shared" si="1"/>
        <v>86.963618248225941</v>
      </c>
      <c r="D82" s="11">
        <f t="shared" si="2"/>
        <v>211.53638175177406</v>
      </c>
      <c r="E82" s="11">
        <f t="shared" si="3"/>
        <v>298.5</v>
      </c>
      <c r="F82" s="11">
        <f t="shared" si="4"/>
        <v>15168.969829131875</v>
      </c>
    </row>
    <row r="83" spans="1:6">
      <c r="A83">
        <v>19</v>
      </c>
      <c r="B83">
        <f t="shared" si="5"/>
        <v>15168.969829131875</v>
      </c>
      <c r="C83">
        <f t="shared" si="1"/>
        <v>85.767560791075752</v>
      </c>
      <c r="D83" s="11">
        <f t="shared" si="2"/>
        <v>212.73243920892423</v>
      </c>
      <c r="E83" s="11">
        <f t="shared" si="3"/>
        <v>298.5</v>
      </c>
      <c r="F83" s="11">
        <f t="shared" si="4"/>
        <v>14956.23738992295</v>
      </c>
    </row>
    <row r="84" spans="1:6">
      <c r="A84">
        <v>20</v>
      </c>
      <c r="B84">
        <f t="shared" si="5"/>
        <v>14956.23738992295</v>
      </c>
      <c r="C84">
        <f t="shared" si="1"/>
        <v>84.564740651171135</v>
      </c>
      <c r="D84" s="11">
        <f t="shared" si="2"/>
        <v>213.93525934882888</v>
      </c>
      <c r="E84" s="11">
        <f t="shared" si="3"/>
        <v>298.5</v>
      </c>
      <c r="F84" s="11">
        <f t="shared" si="4"/>
        <v>14742.30213057412</v>
      </c>
    </row>
    <row r="85" spans="1:6">
      <c r="A85">
        <v>21</v>
      </c>
      <c r="B85">
        <f t="shared" si="5"/>
        <v>14742.30213057412</v>
      </c>
      <c r="C85">
        <f t="shared" si="1"/>
        <v>83.355119591320602</v>
      </c>
      <c r="D85" s="11">
        <f t="shared" si="2"/>
        <v>215.1448804086794</v>
      </c>
      <c r="E85" s="11">
        <f t="shared" si="3"/>
        <v>298.5</v>
      </c>
      <c r="F85" s="11">
        <f t="shared" si="4"/>
        <v>14527.157250165441</v>
      </c>
    </row>
    <row r="86" spans="1:6">
      <c r="A86">
        <v>22</v>
      </c>
      <c r="B86">
        <f t="shared" si="5"/>
        <v>14527.157250165441</v>
      </c>
      <c r="C86">
        <f t="shared" si="1"/>
        <v>82.138659158134004</v>
      </c>
      <c r="D86" s="11">
        <f t="shared" si="2"/>
        <v>216.361340841866</v>
      </c>
      <c r="E86" s="11">
        <f t="shared" si="3"/>
        <v>298.5</v>
      </c>
      <c r="F86" s="11">
        <f t="shared" ref="F86:F112" si="6">B86-D86</f>
        <v>14310.795909323575</v>
      </c>
    </row>
    <row r="87" spans="1:6">
      <c r="A87">
        <v>23</v>
      </c>
      <c r="B87">
        <f t="shared" si="5"/>
        <v>14310.795909323575</v>
      </c>
      <c r="C87">
        <f t="shared" si="1"/>
        <v>80.91532068080015</v>
      </c>
      <c r="D87" s="11">
        <f t="shared" si="2"/>
        <v>217.58467931919984</v>
      </c>
      <c r="E87" s="11">
        <f t="shared" si="3"/>
        <v>298.5</v>
      </c>
      <c r="F87" s="11">
        <f t="shared" si="6"/>
        <v>14093.211230004375</v>
      </c>
    </row>
    <row r="88" spans="1:6">
      <c r="A88">
        <v>24</v>
      </c>
      <c r="B88">
        <f t="shared" si="5"/>
        <v>14093.211230004375</v>
      </c>
      <c r="C88">
        <f t="shared" si="1"/>
        <v>79.685065269857446</v>
      </c>
      <c r="D88" s="11">
        <f t="shared" si="2"/>
        <v>218.81493473014257</v>
      </c>
      <c r="E88" s="11">
        <f t="shared" si="3"/>
        <v>298.5</v>
      </c>
      <c r="F88" s="11">
        <f t="shared" si="6"/>
        <v>13874.396295274233</v>
      </c>
    </row>
    <row r="89" spans="1:6">
      <c r="A89">
        <v>25</v>
      </c>
      <c r="B89">
        <f t="shared" si="5"/>
        <v>13874.396295274233</v>
      </c>
      <c r="C89">
        <f t="shared" si="1"/>
        <v>78.447853815957629</v>
      </c>
      <c r="D89" s="11">
        <f t="shared" si="2"/>
        <v>220.05214618404239</v>
      </c>
      <c r="E89" s="11">
        <f t="shared" si="3"/>
        <v>298.5</v>
      </c>
      <c r="F89" s="11">
        <f t="shared" si="6"/>
        <v>13654.344149090191</v>
      </c>
    </row>
    <row r="90" spans="1:6">
      <c r="A90">
        <v>26</v>
      </c>
      <c r="B90">
        <f t="shared" si="5"/>
        <v>13654.344149090191</v>
      </c>
      <c r="C90">
        <f t="shared" si="1"/>
        <v>77.203646988622495</v>
      </c>
      <c r="D90" s="11">
        <f t="shared" si="2"/>
        <v>221.29635301137751</v>
      </c>
      <c r="E90" s="11">
        <f t="shared" si="3"/>
        <v>298.5</v>
      </c>
      <c r="F90" s="11">
        <f t="shared" si="6"/>
        <v>13433.047796078814</v>
      </c>
    </row>
    <row r="91" spans="1:6">
      <c r="A91">
        <v>27</v>
      </c>
      <c r="B91">
        <f t="shared" si="5"/>
        <v>13433.047796078814</v>
      </c>
      <c r="C91">
        <f t="shared" si="1"/>
        <v>75.952405234993606</v>
      </c>
      <c r="D91" s="11">
        <f t="shared" si="2"/>
        <v>222.54759476500641</v>
      </c>
      <c r="E91" s="11">
        <f t="shared" si="3"/>
        <v>298.5</v>
      </c>
      <c r="F91" s="11">
        <f t="shared" si="6"/>
        <v>13210.500201313807</v>
      </c>
    </row>
    <row r="92" spans="1:6">
      <c r="A92">
        <v>28</v>
      </c>
      <c r="B92">
        <f t="shared" si="5"/>
        <v>13210.500201313807</v>
      </c>
      <c r="C92">
        <f t="shared" si="1"/>
        <v>74.694088778574908</v>
      </c>
      <c r="D92" s="11">
        <f t="shared" si="2"/>
        <v>223.80591122142511</v>
      </c>
      <c r="E92" s="11">
        <f t="shared" si="3"/>
        <v>298.5</v>
      </c>
      <c r="F92" s="11">
        <f t="shared" si="6"/>
        <v>12986.694290092382</v>
      </c>
    </row>
    <row r="93" spans="1:6">
      <c r="A93">
        <v>29</v>
      </c>
      <c r="B93">
        <f t="shared" si="5"/>
        <v>12986.694290092382</v>
      </c>
      <c r="C93">
        <f t="shared" si="1"/>
        <v>73.428657617968256</v>
      </c>
      <c r="D93" s="11">
        <f t="shared" si="2"/>
        <v>225.07134238203173</v>
      </c>
      <c r="E93" s="11">
        <f t="shared" si="3"/>
        <v>298.5</v>
      </c>
      <c r="F93" s="11">
        <f t="shared" si="6"/>
        <v>12761.62294771035</v>
      </c>
    </row>
    <row r="94" spans="1:6">
      <c r="A94">
        <v>30</v>
      </c>
      <c r="B94">
        <f t="shared" si="5"/>
        <v>12761.62294771035</v>
      </c>
      <c r="C94">
        <f t="shared" si="1"/>
        <v>72.156071525601774</v>
      </c>
      <c r="D94" s="11">
        <f t="shared" si="2"/>
        <v>226.34392847439824</v>
      </c>
      <c r="E94" s="11">
        <f t="shared" si="3"/>
        <v>298.5</v>
      </c>
      <c r="F94" s="11">
        <f t="shared" si="6"/>
        <v>12535.279019235952</v>
      </c>
    </row>
    <row r="95" spans="1:6">
      <c r="A95">
        <v>31</v>
      </c>
      <c r="B95">
        <f t="shared" si="5"/>
        <v>12535.279019235952</v>
      </c>
      <c r="C95">
        <f t="shared" si="1"/>
        <v>70.876290046451061</v>
      </c>
      <c r="D95" s="11">
        <f t="shared" si="2"/>
        <v>227.62370995354894</v>
      </c>
      <c r="E95" s="11">
        <f t="shared" si="3"/>
        <v>298.5</v>
      </c>
      <c r="F95" s="11">
        <f t="shared" si="6"/>
        <v>12307.655309282403</v>
      </c>
    </row>
    <row r="96" spans="1:6">
      <c r="A96">
        <v>32</v>
      </c>
      <c r="B96">
        <f t="shared" si="5"/>
        <v>12307.655309282403</v>
      </c>
      <c r="C96">
        <f t="shared" si="1"/>
        <v>69.589272496753125</v>
      </c>
      <c r="D96" s="11">
        <f t="shared" si="2"/>
        <v>228.91072750324687</v>
      </c>
      <c r="E96" s="11">
        <f t="shared" si="3"/>
        <v>298.5</v>
      </c>
      <c r="F96" s="11">
        <f t="shared" si="6"/>
        <v>12078.744581779156</v>
      </c>
    </row>
    <row r="97" spans="1:6">
      <c r="A97">
        <v>33</v>
      </c>
      <c r="B97">
        <f t="shared" si="5"/>
        <v>12078.744581779156</v>
      </c>
      <c r="C97">
        <f t="shared" si="1"/>
        <v>68.294977962713062</v>
      </c>
      <c r="D97" s="11">
        <f t="shared" si="2"/>
        <v>230.20502203728694</v>
      </c>
      <c r="E97" s="11">
        <f t="shared" si="3"/>
        <v>298.5</v>
      </c>
      <c r="F97" s="11">
        <f t="shared" si="6"/>
        <v>11848.539559741868</v>
      </c>
    </row>
    <row r="98" spans="1:6">
      <c r="A98">
        <v>34</v>
      </c>
      <c r="B98">
        <f t="shared" si="5"/>
        <v>11848.539559741868</v>
      </c>
      <c r="C98">
        <f t="shared" si="1"/>
        <v>66.993365299203404</v>
      </c>
      <c r="D98" s="11">
        <f t="shared" si="2"/>
        <v>231.50663470079661</v>
      </c>
      <c r="E98" s="11">
        <f t="shared" si="3"/>
        <v>298.5</v>
      </c>
      <c r="F98" s="11">
        <f t="shared" si="6"/>
        <v>11617.032925041072</v>
      </c>
    </row>
    <row r="99" spans="1:6">
      <c r="A99">
        <v>35</v>
      </c>
      <c r="B99">
        <f t="shared" si="5"/>
        <v>11617.032925041072</v>
      </c>
      <c r="C99">
        <f t="shared" si="1"/>
        <v>65.684393128456179</v>
      </c>
      <c r="D99" s="11">
        <f t="shared" si="2"/>
        <v>232.81560687154382</v>
      </c>
      <c r="E99" s="11">
        <f t="shared" si="3"/>
        <v>298.5</v>
      </c>
      <c r="F99" s="11">
        <f t="shared" si="6"/>
        <v>11384.217318169529</v>
      </c>
    </row>
    <row r="100" spans="1:6">
      <c r="A100">
        <v>36</v>
      </c>
      <c r="B100">
        <f t="shared" si="5"/>
        <v>11384.217318169529</v>
      </c>
      <c r="C100">
        <f t="shared" si="1"/>
        <v>64.368019838747472</v>
      </c>
      <c r="D100" s="11">
        <f t="shared" si="2"/>
        <v>234.13198016125253</v>
      </c>
      <c r="E100" s="11">
        <f t="shared" si="3"/>
        <v>298.5</v>
      </c>
      <c r="F100" s="11">
        <f t="shared" si="6"/>
        <v>11150.085338008277</v>
      </c>
    </row>
    <row r="101" spans="1:6">
      <c r="A101">
        <v>37</v>
      </c>
      <c r="B101">
        <f t="shared" si="5"/>
        <v>11150.085338008277</v>
      </c>
      <c r="C101">
        <f t="shared" si="1"/>
        <v>63.044203583074676</v>
      </c>
      <c r="D101" s="11">
        <f t="shared" si="2"/>
        <v>235.45579641692532</v>
      </c>
      <c r="E101" s="11">
        <f t="shared" si="3"/>
        <v>298.5</v>
      </c>
      <c r="F101" s="11">
        <f t="shared" si="6"/>
        <v>10914.629541591352</v>
      </c>
    </row>
    <row r="102" spans="1:6">
      <c r="A102">
        <v>38</v>
      </c>
      <c r="B102">
        <f t="shared" si="5"/>
        <v>10914.629541591352</v>
      </c>
      <c r="C102">
        <f t="shared" si="1"/>
        <v>61.712902277826082</v>
      </c>
      <c r="D102" s="11">
        <f t="shared" si="2"/>
        <v>236.78709772217391</v>
      </c>
      <c r="E102" s="11">
        <f t="shared" si="3"/>
        <v>298.5</v>
      </c>
      <c r="F102" s="11">
        <f t="shared" si="6"/>
        <v>10677.842443869178</v>
      </c>
    </row>
    <row r="103" spans="1:6">
      <c r="A103">
        <v>39</v>
      </c>
      <c r="B103">
        <f t="shared" si="5"/>
        <v>10677.842443869178</v>
      </c>
      <c r="C103">
        <f t="shared" si="1"/>
        <v>60.374073601443172</v>
      </c>
      <c r="D103" s="11">
        <f t="shared" si="2"/>
        <v>238.12592639855683</v>
      </c>
      <c r="E103" s="11">
        <f t="shared" si="3"/>
        <v>298.5</v>
      </c>
      <c r="F103" s="11">
        <f t="shared" si="6"/>
        <v>10439.716517470621</v>
      </c>
    </row>
    <row r="104" spans="1:6">
      <c r="A104">
        <v>40</v>
      </c>
      <c r="B104">
        <f t="shared" si="5"/>
        <v>10439.716517470621</v>
      </c>
      <c r="C104">
        <f t="shared" si="1"/>
        <v>59.027674993075159</v>
      </c>
      <c r="D104" s="11">
        <f t="shared" si="2"/>
        <v>239.47232500692485</v>
      </c>
      <c r="E104" s="11">
        <f t="shared" si="3"/>
        <v>298.5</v>
      </c>
      <c r="F104" s="11">
        <f t="shared" si="6"/>
        <v>10200.244192463695</v>
      </c>
    </row>
    <row r="105" spans="1:6">
      <c r="A105">
        <v>41</v>
      </c>
      <c r="B105">
        <f t="shared" si="5"/>
        <v>10200.244192463695</v>
      </c>
      <c r="C105">
        <f t="shared" si="1"/>
        <v>57.673663651226036</v>
      </c>
      <c r="D105" s="11">
        <f t="shared" si="2"/>
        <v>240.82633634877396</v>
      </c>
      <c r="E105" s="11">
        <f t="shared" si="3"/>
        <v>298.5</v>
      </c>
      <c r="F105" s="11">
        <f t="shared" si="6"/>
        <v>9959.417856114922</v>
      </c>
    </row>
    <row r="106" spans="1:6">
      <c r="A106">
        <v>42</v>
      </c>
      <c r="B106">
        <f t="shared" si="5"/>
        <v>9959.417856114922</v>
      </c>
      <c r="C106">
        <f t="shared" si="1"/>
        <v>56.311996532393906</v>
      </c>
      <c r="D106" s="11">
        <f t="shared" si="2"/>
        <v>242.18800346760611</v>
      </c>
      <c r="E106" s="11">
        <f t="shared" si="3"/>
        <v>298.5</v>
      </c>
      <c r="F106" s="11">
        <f t="shared" si="6"/>
        <v>9717.2298526473151</v>
      </c>
    </row>
    <row r="107" spans="1:6">
      <c r="A107">
        <v>43</v>
      </c>
      <c r="B107">
        <f t="shared" si="5"/>
        <v>9717.2298526473151</v>
      </c>
      <c r="C107">
        <f t="shared" si="1"/>
        <v>54.942630349702647</v>
      </c>
      <c r="D107" s="11">
        <f t="shared" si="2"/>
        <v>243.55736965029735</v>
      </c>
      <c r="E107" s="11">
        <f t="shared" si="3"/>
        <v>298.5</v>
      </c>
      <c r="F107" s="11">
        <f t="shared" si="6"/>
        <v>9473.6724829970171</v>
      </c>
    </row>
    <row r="108" spans="1:6">
      <c r="A108">
        <v>44</v>
      </c>
      <c r="B108">
        <f t="shared" si="5"/>
        <v>9473.6724829970171</v>
      </c>
      <c r="C108">
        <f t="shared" si="1"/>
        <v>53.565521571525849</v>
      </c>
      <c r="D108" s="11">
        <f t="shared" si="2"/>
        <v>244.93447842847416</v>
      </c>
      <c r="E108" s="11">
        <f t="shared" si="3"/>
        <v>298.5</v>
      </c>
      <c r="F108" s="11">
        <f t="shared" si="6"/>
        <v>9228.7380045685422</v>
      </c>
    </row>
    <row r="109" spans="1:6">
      <c r="A109">
        <v>45</v>
      </c>
      <c r="B109">
        <f t="shared" si="5"/>
        <v>9228.7380045685422</v>
      </c>
      <c r="C109">
        <f t="shared" si="1"/>
        <v>52.180626420102975</v>
      </c>
      <c r="D109" s="11">
        <f t="shared" si="2"/>
        <v>246.31937357989702</v>
      </c>
      <c r="E109" s="11">
        <f t="shared" si="3"/>
        <v>298.5</v>
      </c>
      <c r="F109" s="11">
        <f t="shared" si="6"/>
        <v>8982.4186309886445</v>
      </c>
    </row>
    <row r="110" spans="1:6">
      <c r="A110">
        <v>46</v>
      </c>
      <c r="B110">
        <f t="shared" si="5"/>
        <v>8982.4186309886445</v>
      </c>
      <c r="C110">
        <f t="shared" si="1"/>
        <v>50.787900870147638</v>
      </c>
      <c r="D110" s="11">
        <f t="shared" si="2"/>
        <v>247.71209912985236</v>
      </c>
      <c r="E110" s="11">
        <f t="shared" si="3"/>
        <v>298.5</v>
      </c>
      <c r="F110" s="11">
        <f t="shared" si="6"/>
        <v>8734.706531858792</v>
      </c>
    </row>
    <row r="111" spans="1:6">
      <c r="A111">
        <v>47</v>
      </c>
      <c r="B111">
        <f t="shared" si="5"/>
        <v>8734.706531858792</v>
      </c>
      <c r="C111">
        <f t="shared" si="1"/>
        <v>49.387300647448107</v>
      </c>
      <c r="D111" s="11">
        <f t="shared" si="2"/>
        <v>249.11269935255189</v>
      </c>
      <c r="E111" s="11">
        <f t="shared" si="3"/>
        <v>298.5</v>
      </c>
      <c r="F111" s="11">
        <f t="shared" si="6"/>
        <v>8485.5938325062398</v>
      </c>
    </row>
    <row r="112" spans="1:6">
      <c r="A112">
        <v>48</v>
      </c>
      <c r="B112">
        <f t="shared" si="5"/>
        <v>8485.5938325062398</v>
      </c>
      <c r="C112">
        <f t="shared" si="1"/>
        <v>47.978781227459798</v>
      </c>
      <c r="D112" s="11">
        <f t="shared" si="2"/>
        <v>8485.5938325062398</v>
      </c>
      <c r="E112" s="11">
        <f>C112+B112</f>
        <v>8533.5726137336987</v>
      </c>
      <c r="F112" s="11">
        <f t="shared" si="6"/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template</vt:lpstr>
      <vt:lpstr>Exercise 9 template</vt:lpstr>
      <vt:lpstr>Exercise 10 template</vt:lpstr>
      <vt:lpstr>Exercise 11 template</vt:lpstr>
      <vt:lpstr>Exercise 12 template</vt:lpstr>
      <vt:lpstr>Exercise 13 template</vt:lpstr>
      <vt:lpstr>Exercise 14 template</vt:lpstr>
      <vt:lpstr>Exercise 15 template</vt:lpstr>
      <vt:lpstr>Exercise 16 template</vt:lpstr>
      <vt:lpstr>Exercise 17 template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2001-01-19T18:54:53Z</dcterms:created>
  <dcterms:modified xsi:type="dcterms:W3CDTF">2023-10-21T14:51:02Z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Ch05_IM_exercises.xlsm</vt:lpwstr>
  </property>
</Properties>
</file>