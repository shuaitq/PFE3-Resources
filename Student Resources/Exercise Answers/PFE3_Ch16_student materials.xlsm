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10F4682C-AB45-2048-85AB-C724AD4CAF83}" xr6:coauthVersionLast="47" xr6:coauthVersionMax="47" xr10:uidLastSave="{00000000-0000-0000-0000-000000000000}"/>
  <bookViews>
    <workbookView xWindow="4340" yWindow="500" windowWidth="24460" windowHeight="16060" firstSheet="4" activeTab="8" xr2:uid="{00000000-000D-0000-FFFF-FFFF00000000}"/>
  </bookViews>
  <sheets>
    <sheet name="EoC Exercise 1 Template" sheetId="22" r:id="rId1"/>
    <sheet name="EoC Exercise 2 Template" sheetId="23" r:id="rId2"/>
    <sheet name="EoC Exercise 3 Template" sheetId="24" r:id="rId3"/>
    <sheet name="EoC Exercise 4 Template" sheetId="25" r:id="rId4"/>
    <sheet name="EoC Exercise 5 Template" sheetId="26" r:id="rId5"/>
    <sheet name="EoC Exercise 6 Template" sheetId="27" r:id="rId6"/>
    <sheet name="EoC Exercise 7 Template" sheetId="28" r:id="rId7"/>
    <sheet name="EoC Exercise 8 Template" sheetId="21" r:id="rId8"/>
    <sheet name="EoC Exercise 9 Template" sheetId="29" r:id="rId9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1" l="1"/>
  <c r="B13" i="21"/>
  <c r="B9" i="21"/>
  <c r="B10" i="21"/>
  <c r="C9" i="21"/>
  <c r="C10" i="21"/>
  <c r="D9" i="21"/>
  <c r="D10" i="21"/>
  <c r="C11" i="21"/>
  <c r="B11" i="21"/>
  <c r="E9" i="21"/>
  <c r="E10" i="21"/>
  <c r="D11" i="21"/>
  <c r="F9" i="21"/>
  <c r="F10" i="21"/>
  <c r="E11" i="21"/>
  <c r="B14" i="21"/>
  <c r="B26" i="21"/>
  <c r="B21" i="21"/>
  <c r="B22" i="21"/>
  <c r="B15" i="21"/>
  <c r="B27" i="21"/>
  <c r="B30" i="21"/>
  <c r="B16" i="28"/>
  <c r="B14" i="24"/>
  <c r="B13" i="24"/>
  <c r="B11" i="24"/>
  <c r="B12" i="24"/>
  <c r="B15" i="28"/>
  <c r="B14" i="28"/>
  <c r="B13" i="28"/>
  <c r="B12" i="28"/>
  <c r="B11" i="28"/>
  <c r="B8" i="28"/>
  <c r="I23" i="27"/>
  <c r="B23" i="27"/>
  <c r="C24" i="27"/>
  <c r="E24" i="27"/>
  <c r="D24" i="27"/>
  <c r="F24" i="27"/>
  <c r="G24" i="27"/>
  <c r="H24" i="27"/>
  <c r="I24" i="27"/>
  <c r="B24" i="27"/>
  <c r="C25" i="27"/>
  <c r="E25" i="27"/>
  <c r="D25" i="27"/>
  <c r="F25" i="27"/>
  <c r="G25" i="27"/>
  <c r="H25" i="27"/>
  <c r="I25" i="27"/>
  <c r="B25" i="27"/>
  <c r="C26" i="27"/>
  <c r="E26" i="27"/>
  <c r="D26" i="27"/>
  <c r="F26" i="27"/>
  <c r="G26" i="27"/>
  <c r="H26" i="27"/>
  <c r="I26" i="27"/>
  <c r="B26" i="27"/>
  <c r="C27" i="27"/>
  <c r="E27" i="27"/>
  <c r="D27" i="27"/>
  <c r="F27" i="27"/>
  <c r="G27" i="27"/>
  <c r="H27" i="27"/>
  <c r="I27" i="27"/>
  <c r="B27" i="27"/>
  <c r="C28" i="27"/>
  <c r="E28" i="27"/>
  <c r="D28" i="27"/>
  <c r="F28" i="27"/>
  <c r="G28" i="27"/>
  <c r="H28" i="27"/>
  <c r="I28" i="27"/>
  <c r="B28" i="27"/>
  <c r="C29" i="27"/>
  <c r="E29" i="27"/>
  <c r="D29" i="27"/>
  <c r="F29" i="27"/>
  <c r="G29" i="27"/>
  <c r="H29" i="27"/>
  <c r="I29" i="27"/>
  <c r="B29" i="27"/>
  <c r="C30" i="27"/>
  <c r="E30" i="27"/>
  <c r="D30" i="27"/>
  <c r="F30" i="27"/>
  <c r="G30" i="27"/>
  <c r="H30" i="27"/>
  <c r="I30" i="27"/>
  <c r="B30" i="27"/>
  <c r="C31" i="27"/>
  <c r="E31" i="27"/>
  <c r="D31" i="27"/>
  <c r="F31" i="27"/>
  <c r="G31" i="27"/>
  <c r="H31" i="27"/>
  <c r="I31" i="27"/>
  <c r="B31" i="27"/>
  <c r="C32" i="27"/>
  <c r="E32" i="27"/>
  <c r="D32" i="27"/>
  <c r="F32" i="27"/>
  <c r="G32" i="27"/>
  <c r="H32" i="27"/>
  <c r="I32" i="27"/>
  <c r="B32" i="27"/>
  <c r="B33" i="27"/>
  <c r="A36" i="27"/>
  <c r="B7" i="27"/>
  <c r="B8" i="27"/>
  <c r="B10" i="27"/>
  <c r="B4" i="27"/>
  <c r="B16" i="27"/>
  <c r="B17" i="27"/>
  <c r="C23" i="27"/>
  <c r="D23" i="27"/>
  <c r="E23" i="27"/>
  <c r="F23" i="27"/>
  <c r="G23" i="27"/>
  <c r="H23" i="27"/>
  <c r="B22" i="27"/>
  <c r="B52" i="26"/>
  <c r="B35" i="26"/>
  <c r="B51" i="26"/>
  <c r="B43" i="26"/>
  <c r="B44" i="26"/>
  <c r="B45" i="26"/>
  <c r="B46" i="26"/>
  <c r="B47" i="26"/>
  <c r="B48" i="26"/>
  <c r="B49" i="26"/>
  <c r="B50" i="26"/>
  <c r="B42" i="26"/>
  <c r="B41" i="26"/>
  <c r="B38" i="26"/>
  <c r="B24" i="26"/>
  <c r="B7" i="26"/>
  <c r="B8" i="26"/>
  <c r="B10" i="26"/>
  <c r="B4" i="26"/>
  <c r="B20" i="26"/>
  <c r="B21" i="26"/>
  <c r="B25" i="26"/>
  <c r="B26" i="26"/>
  <c r="B27" i="26"/>
  <c r="B28" i="26"/>
  <c r="B29" i="26"/>
  <c r="B30" i="26"/>
  <c r="B31" i="26"/>
  <c r="B32" i="26"/>
  <c r="B33" i="26"/>
  <c r="B16" i="26"/>
  <c r="B17" i="26"/>
  <c r="B34" i="26"/>
  <c r="B6" i="25"/>
  <c r="B19" i="25"/>
  <c r="B20" i="25"/>
  <c r="B11" i="25"/>
  <c r="B12" i="25"/>
  <c r="B13" i="25"/>
  <c r="B14" i="25"/>
  <c r="B15" i="25"/>
  <c r="B16" i="25"/>
  <c r="B17" i="25"/>
  <c r="B18" i="25"/>
  <c r="B10" i="25"/>
  <c r="B9" i="25"/>
  <c r="B17" i="24"/>
  <c r="B18" i="24"/>
  <c r="B8" i="24"/>
  <c r="B7" i="24"/>
  <c r="B9" i="23"/>
  <c r="B6" i="23"/>
  <c r="B16" i="22"/>
  <c r="D13" i="22"/>
  <c r="D4" i="22"/>
  <c r="D5" i="22"/>
  <c r="D6" i="22"/>
  <c r="D7" i="22"/>
  <c r="D8" i="22"/>
  <c r="D9" i="22"/>
  <c r="D10" i="22"/>
  <c r="D11" i="22"/>
  <c r="D12" i="22"/>
  <c r="D3" i="22"/>
</calcChain>
</file>

<file path=xl/sharedStrings.xml><?xml version="1.0" encoding="utf-8"?>
<sst xmlns="http://schemas.openxmlformats.org/spreadsheetml/2006/main" count="159" uniqueCount="100">
  <si>
    <t>Number of shares</t>
  </si>
  <si>
    <t>Share price</t>
  </si>
  <si>
    <t>NICCAIR CORPORATION, 2011 - 2015</t>
  </si>
  <si>
    <t>Tax rate</t>
  </si>
  <si>
    <t>OIA PORTFOLIO</t>
  </si>
  <si>
    <t>Stock</t>
  </si>
  <si>
    <t>IBM</t>
  </si>
  <si>
    <t>Ahold</t>
  </si>
  <si>
    <t>Kellogg</t>
  </si>
  <si>
    <t>General Motors</t>
  </si>
  <si>
    <t>Microsoft</t>
  </si>
  <si>
    <t>AT&amp;T</t>
  </si>
  <si>
    <t>SBC</t>
  </si>
  <si>
    <t>Merck</t>
  </si>
  <si>
    <t>Nicor</t>
  </si>
  <si>
    <t>Duke Power</t>
  </si>
  <si>
    <t>total value</t>
    <phoneticPr fontId="4" type="noConversion"/>
  </si>
  <si>
    <t>value</t>
    <phoneticPr fontId="4" type="noConversion"/>
  </si>
  <si>
    <t>Section a.</t>
    <phoneticPr fontId="4" type="noConversion"/>
  </si>
  <si>
    <t>number of shares</t>
    <phoneticPr fontId="4" type="noConversion"/>
  </si>
  <si>
    <t>price</t>
    <phoneticPr fontId="4" type="noConversion"/>
  </si>
  <si>
    <t>Section b.</t>
    <phoneticPr fontId="4" type="noConversion"/>
  </si>
  <si>
    <t>maybe this company have ability to make money by change portfolio, so have value more than stock it have</t>
    <phoneticPr fontId="4" type="noConversion"/>
  </si>
  <si>
    <t>next- year cf</t>
    <phoneticPr fontId="4" type="noConversion"/>
  </si>
  <si>
    <t>grow rate</t>
    <phoneticPr fontId="4" type="noConversion"/>
  </si>
  <si>
    <t>WACC</t>
    <phoneticPr fontId="4" type="noConversion"/>
  </si>
  <si>
    <t>enterprise</t>
  </si>
  <si>
    <t>cf past year</t>
    <phoneticPr fontId="4" type="noConversion"/>
  </si>
  <si>
    <t>grow rate in 10 year</t>
    <phoneticPr fontId="4" type="noConversion"/>
  </si>
  <si>
    <t>grow rate after 10 year</t>
    <phoneticPr fontId="4" type="noConversion"/>
  </si>
  <si>
    <t>enterprise</t>
    <phoneticPr fontId="4" type="noConversion"/>
  </si>
  <si>
    <t>years</t>
    <phoneticPr fontId="4" type="noConversion"/>
  </si>
  <si>
    <t>part 1</t>
    <phoneticPr fontId="4" type="noConversion"/>
  </si>
  <si>
    <t>factor in 10 year</t>
    <phoneticPr fontId="4" type="noConversion"/>
  </si>
  <si>
    <t>factor after 10 year</t>
    <phoneticPr fontId="4" type="noConversion"/>
  </si>
  <si>
    <t>part 2</t>
    <phoneticPr fontId="4" type="noConversion"/>
  </si>
  <si>
    <t>building price</t>
    <phoneticPr fontId="4" type="noConversion"/>
  </si>
  <si>
    <t>fcf</t>
    <phoneticPr fontId="4" type="noConversion"/>
  </si>
  <si>
    <t>sell end of 10 year</t>
    <phoneticPr fontId="4" type="noConversion"/>
  </si>
  <si>
    <t>capital gains tax</t>
    <phoneticPr fontId="4" type="noConversion"/>
  </si>
  <si>
    <t>year</t>
    <phoneticPr fontId="4" type="noConversion"/>
  </si>
  <si>
    <t>sell after tax</t>
    <phoneticPr fontId="4" type="noConversion"/>
  </si>
  <si>
    <t>NPV</t>
    <phoneticPr fontId="4" type="noConversion"/>
  </si>
  <si>
    <t>units</t>
    <phoneticPr fontId="4" type="noConversion"/>
  </si>
  <si>
    <t>depreciated years</t>
    <phoneticPr fontId="4" type="noConversion"/>
  </si>
  <si>
    <t>depreciated per year</t>
    <phoneticPr fontId="4" type="noConversion"/>
  </si>
  <si>
    <t>each unit pre-tax income per year</t>
    <phoneticPr fontId="4" type="noConversion"/>
  </si>
  <si>
    <t>vacancy rate</t>
    <phoneticPr fontId="4" type="noConversion"/>
  </si>
  <si>
    <t>units have income</t>
    <phoneticPr fontId="4" type="noConversion"/>
  </si>
  <si>
    <t>total income</t>
    <phoneticPr fontId="4" type="noConversion"/>
  </si>
  <si>
    <t>operating expenses per unit per year</t>
    <phoneticPr fontId="4" type="noConversion"/>
  </si>
  <si>
    <t>total operating expenses</t>
    <phoneticPr fontId="4" type="noConversion"/>
  </si>
  <si>
    <t>capital gains tax rate</t>
    <phoneticPr fontId="4" type="noConversion"/>
  </si>
  <si>
    <t>discount rate</t>
    <phoneticPr fontId="4" type="noConversion"/>
  </si>
  <si>
    <t>estate price increase rate</t>
    <phoneticPr fontId="4" type="noConversion"/>
  </si>
  <si>
    <t>sell after years</t>
    <phoneticPr fontId="4" type="noConversion"/>
  </si>
  <si>
    <t>pre-tax income</t>
    <phoneticPr fontId="4" type="noConversion"/>
  </si>
  <si>
    <t>income tax rate</t>
    <phoneticPr fontId="4" type="noConversion"/>
  </si>
  <si>
    <t>after tax income</t>
    <phoneticPr fontId="4" type="noConversion"/>
  </si>
  <si>
    <t>sell price</t>
    <phoneticPr fontId="4" type="noConversion"/>
  </si>
  <si>
    <t>cf</t>
    <phoneticPr fontId="4" type="noConversion"/>
  </si>
  <si>
    <t>after tax income in mid year</t>
    <phoneticPr fontId="4" type="noConversion"/>
  </si>
  <si>
    <t>rental per unit</t>
    <phoneticPr fontId="4" type="noConversion"/>
  </si>
  <si>
    <t>expenses</t>
    <phoneticPr fontId="4" type="noConversion"/>
  </si>
  <si>
    <t>expenses per unit</t>
    <phoneticPr fontId="4" type="noConversion"/>
  </si>
  <si>
    <t>increase rate</t>
    <phoneticPr fontId="4" type="noConversion"/>
  </si>
  <si>
    <t>rental</t>
    <phoneticPr fontId="4" type="noConversion"/>
  </si>
  <si>
    <t>fcf this year</t>
    <phoneticPr fontId="4" type="noConversion"/>
  </si>
  <si>
    <t>increase in 5 years</t>
    <phoneticPr fontId="4" type="noConversion"/>
  </si>
  <si>
    <t>increase after 5 years</t>
    <phoneticPr fontId="4" type="noConversion"/>
  </si>
  <si>
    <t>beta</t>
    <phoneticPr fontId="4" type="noConversion"/>
  </si>
  <si>
    <t>rf</t>
    <phoneticPr fontId="4" type="noConversion"/>
  </si>
  <si>
    <t>Erm - rf</t>
    <phoneticPr fontId="4" type="noConversion"/>
  </si>
  <si>
    <t>re</t>
    <phoneticPr fontId="4" type="noConversion"/>
  </si>
  <si>
    <t>factor in 5 years</t>
    <phoneticPr fontId="4" type="noConversion"/>
  </si>
  <si>
    <t>factor after 5 years</t>
    <phoneticPr fontId="4" type="noConversion"/>
  </si>
  <si>
    <t>2003 year- end debt</t>
    <phoneticPr fontId="4" type="noConversion"/>
  </si>
  <si>
    <t>2003 year- end cash</t>
    <phoneticPr fontId="4" type="noConversion"/>
  </si>
  <si>
    <t>rd</t>
    <phoneticPr fontId="4" type="noConversion"/>
  </si>
  <si>
    <t>number of share</t>
    <phoneticPr fontId="4" type="noConversion"/>
  </si>
  <si>
    <t>Erm</t>
    <phoneticPr fontId="4" type="noConversion"/>
  </si>
  <si>
    <t>E</t>
    <phoneticPr fontId="4" type="noConversion"/>
  </si>
  <si>
    <t>E+D</t>
    <phoneticPr fontId="4" type="noConversion"/>
  </si>
  <si>
    <t>tax rate</t>
    <phoneticPr fontId="4" type="noConversion"/>
  </si>
  <si>
    <t>Changes in net working capital</t>
    <phoneticPr fontId="4" type="noConversion"/>
  </si>
  <si>
    <t>Capital expenditures</t>
    <phoneticPr fontId="4" type="noConversion"/>
  </si>
  <si>
    <t>Net interest paid before taxes</t>
    <phoneticPr fontId="4" type="noConversion"/>
  </si>
  <si>
    <t>Net income</t>
    <phoneticPr fontId="4" type="noConversion"/>
  </si>
  <si>
    <t>Depreciation</t>
    <phoneticPr fontId="4" type="noConversion"/>
  </si>
  <si>
    <t>income after tax</t>
    <phoneticPr fontId="4" type="noConversion"/>
  </si>
  <si>
    <t>income before tax</t>
    <phoneticPr fontId="4" type="noConversion"/>
  </si>
  <si>
    <t>average increase rate</t>
    <phoneticPr fontId="4" type="noConversion"/>
  </si>
  <si>
    <t>price per share</t>
    <phoneticPr fontId="4" type="noConversion"/>
  </si>
  <si>
    <t>average income</t>
    <phoneticPr fontId="4" type="noConversion"/>
  </si>
  <si>
    <t>IT company as replace</t>
    <phoneticPr fontId="4" type="noConversion"/>
  </si>
  <si>
    <t>GOOG</t>
    <phoneticPr fontId="4" type="noConversion"/>
  </si>
  <si>
    <t>PE</t>
    <phoneticPr fontId="4" type="noConversion"/>
  </si>
  <si>
    <t>Sales/ Market Cap</t>
    <phoneticPr fontId="4" type="noConversion"/>
  </si>
  <si>
    <t>MSFT</t>
    <phoneticPr fontId="4" type="noConversion"/>
  </si>
  <si>
    <t>as PE show, GOOG is underpriced of MSFT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</si>
</sst>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¥&quot;#,##0.00_);[Red]\(&quot;¥&quot;#,##0.00\)"/>
    <numFmt numFmtId="176" formatCode="&quot;$&quot;#,##0_);[Red]\(&quot;$&quot;#,##0\)"/>
    <numFmt numFmtId="177" formatCode="[$-409]d\-mmm\-yy;@"/>
    <numFmt numFmtId="178" formatCode="#,##0.00000"/>
    <numFmt numFmtId="179" formatCode="#,##0.0000000"/>
    <numFmt numFmtId="180" formatCode="0.00000%"/>
    <numFmt numFmtId="181" formatCode="0.0000%"/>
  </numFmts>
  <fonts count="6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sz val="10"/>
      <color rgb="FF1A1819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3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 wrapText="1"/>
    </xf>
    <xf numFmtId="10" fontId="1" fillId="0" borderId="0" xfId="1" applyNumberFormat="1"/>
    <xf numFmtId="177" fontId="3" fillId="0" borderId="0" xfId="0" applyNumberFormat="1" applyFont="1" applyAlignment="1">
      <alignment horizontal="center"/>
    </xf>
    <xf numFmtId="176" fontId="0" fillId="0" borderId="0" xfId="0" applyNumberFormat="1"/>
    <xf numFmtId="37" fontId="0" fillId="0" borderId="0" xfId="0" applyNumberFormat="1"/>
    <xf numFmtId="0" fontId="1" fillId="0" borderId="0" xfId="0" applyFont="1"/>
    <xf numFmtId="9" fontId="0" fillId="0" borderId="0" xfId="0" applyNumberFormat="1"/>
    <xf numFmtId="0" fontId="5" fillId="0" borderId="0" xfId="0" applyFont="1"/>
    <xf numFmtId="178" fontId="0" fillId="0" borderId="0" xfId="0" applyNumberFormat="1"/>
    <xf numFmtId="179" fontId="0" fillId="0" borderId="0" xfId="0" applyNumberFormat="1"/>
    <xf numFmtId="8" fontId="0" fillId="0" borderId="0" xfId="0" applyNumberFormat="1"/>
    <xf numFmtId="10" fontId="0" fillId="0" borderId="0" xfId="0" applyNumberFormat="1"/>
    <xf numFmtId="180" fontId="0" fillId="0" borderId="0" xfId="0" applyNumberFormat="1"/>
    <xf numFmtId="37" fontId="1" fillId="0" borderId="0" xfId="0" applyNumberFormat="1" applyFont="1"/>
    <xf numFmtId="181" fontId="0" fillId="0" borderId="0" xfId="1" applyNumberFormat="1" applyFont="1"/>
    <xf numFmtId="0" fontId="1" fillId="0" borderId="0" xfId="1" applyNumberFormat="1"/>
    <xf numFmtId="0" fontId="2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9"/>
  <sheetViews>
    <sheetView topLeftCell="A3" zoomScaleNormal="100" workbookViewId="0">
      <selection activeCell="A19" sqref="A19"/>
    </sheetView>
  </sheetViews>
  <sheetFormatPr baseColWidth="10" defaultColWidth="8.83203125" defaultRowHeight="13"/>
  <cols>
    <col min="1" max="1" width="15.5" customWidth="1"/>
    <col min="2" max="2" width="12" bestFit="1" customWidth="1"/>
    <col min="4" max="4" width="12" bestFit="1" customWidth="1"/>
  </cols>
  <sheetData>
    <row r="1" spans="1:4" ht="18">
      <c r="A1" s="19" t="s">
        <v>4</v>
      </c>
      <c r="B1" s="19"/>
      <c r="C1" s="19"/>
    </row>
    <row r="2" spans="1:4" ht="28">
      <c r="A2" s="3" t="s">
        <v>5</v>
      </c>
      <c r="B2" s="3" t="s">
        <v>0</v>
      </c>
      <c r="C2" s="3" t="s">
        <v>1</v>
      </c>
      <c r="D2" s="3" t="s">
        <v>17</v>
      </c>
    </row>
    <row r="3" spans="1:4">
      <c r="A3" t="s">
        <v>6</v>
      </c>
      <c r="B3" s="1">
        <v>1500000</v>
      </c>
      <c r="C3">
        <v>92.89</v>
      </c>
      <c r="D3">
        <f>B3*C3</f>
        <v>139335000</v>
      </c>
    </row>
    <row r="4" spans="1:4">
      <c r="A4" t="s">
        <v>7</v>
      </c>
      <c r="B4" s="1">
        <v>5250000</v>
      </c>
      <c r="C4">
        <v>8.23</v>
      </c>
      <c r="D4">
        <f t="shared" ref="D4:D12" si="0">B4*C4</f>
        <v>43207500</v>
      </c>
    </row>
    <row r="5" spans="1:4">
      <c r="A5" t="s">
        <v>8</v>
      </c>
      <c r="B5" s="1">
        <v>385259</v>
      </c>
      <c r="C5">
        <v>45.29</v>
      </c>
      <c r="D5">
        <f t="shared" si="0"/>
        <v>17448380.109999999</v>
      </c>
    </row>
    <row r="6" spans="1:4">
      <c r="A6" t="s">
        <v>9</v>
      </c>
      <c r="B6" s="1">
        <v>12000000</v>
      </c>
      <c r="C6">
        <v>36.64</v>
      </c>
      <c r="D6">
        <f t="shared" si="0"/>
        <v>439680000</v>
      </c>
    </row>
    <row r="7" spans="1:4">
      <c r="A7" t="s">
        <v>10</v>
      </c>
      <c r="B7" s="1">
        <v>1000000</v>
      </c>
      <c r="C7">
        <v>26.18</v>
      </c>
      <c r="D7">
        <f t="shared" si="0"/>
        <v>26180000</v>
      </c>
    </row>
    <row r="8" spans="1:4">
      <c r="A8" t="s">
        <v>11</v>
      </c>
      <c r="B8" s="1">
        <v>98000000</v>
      </c>
      <c r="C8">
        <v>19.89</v>
      </c>
      <c r="D8">
        <f t="shared" si="0"/>
        <v>1949220000</v>
      </c>
    </row>
    <row r="9" spans="1:4">
      <c r="A9" t="s">
        <v>12</v>
      </c>
      <c r="B9" s="1">
        <v>12000000</v>
      </c>
      <c r="C9">
        <v>23.42</v>
      </c>
      <c r="D9">
        <f t="shared" si="0"/>
        <v>281040000</v>
      </c>
    </row>
    <row r="10" spans="1:4">
      <c r="A10" t="s">
        <v>13</v>
      </c>
      <c r="B10" s="1">
        <v>15000000</v>
      </c>
      <c r="C10">
        <v>28.02</v>
      </c>
      <c r="D10">
        <f t="shared" si="0"/>
        <v>420300000</v>
      </c>
    </row>
    <row r="11" spans="1:4">
      <c r="A11" t="s">
        <v>14</v>
      </c>
      <c r="B11" s="1">
        <v>2000000</v>
      </c>
      <c r="C11">
        <v>36.42</v>
      </c>
      <c r="D11">
        <f t="shared" si="0"/>
        <v>72840000</v>
      </c>
    </row>
    <row r="12" spans="1:4">
      <c r="A12" t="s">
        <v>15</v>
      </c>
      <c r="B12" s="1">
        <v>25000000</v>
      </c>
      <c r="C12">
        <v>26.14</v>
      </c>
      <c r="D12">
        <f t="shared" si="0"/>
        <v>653500000</v>
      </c>
    </row>
    <row r="13" spans="1:4">
      <c r="A13" s="2"/>
      <c r="C13" s="8" t="s">
        <v>16</v>
      </c>
      <c r="D13">
        <f>SUM(D3:D12)</f>
        <v>4042750880.1100001</v>
      </c>
    </row>
    <row r="14" spans="1:4">
      <c r="A14" s="8" t="s">
        <v>18</v>
      </c>
    </row>
    <row r="15" spans="1:4">
      <c r="A15" s="8" t="s">
        <v>19</v>
      </c>
      <c r="B15" s="1">
        <v>200000000</v>
      </c>
    </row>
    <row r="16" spans="1:4">
      <c r="A16" s="8" t="s">
        <v>20</v>
      </c>
      <c r="B16">
        <f>D13/B15</f>
        <v>20.213754400550002</v>
      </c>
    </row>
    <row r="18" spans="1:1">
      <c r="A18" s="8" t="s">
        <v>21</v>
      </c>
    </row>
    <row r="19" spans="1:1">
      <c r="A19" s="8" t="s">
        <v>22</v>
      </c>
    </row>
  </sheetData>
  <mergeCells count="1">
    <mergeCell ref="A1:C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9B416-D9DE-144C-8ABA-35714B61A35F}">
  <dimension ref="A1:B9"/>
  <sheetViews>
    <sheetView zoomScaleNormal="100" workbookViewId="0">
      <selection activeCell="A9" sqref="A9"/>
    </sheetView>
  </sheetViews>
  <sheetFormatPr baseColWidth="10" defaultRowHeight="13"/>
  <cols>
    <col min="2" max="2" width="13" bestFit="1" customWidth="1"/>
  </cols>
  <sheetData>
    <row r="1" spans="1:2">
      <c r="A1" s="8" t="s">
        <v>23</v>
      </c>
      <c r="B1" s="1">
        <v>10000000</v>
      </c>
    </row>
    <row r="2" spans="1:2">
      <c r="A2" s="8" t="s">
        <v>24</v>
      </c>
      <c r="B2" s="9">
        <v>0.05</v>
      </c>
    </row>
    <row r="3" spans="1:2">
      <c r="A3" s="8" t="s">
        <v>25</v>
      </c>
      <c r="B3" s="9">
        <v>0.15</v>
      </c>
    </row>
    <row r="5" spans="1:2">
      <c r="A5" s="8" t="s">
        <v>18</v>
      </c>
    </row>
    <row r="6" spans="1:2">
      <c r="A6" s="10" t="s">
        <v>26</v>
      </c>
      <c r="B6">
        <f>B1/(B3-B2)</f>
        <v>100000000.00000001</v>
      </c>
    </row>
    <row r="8" spans="1:2">
      <c r="A8" s="8" t="s">
        <v>21</v>
      </c>
    </row>
    <row r="9" spans="1:2">
      <c r="A9" s="10" t="s">
        <v>30</v>
      </c>
      <c r="B9">
        <f>B6*((1+B3)^(1/2))</f>
        <v>107238052.9476361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E678-989A-4242-9153-EC7EB87538B6}">
  <dimension ref="A1:B18"/>
  <sheetViews>
    <sheetView zoomScaleNormal="100" zoomScaleSheetLayoutView="100" workbookViewId="0">
      <selection activeCell="K34" sqref="K34"/>
    </sheetView>
  </sheetViews>
  <sheetFormatPr baseColWidth="10" defaultRowHeight="13"/>
  <cols>
    <col min="1" max="1" width="17.83203125" bestFit="1" customWidth="1"/>
    <col min="2" max="2" width="12" bestFit="1" customWidth="1"/>
  </cols>
  <sheetData>
    <row r="1" spans="1:2">
      <c r="A1" s="8" t="s">
        <v>27</v>
      </c>
      <c r="B1" s="1">
        <v>23000000</v>
      </c>
    </row>
    <row r="2" spans="1:2">
      <c r="A2" s="8" t="s">
        <v>31</v>
      </c>
      <c r="B2" s="1">
        <v>10</v>
      </c>
    </row>
    <row r="3" spans="1:2">
      <c r="A3" s="8" t="s">
        <v>28</v>
      </c>
      <c r="B3" s="9">
        <v>0.25</v>
      </c>
    </row>
    <row r="4" spans="1:2">
      <c r="A4" s="8" t="s">
        <v>29</v>
      </c>
      <c r="B4" s="9">
        <v>7.0000000000000007E-2</v>
      </c>
    </row>
    <row r="5" spans="1:2">
      <c r="A5" s="8" t="s">
        <v>25</v>
      </c>
      <c r="B5" s="9">
        <v>0.18</v>
      </c>
    </row>
    <row r="6" spans="1:2">
      <c r="A6" s="8" t="s">
        <v>19</v>
      </c>
      <c r="B6" s="1">
        <v>100000000</v>
      </c>
    </row>
    <row r="7" spans="1:2">
      <c r="A7" s="8" t="s">
        <v>33</v>
      </c>
      <c r="B7" s="12">
        <f>(1+B3)/(1+B5)</f>
        <v>1.0593220338983051</v>
      </c>
    </row>
    <row r="8" spans="1:2">
      <c r="A8" s="8" t="s">
        <v>34</v>
      </c>
      <c r="B8" s="12">
        <f>(1+B4)/(1+B5)</f>
        <v>0.90677966101694929</v>
      </c>
    </row>
    <row r="10" spans="1:2">
      <c r="A10" s="8" t="s">
        <v>18</v>
      </c>
    </row>
    <row r="11" spans="1:2">
      <c r="A11" s="8" t="s">
        <v>32</v>
      </c>
      <c r="B11">
        <f>B1*B7*(1-B7^B2)/(1-B7)</f>
        <v>320121603.3215726</v>
      </c>
    </row>
    <row r="12" spans="1:2">
      <c r="A12" s="8" t="s">
        <v>35</v>
      </c>
      <c r="B12">
        <f>B1*(B7^B2)*(1+B4)/(B5-B4)</f>
        <v>398106240.64571506</v>
      </c>
    </row>
    <row r="13" spans="1:2">
      <c r="A13" s="8" t="s">
        <v>30</v>
      </c>
      <c r="B13">
        <f>SUM(B11:B12)</f>
        <v>718227843.96728766</v>
      </c>
    </row>
    <row r="14" spans="1:2">
      <c r="A14" s="8" t="s">
        <v>20</v>
      </c>
      <c r="B14">
        <f>B13/B6</f>
        <v>7.1822784396728769</v>
      </c>
    </row>
    <row r="16" spans="1:2">
      <c r="A16" s="8" t="s">
        <v>21</v>
      </c>
    </row>
    <row r="17" spans="1:2">
      <c r="A17" s="8" t="s">
        <v>30</v>
      </c>
      <c r="B17">
        <f>B13*((1+B5)^0.5)</f>
        <v>780195141.16846442</v>
      </c>
    </row>
    <row r="18" spans="1:2">
      <c r="A18" s="8" t="s">
        <v>20</v>
      </c>
      <c r="B18">
        <f>B17/B6</f>
        <v>7.8019514116846445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6EABD-D957-1342-83A7-C9F56612F3F7}">
  <dimension ref="A1:B20"/>
  <sheetViews>
    <sheetView zoomScaleNormal="100" workbookViewId="0">
      <selection activeCell="N25" sqref="N25"/>
    </sheetView>
  </sheetViews>
  <sheetFormatPr baseColWidth="10" defaultRowHeight="13"/>
  <cols>
    <col min="1" max="1" width="16.83203125" bestFit="1" customWidth="1"/>
    <col min="2" max="2" width="14" bestFit="1" customWidth="1"/>
  </cols>
  <sheetData>
    <row r="1" spans="1:2">
      <c r="A1" s="8" t="s">
        <v>36</v>
      </c>
      <c r="B1" s="1">
        <v>10000000</v>
      </c>
    </row>
    <row r="2" spans="1:2">
      <c r="A2" s="8" t="s">
        <v>37</v>
      </c>
      <c r="B2" s="1">
        <v>1000000</v>
      </c>
    </row>
    <row r="3" spans="1:2">
      <c r="A3" s="8" t="s">
        <v>38</v>
      </c>
      <c r="B3" s="1">
        <v>5000000</v>
      </c>
    </row>
    <row r="4" spans="1:2">
      <c r="A4" s="8" t="s">
        <v>25</v>
      </c>
      <c r="B4" s="9">
        <v>0.17</v>
      </c>
    </row>
    <row r="5" spans="1:2">
      <c r="A5" s="8" t="s">
        <v>39</v>
      </c>
      <c r="B5" s="9">
        <v>0.2</v>
      </c>
    </row>
    <row r="6" spans="1:2">
      <c r="A6" s="8" t="s">
        <v>41</v>
      </c>
      <c r="B6">
        <f>B3*(1-B5)</f>
        <v>4000000</v>
      </c>
    </row>
    <row r="8" spans="1:2">
      <c r="A8" s="8" t="s">
        <v>40</v>
      </c>
      <c r="B8" s="8" t="s">
        <v>37</v>
      </c>
    </row>
    <row r="9" spans="1:2">
      <c r="A9">
        <v>0</v>
      </c>
      <c r="B9" s="1">
        <f>-B1</f>
        <v>-10000000</v>
      </c>
    </row>
    <row r="10" spans="1:2">
      <c r="A10">
        <v>1</v>
      </c>
      <c r="B10" s="1">
        <f>$B$2</f>
        <v>1000000</v>
      </c>
    </row>
    <row r="11" spans="1:2">
      <c r="A11">
        <v>2</v>
      </c>
      <c r="B11" s="1">
        <f t="shared" ref="B11:B18" si="0">$B$2</f>
        <v>1000000</v>
      </c>
    </row>
    <row r="12" spans="1:2">
      <c r="A12">
        <v>3</v>
      </c>
      <c r="B12" s="1">
        <f t="shared" si="0"/>
        <v>1000000</v>
      </c>
    </row>
    <row r="13" spans="1:2">
      <c r="A13">
        <v>4</v>
      </c>
      <c r="B13" s="1">
        <f t="shared" si="0"/>
        <v>1000000</v>
      </c>
    </row>
    <row r="14" spans="1:2">
      <c r="A14">
        <v>5</v>
      </c>
      <c r="B14" s="1">
        <f t="shared" si="0"/>
        <v>1000000</v>
      </c>
    </row>
    <row r="15" spans="1:2">
      <c r="A15">
        <v>6</v>
      </c>
      <c r="B15" s="1">
        <f t="shared" si="0"/>
        <v>1000000</v>
      </c>
    </row>
    <row r="16" spans="1:2">
      <c r="A16">
        <v>7</v>
      </c>
      <c r="B16" s="1">
        <f t="shared" si="0"/>
        <v>1000000</v>
      </c>
    </row>
    <row r="17" spans="1:2">
      <c r="A17">
        <v>8</v>
      </c>
      <c r="B17" s="1">
        <f t="shared" si="0"/>
        <v>1000000</v>
      </c>
    </row>
    <row r="18" spans="1:2">
      <c r="A18">
        <v>9</v>
      </c>
      <c r="B18" s="1">
        <f t="shared" si="0"/>
        <v>1000000</v>
      </c>
    </row>
    <row r="19" spans="1:2">
      <c r="A19">
        <v>10</v>
      </c>
      <c r="B19" s="1">
        <f>B6+B2</f>
        <v>5000000</v>
      </c>
    </row>
    <row r="20" spans="1:2">
      <c r="A20" s="8" t="s">
        <v>42</v>
      </c>
      <c r="B20" s="13">
        <f>NPV(B4,B10:B19)+B9</f>
        <v>-4509246.8391252765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FE25D-DABB-F745-9E2F-229D882BA482}">
  <dimension ref="A1:B52"/>
  <sheetViews>
    <sheetView zoomScaleNormal="100" workbookViewId="0">
      <selection sqref="A1:B52"/>
    </sheetView>
  </sheetViews>
  <sheetFormatPr baseColWidth="10" defaultRowHeight="13"/>
  <cols>
    <col min="1" max="1" width="29.6640625" bestFit="1" customWidth="1"/>
    <col min="2" max="2" width="14.33203125" bestFit="1" customWidth="1"/>
  </cols>
  <sheetData>
    <row r="1" spans="1:2">
      <c r="A1" s="8" t="s">
        <v>43</v>
      </c>
      <c r="B1">
        <v>500</v>
      </c>
    </row>
    <row r="2" spans="1:2">
      <c r="A2" s="8" t="s">
        <v>20</v>
      </c>
      <c r="B2" s="1">
        <v>25000000</v>
      </c>
    </row>
    <row r="3" spans="1:2">
      <c r="A3" s="8" t="s">
        <v>44</v>
      </c>
      <c r="B3">
        <v>40</v>
      </c>
    </row>
    <row r="4" spans="1:2">
      <c r="A4" s="8" t="s">
        <v>45</v>
      </c>
      <c r="B4">
        <f>B2/B3</f>
        <v>625000</v>
      </c>
    </row>
    <row r="5" spans="1:2">
      <c r="A5" s="8" t="s">
        <v>46</v>
      </c>
      <c r="B5" s="1">
        <v>15000</v>
      </c>
    </row>
    <row r="6" spans="1:2">
      <c r="A6" s="8" t="s">
        <v>47</v>
      </c>
      <c r="B6" s="9">
        <v>0.08</v>
      </c>
    </row>
    <row r="7" spans="1:2">
      <c r="A7" s="8" t="s">
        <v>48</v>
      </c>
      <c r="B7">
        <f>B1*(1-B6)</f>
        <v>460</v>
      </c>
    </row>
    <row r="8" spans="1:2">
      <c r="A8" s="8" t="s">
        <v>49</v>
      </c>
      <c r="B8">
        <f>B7*B5</f>
        <v>6900000</v>
      </c>
    </row>
    <row r="9" spans="1:2">
      <c r="A9" s="8" t="s">
        <v>50</v>
      </c>
      <c r="B9" s="1">
        <v>2000</v>
      </c>
    </row>
    <row r="10" spans="1:2">
      <c r="A10" s="8" t="s">
        <v>51</v>
      </c>
      <c r="B10">
        <f>B9*B1</f>
        <v>1000000</v>
      </c>
    </row>
    <row r="11" spans="1:2">
      <c r="A11" s="8" t="s">
        <v>57</v>
      </c>
      <c r="B11" s="9">
        <v>0.4</v>
      </c>
    </row>
    <row r="12" spans="1:2">
      <c r="A12" s="8" t="s">
        <v>52</v>
      </c>
      <c r="B12" s="9">
        <v>0.2</v>
      </c>
    </row>
    <row r="13" spans="1:2">
      <c r="A13" s="8" t="s">
        <v>53</v>
      </c>
      <c r="B13" s="9">
        <v>0.18</v>
      </c>
    </row>
    <row r="14" spans="1:2">
      <c r="A14" s="8" t="s">
        <v>54</v>
      </c>
      <c r="B14" s="9">
        <v>0.06</v>
      </c>
    </row>
    <row r="15" spans="1:2">
      <c r="A15" s="8" t="s">
        <v>55</v>
      </c>
      <c r="B15">
        <v>10</v>
      </c>
    </row>
    <row r="16" spans="1:2">
      <c r="A16" s="8" t="s">
        <v>59</v>
      </c>
      <c r="B16">
        <f>B2*(1+B14)^B15</f>
        <v>44771192.413571365</v>
      </c>
    </row>
    <row r="17" spans="1:2">
      <c r="A17" s="8" t="s">
        <v>41</v>
      </c>
      <c r="B17">
        <f>B16*(1-B12)</f>
        <v>35816953.930857092</v>
      </c>
    </row>
    <row r="19" spans="1:2">
      <c r="A19" s="8" t="s">
        <v>18</v>
      </c>
    </row>
    <row r="20" spans="1:2">
      <c r="A20" s="8" t="s">
        <v>56</v>
      </c>
      <c r="B20">
        <f>B8-B10-B4</f>
        <v>5275000</v>
      </c>
    </row>
    <row r="21" spans="1:2">
      <c r="A21" s="8" t="s">
        <v>58</v>
      </c>
      <c r="B21">
        <f>B20*(1-B11)+B4</f>
        <v>3790000</v>
      </c>
    </row>
    <row r="23" spans="1:2">
      <c r="A23" s="8" t="s">
        <v>40</v>
      </c>
      <c r="B23" s="8" t="s">
        <v>60</v>
      </c>
    </row>
    <row r="24" spans="1:2">
      <c r="A24">
        <v>0</v>
      </c>
      <c r="B24" s="1">
        <f>-B2</f>
        <v>-25000000</v>
      </c>
    </row>
    <row r="25" spans="1:2">
      <c r="A25">
        <v>1</v>
      </c>
      <c r="B25">
        <f>$B$21</f>
        <v>3790000</v>
      </c>
    </row>
    <row r="26" spans="1:2">
      <c r="A26">
        <v>2</v>
      </c>
      <c r="B26">
        <f t="shared" ref="B26:B33" si="0">$B$21</f>
        <v>3790000</v>
      </c>
    </row>
    <row r="27" spans="1:2">
      <c r="A27">
        <v>3</v>
      </c>
      <c r="B27">
        <f t="shared" si="0"/>
        <v>3790000</v>
      </c>
    </row>
    <row r="28" spans="1:2">
      <c r="A28">
        <v>4</v>
      </c>
      <c r="B28">
        <f t="shared" si="0"/>
        <v>3790000</v>
      </c>
    </row>
    <row r="29" spans="1:2">
      <c r="A29">
        <v>5</v>
      </c>
      <c r="B29">
        <f t="shared" si="0"/>
        <v>3790000</v>
      </c>
    </row>
    <row r="30" spans="1:2">
      <c r="A30">
        <v>6</v>
      </c>
      <c r="B30">
        <f t="shared" si="0"/>
        <v>3790000</v>
      </c>
    </row>
    <row r="31" spans="1:2">
      <c r="A31">
        <v>7</v>
      </c>
      <c r="B31">
        <f t="shared" si="0"/>
        <v>3790000</v>
      </c>
    </row>
    <row r="32" spans="1:2">
      <c r="A32">
        <v>8</v>
      </c>
      <c r="B32">
        <f t="shared" si="0"/>
        <v>3790000</v>
      </c>
    </row>
    <row r="33" spans="1:2">
      <c r="A33">
        <v>9</v>
      </c>
      <c r="B33">
        <f t="shared" si="0"/>
        <v>3790000</v>
      </c>
    </row>
    <row r="34" spans="1:2">
      <c r="A34">
        <v>10</v>
      </c>
      <c r="B34">
        <f>B17+B21</f>
        <v>39606953.930857092</v>
      </c>
    </row>
    <row r="35" spans="1:2">
      <c r="A35" s="8" t="s">
        <v>42</v>
      </c>
      <c r="B35" s="13">
        <f>NPV(B13,B25:B34)+B24</f>
        <v>-1124065.7329680845</v>
      </c>
    </row>
    <row r="37" spans="1:2">
      <c r="A37" s="8" t="s">
        <v>21</v>
      </c>
    </row>
    <row r="38" spans="1:2">
      <c r="A38" s="8" t="s">
        <v>58</v>
      </c>
      <c r="B38">
        <f>B21*(1+B13)^0.5</f>
        <v>4116993.8061648812</v>
      </c>
    </row>
    <row r="40" spans="1:2">
      <c r="A40" s="8" t="s">
        <v>40</v>
      </c>
      <c r="B40" s="8" t="s">
        <v>60</v>
      </c>
    </row>
    <row r="41" spans="1:2">
      <c r="A41">
        <v>0</v>
      </c>
      <c r="B41" s="1">
        <f>-B2</f>
        <v>-25000000</v>
      </c>
    </row>
    <row r="42" spans="1:2">
      <c r="A42">
        <v>1</v>
      </c>
      <c r="B42">
        <f>$B$38</f>
        <v>4116993.8061648812</v>
      </c>
    </row>
    <row r="43" spans="1:2">
      <c r="A43">
        <v>2</v>
      </c>
      <c r="B43">
        <f t="shared" ref="B43:B50" si="1">$B$38</f>
        <v>4116993.8061648812</v>
      </c>
    </row>
    <row r="44" spans="1:2">
      <c r="A44">
        <v>3</v>
      </c>
      <c r="B44">
        <f t="shared" si="1"/>
        <v>4116993.8061648812</v>
      </c>
    </row>
    <row r="45" spans="1:2">
      <c r="A45">
        <v>4</v>
      </c>
      <c r="B45">
        <f t="shared" si="1"/>
        <v>4116993.8061648812</v>
      </c>
    </row>
    <row r="46" spans="1:2">
      <c r="A46">
        <v>5</v>
      </c>
      <c r="B46">
        <f t="shared" si="1"/>
        <v>4116993.8061648812</v>
      </c>
    </row>
    <row r="47" spans="1:2">
      <c r="A47">
        <v>6</v>
      </c>
      <c r="B47">
        <f t="shared" si="1"/>
        <v>4116993.8061648812</v>
      </c>
    </row>
    <row r="48" spans="1:2">
      <c r="A48">
        <v>7</v>
      </c>
      <c r="B48">
        <f t="shared" si="1"/>
        <v>4116993.8061648812</v>
      </c>
    </row>
    <row r="49" spans="1:2">
      <c r="A49">
        <v>8</v>
      </c>
      <c r="B49">
        <f t="shared" si="1"/>
        <v>4116993.8061648812</v>
      </c>
    </row>
    <row r="50" spans="1:2">
      <c r="A50">
        <v>9</v>
      </c>
      <c r="B50">
        <f t="shared" si="1"/>
        <v>4116993.8061648812</v>
      </c>
    </row>
    <row r="51" spans="1:2">
      <c r="A51">
        <v>10</v>
      </c>
      <c r="B51">
        <f>B17+B38</f>
        <v>39933947.737021975</v>
      </c>
    </row>
    <row r="52" spans="1:2">
      <c r="A52" s="8" t="s">
        <v>42</v>
      </c>
      <c r="B52" s="13">
        <f>NPV(B13,B42:B51)+B41</f>
        <v>345472.6498426795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40F64-105B-D34B-B258-67CD279105CA}">
  <dimension ref="A1:I45"/>
  <sheetViews>
    <sheetView zoomScaleNormal="100" workbookViewId="0">
      <selection activeCell="D40" sqref="D40"/>
    </sheetView>
  </sheetViews>
  <sheetFormatPr baseColWidth="10" defaultRowHeight="13"/>
  <cols>
    <col min="1" max="1" width="32.5" bestFit="1" customWidth="1"/>
    <col min="2" max="2" width="14" bestFit="1" customWidth="1"/>
    <col min="3" max="3" width="12.6640625" bestFit="1" customWidth="1"/>
    <col min="4" max="4" width="16.1640625" bestFit="1" customWidth="1"/>
    <col min="7" max="7" width="13.33203125" bestFit="1" customWidth="1"/>
    <col min="8" max="8" width="14.5" bestFit="1" customWidth="1"/>
    <col min="9" max="9" width="24.33203125" bestFit="1" customWidth="1"/>
  </cols>
  <sheetData>
    <row r="1" spans="1:2">
      <c r="A1" s="8" t="s">
        <v>43</v>
      </c>
      <c r="B1">
        <v>500</v>
      </c>
    </row>
    <row r="2" spans="1:2">
      <c r="A2" s="8" t="s">
        <v>20</v>
      </c>
      <c r="B2" s="1">
        <v>25000000</v>
      </c>
    </row>
    <row r="3" spans="1:2">
      <c r="A3" s="8" t="s">
        <v>44</v>
      </c>
      <c r="B3">
        <v>40</v>
      </c>
    </row>
    <row r="4" spans="1:2">
      <c r="A4" s="8" t="s">
        <v>45</v>
      </c>
      <c r="B4">
        <f>B2/B3</f>
        <v>625000</v>
      </c>
    </row>
    <row r="5" spans="1:2">
      <c r="A5" s="8" t="s">
        <v>46</v>
      </c>
      <c r="B5" s="1">
        <v>15000</v>
      </c>
    </row>
    <row r="6" spans="1:2">
      <c r="A6" s="8" t="s">
        <v>47</v>
      </c>
      <c r="B6" s="9">
        <v>0.08</v>
      </c>
    </row>
    <row r="7" spans="1:2">
      <c r="A7" s="8" t="s">
        <v>48</v>
      </c>
      <c r="B7">
        <f>B1*(1-B6)</f>
        <v>460</v>
      </c>
    </row>
    <row r="8" spans="1:2">
      <c r="A8" s="8" t="s">
        <v>49</v>
      </c>
      <c r="B8">
        <f>B7*B5</f>
        <v>6900000</v>
      </c>
    </row>
    <row r="9" spans="1:2">
      <c r="A9" s="8" t="s">
        <v>50</v>
      </c>
      <c r="B9" s="1">
        <v>2000</v>
      </c>
    </row>
    <row r="10" spans="1:2">
      <c r="A10" s="8" t="s">
        <v>51</v>
      </c>
      <c r="B10">
        <f>B9*B1</f>
        <v>1000000</v>
      </c>
    </row>
    <row r="11" spans="1:2">
      <c r="A11" s="8" t="s">
        <v>57</v>
      </c>
      <c r="B11" s="9">
        <v>0.4</v>
      </c>
    </row>
    <row r="12" spans="1:2">
      <c r="A12" s="8" t="s">
        <v>52</v>
      </c>
      <c r="B12" s="9">
        <v>0.2</v>
      </c>
    </row>
    <row r="13" spans="1:2">
      <c r="A13" s="8" t="s">
        <v>53</v>
      </c>
      <c r="B13" s="9">
        <v>0.18</v>
      </c>
    </row>
    <row r="14" spans="1:2">
      <c r="A14" s="8" t="s">
        <v>54</v>
      </c>
      <c r="B14" s="9">
        <v>0.06</v>
      </c>
    </row>
    <row r="15" spans="1:2">
      <c r="A15" s="8" t="s">
        <v>55</v>
      </c>
      <c r="B15">
        <v>10</v>
      </c>
    </row>
    <row r="16" spans="1:2">
      <c r="A16" s="8" t="s">
        <v>59</v>
      </c>
      <c r="B16">
        <f>B2*(1+B14)^B15</f>
        <v>44771192.413571365</v>
      </c>
    </row>
    <row r="17" spans="1:9">
      <c r="A17" s="8" t="s">
        <v>41</v>
      </c>
      <c r="B17">
        <f>B16*(1-B12)</f>
        <v>35816953.930857092</v>
      </c>
    </row>
    <row r="18" spans="1:9">
      <c r="A18" s="8" t="s">
        <v>65</v>
      </c>
      <c r="B18" s="9">
        <v>0.02</v>
      </c>
    </row>
    <row r="20" spans="1:9">
      <c r="A20" s="8" t="s">
        <v>18</v>
      </c>
    </row>
    <row r="21" spans="1:9">
      <c r="A21" s="8" t="s">
        <v>40</v>
      </c>
      <c r="B21" s="8" t="s">
        <v>60</v>
      </c>
      <c r="C21" s="8" t="s">
        <v>62</v>
      </c>
      <c r="D21" s="8" t="s">
        <v>64</v>
      </c>
      <c r="E21" s="8" t="s">
        <v>66</v>
      </c>
      <c r="F21" s="8" t="s">
        <v>63</v>
      </c>
      <c r="G21" s="8" t="s">
        <v>56</v>
      </c>
      <c r="H21" s="8" t="s">
        <v>58</v>
      </c>
      <c r="I21" s="8" t="s">
        <v>61</v>
      </c>
    </row>
    <row r="22" spans="1:9">
      <c r="A22">
        <v>0</v>
      </c>
      <c r="B22" s="1">
        <f>-B2</f>
        <v>-25000000</v>
      </c>
    </row>
    <row r="23" spans="1:9">
      <c r="A23">
        <v>1</v>
      </c>
      <c r="B23">
        <f>I23</f>
        <v>4116993.8061648812</v>
      </c>
      <c r="C23" s="1">
        <f>B5</f>
        <v>15000</v>
      </c>
      <c r="D23" s="1">
        <f>B9</f>
        <v>2000</v>
      </c>
      <c r="E23">
        <f>C23*$B$7</f>
        <v>6900000</v>
      </c>
      <c r="F23">
        <f>D23*$B$1</f>
        <v>1000000</v>
      </c>
      <c r="G23">
        <f t="shared" ref="G23:G32" si="0">E23-F23-B4</f>
        <v>5275000</v>
      </c>
      <c r="H23">
        <f>G23*(1-$B$11)+$B$4</f>
        <v>3790000</v>
      </c>
      <c r="I23">
        <f>H23*(1+$B$13)^0.5</f>
        <v>4116993.8061648812</v>
      </c>
    </row>
    <row r="24" spans="1:9">
      <c r="A24">
        <v>2</v>
      </c>
      <c r="B24">
        <f t="shared" ref="B24:B31" si="1">I24</f>
        <v>4591480.058020507</v>
      </c>
      <c r="C24">
        <f>C23*(1+$B$18)</f>
        <v>15300</v>
      </c>
      <c r="D24">
        <f>D23*(1+$B$18)</f>
        <v>2040</v>
      </c>
      <c r="E24">
        <f t="shared" ref="E24:E32" si="2">C24*$B$7</f>
        <v>7038000</v>
      </c>
      <c r="F24">
        <f t="shared" ref="F24:F32" si="3">D24*$B$1</f>
        <v>1020000</v>
      </c>
      <c r="G24">
        <f t="shared" si="0"/>
        <v>6003000</v>
      </c>
      <c r="H24">
        <f t="shared" ref="H24:H32" si="4">G24*(1-$B$11)+$B$4</f>
        <v>4226800</v>
      </c>
      <c r="I24">
        <f t="shared" ref="I24:I32" si="5">H24*(1+$B$13)^0.5</f>
        <v>4591480.058020507</v>
      </c>
    </row>
    <row r="25" spans="1:9">
      <c r="A25">
        <v>3</v>
      </c>
      <c r="B25">
        <f t="shared" si="1"/>
        <v>4679703.1639164919</v>
      </c>
      <c r="C25">
        <f t="shared" ref="C25:C32" si="6">C24*(1+$B$18)</f>
        <v>15606</v>
      </c>
      <c r="D25">
        <f t="shared" ref="D25:D32" si="7">D24*(1+$B$18)</f>
        <v>2080.8000000000002</v>
      </c>
      <c r="E25">
        <f t="shared" si="2"/>
        <v>7178760</v>
      </c>
      <c r="F25">
        <f t="shared" si="3"/>
        <v>1040400.0000000001</v>
      </c>
      <c r="G25">
        <f t="shared" si="0"/>
        <v>6138359.9199999999</v>
      </c>
      <c r="H25">
        <f t="shared" si="4"/>
        <v>4308015.9519999996</v>
      </c>
      <c r="I25">
        <f t="shared" si="5"/>
        <v>4679703.1639164919</v>
      </c>
    </row>
    <row r="26" spans="1:9">
      <c r="A26">
        <v>4</v>
      </c>
      <c r="B26">
        <f t="shared" si="1"/>
        <v>4759418.9920234382</v>
      </c>
      <c r="C26">
        <f t="shared" si="6"/>
        <v>15918.12</v>
      </c>
      <c r="D26">
        <f t="shared" si="7"/>
        <v>2122.4160000000002</v>
      </c>
      <c r="E26">
        <f t="shared" si="2"/>
        <v>7322335.2000000002</v>
      </c>
      <c r="F26">
        <f t="shared" si="3"/>
        <v>1061208</v>
      </c>
      <c r="G26">
        <f t="shared" si="0"/>
        <v>6260667.2000000002</v>
      </c>
      <c r="H26">
        <f t="shared" si="4"/>
        <v>4381400.32</v>
      </c>
      <c r="I26">
        <f t="shared" si="5"/>
        <v>4759418.9920234382</v>
      </c>
    </row>
    <row r="27" spans="1:9">
      <c r="A27">
        <v>5</v>
      </c>
      <c r="B27">
        <f t="shared" si="1"/>
        <v>344143.58188940561</v>
      </c>
      <c r="C27">
        <f t="shared" si="6"/>
        <v>16236.482400000001</v>
      </c>
      <c r="D27">
        <f t="shared" si="7"/>
        <v>2164.8643200000001</v>
      </c>
      <c r="E27">
        <f t="shared" si="2"/>
        <v>7468781.9040000001</v>
      </c>
      <c r="F27">
        <f t="shared" si="3"/>
        <v>1082432.1600000001</v>
      </c>
      <c r="G27">
        <f t="shared" si="0"/>
        <v>-513650.25600000005</v>
      </c>
      <c r="H27">
        <f t="shared" si="4"/>
        <v>316809.84639999998</v>
      </c>
      <c r="I27">
        <f t="shared" si="5"/>
        <v>344143.58188940561</v>
      </c>
    </row>
    <row r="28" spans="1:9">
      <c r="A28">
        <v>6</v>
      </c>
      <c r="B28">
        <f t="shared" si="1"/>
        <v>4923279.3900782764</v>
      </c>
      <c r="C28">
        <f t="shared" si="6"/>
        <v>16561.212048000001</v>
      </c>
      <c r="D28">
        <f t="shared" si="7"/>
        <v>2208.1616064</v>
      </c>
      <c r="E28">
        <f t="shared" si="2"/>
        <v>7618157.542080001</v>
      </c>
      <c r="F28">
        <f t="shared" si="3"/>
        <v>1104080.8032</v>
      </c>
      <c r="G28">
        <f t="shared" si="0"/>
        <v>6512076.738880001</v>
      </c>
      <c r="H28">
        <f t="shared" si="4"/>
        <v>4532246.0433280002</v>
      </c>
      <c r="I28">
        <f t="shared" si="5"/>
        <v>4923279.3900782764</v>
      </c>
    </row>
    <row r="29" spans="1:9">
      <c r="A29">
        <v>7</v>
      </c>
      <c r="B29">
        <f t="shared" si="1"/>
        <v>4357729.2771259509</v>
      </c>
      <c r="C29">
        <f t="shared" si="6"/>
        <v>16892.436288960002</v>
      </c>
      <c r="D29">
        <f t="shared" si="7"/>
        <v>2252.3248385279999</v>
      </c>
      <c r="E29">
        <f t="shared" si="2"/>
        <v>7770520.6929216003</v>
      </c>
      <c r="F29">
        <f t="shared" si="3"/>
        <v>1126162.4192639999</v>
      </c>
      <c r="G29">
        <f t="shared" si="0"/>
        <v>5644358.2736576004</v>
      </c>
      <c r="H29">
        <f t="shared" si="4"/>
        <v>4011614.96419456</v>
      </c>
      <c r="I29">
        <f t="shared" si="5"/>
        <v>4357729.2771259509</v>
      </c>
    </row>
    <row r="30" spans="1:9">
      <c r="A30">
        <v>8</v>
      </c>
      <c r="B30">
        <f t="shared" si="1"/>
        <v>5096107.2924091918</v>
      </c>
      <c r="C30">
        <f t="shared" si="6"/>
        <v>17230.285014739202</v>
      </c>
      <c r="D30">
        <f t="shared" si="7"/>
        <v>2297.3713352985601</v>
      </c>
      <c r="E30">
        <f t="shared" si="2"/>
        <v>7925931.1067800326</v>
      </c>
      <c r="F30">
        <f t="shared" si="3"/>
        <v>1148685.66764928</v>
      </c>
      <c r="G30">
        <f t="shared" si="0"/>
        <v>6777245.039130752</v>
      </c>
      <c r="H30">
        <f t="shared" si="4"/>
        <v>4691347.0234784512</v>
      </c>
      <c r="I30">
        <f t="shared" si="5"/>
        <v>5096107.2924091918</v>
      </c>
    </row>
    <row r="31" spans="1:9">
      <c r="A31">
        <v>9</v>
      </c>
      <c r="B31">
        <f t="shared" si="1"/>
        <v>5184451.0982108768</v>
      </c>
      <c r="C31">
        <f t="shared" si="6"/>
        <v>17574.890715033987</v>
      </c>
      <c r="D31">
        <f t="shared" si="7"/>
        <v>2343.3187620045314</v>
      </c>
      <c r="E31">
        <f t="shared" si="2"/>
        <v>8084449.7289156346</v>
      </c>
      <c r="F31">
        <f t="shared" si="3"/>
        <v>1171659.3810022657</v>
      </c>
      <c r="G31">
        <f t="shared" si="0"/>
        <v>6912790.1479133684</v>
      </c>
      <c r="H31">
        <f t="shared" si="4"/>
        <v>4772674.0887480211</v>
      </c>
      <c r="I31">
        <f t="shared" si="5"/>
        <v>5184451.0982108768</v>
      </c>
    </row>
    <row r="32" spans="1:9">
      <c r="A32">
        <v>10</v>
      </c>
      <c r="B32">
        <f>B17+I32</f>
        <v>41091515.591060594</v>
      </c>
      <c r="C32">
        <f t="shared" si="6"/>
        <v>17926.388529334668</v>
      </c>
      <c r="D32">
        <f t="shared" si="7"/>
        <v>2390.1851372446222</v>
      </c>
      <c r="E32">
        <f t="shared" si="2"/>
        <v>8246138.7234939476</v>
      </c>
      <c r="F32">
        <f t="shared" si="3"/>
        <v>1195092.5686223111</v>
      </c>
      <c r="G32">
        <f t="shared" si="0"/>
        <v>7051045.9748716373</v>
      </c>
      <c r="H32">
        <f t="shared" si="4"/>
        <v>4855627.5849229824</v>
      </c>
      <c r="I32">
        <f t="shared" si="5"/>
        <v>5274561.6602034988</v>
      </c>
    </row>
    <row r="33" spans="1:7">
      <c r="A33" s="8" t="s">
        <v>42</v>
      </c>
      <c r="B33" s="13">
        <f>NPV(B13,B23:B32)+B22</f>
        <v>807494.60150313005</v>
      </c>
    </row>
    <row r="35" spans="1:7">
      <c r="A35" s="8" t="s">
        <v>21</v>
      </c>
    </row>
    <row r="36" spans="1:7">
      <c r="A36" s="13">
        <f>B33</f>
        <v>807494.60150313005</v>
      </c>
      <c r="B36" s="9">
        <v>0</v>
      </c>
      <c r="C36" s="9">
        <v>0.01</v>
      </c>
      <c r="D36" s="9">
        <v>0.02</v>
      </c>
      <c r="E36" s="9">
        <v>0.03</v>
      </c>
      <c r="F36" s="9">
        <v>0.04</v>
      </c>
      <c r="G36" s="9">
        <v>0.05</v>
      </c>
    </row>
    <row r="37" spans="1:7">
      <c r="A37" s="9">
        <v>0.08</v>
      </c>
      <c r="B37">
        <f t="dataTable" ref="B37:G45" dt2D="1" dtr="1" r1="B18" r2="B13"/>
        <v>16972223.339154579</v>
      </c>
      <c r="C37">
        <v>17951883.125632554</v>
      </c>
      <c r="D37">
        <v>18981186.272479758</v>
      </c>
      <c r="E37">
        <v>20062671.484530054</v>
      </c>
      <c r="F37">
        <v>21198997.049046777</v>
      </c>
      <c r="G37">
        <v>22392945.724822804</v>
      </c>
    </row>
    <row r="38" spans="1:7">
      <c r="A38" s="9">
        <v>0.1</v>
      </c>
      <c r="B38">
        <v>12264966.459084325</v>
      </c>
      <c r="C38">
        <v>13135792.059796959</v>
      </c>
      <c r="D38">
        <v>14049864.44272384</v>
      </c>
      <c r="E38">
        <v>15009368.958398916</v>
      </c>
      <c r="F38">
        <v>16016593.099623375</v>
      </c>
      <c r="G38">
        <v>17073930.655015029</v>
      </c>
    </row>
    <row r="39" spans="1:7">
      <c r="A39" s="9">
        <v>0.12</v>
      </c>
      <c r="B39">
        <v>8301175.6553983688</v>
      </c>
      <c r="C39">
        <v>9078267.8264492974</v>
      </c>
      <c r="D39">
        <v>9893168.4458554387</v>
      </c>
      <c r="E39">
        <v>10747764.998228103</v>
      </c>
      <c r="F39">
        <v>11644032.496513858</v>
      </c>
      <c r="G39">
        <v>12584037.021885701</v>
      </c>
    </row>
    <row r="40" spans="1:7">
      <c r="A40" s="9">
        <v>0.14000000000000001</v>
      </c>
      <c r="B40">
        <v>4946323.596879106</v>
      </c>
      <c r="C40">
        <v>5642366.8429949656</v>
      </c>
      <c r="D40">
        <v>6371577.6803594641</v>
      </c>
      <c r="E40">
        <v>7135591.6048605293</v>
      </c>
      <c r="F40">
        <v>7936119.3522546478</v>
      </c>
      <c r="G40">
        <v>8774949.9243273214</v>
      </c>
    </row>
    <row r="41" spans="1:7">
      <c r="A41" s="9">
        <v>0.16</v>
      </c>
      <c r="B41">
        <v>2092535.2996063791</v>
      </c>
      <c r="C41">
        <v>2718228.167775251</v>
      </c>
      <c r="D41">
        <v>3373114.0493514612</v>
      </c>
      <c r="E41">
        <v>4058614.5265669301</v>
      </c>
      <c r="F41">
        <v>4776216.0536416285</v>
      </c>
      <c r="G41">
        <v>5527472.5514376685</v>
      </c>
    </row>
    <row r="42" spans="1:7">
      <c r="A42" s="9">
        <v>0.18</v>
      </c>
      <c r="B42">
        <v>-347086.20251978189</v>
      </c>
      <c r="C42">
        <v>217315.59565852582</v>
      </c>
      <c r="D42">
        <v>807494.60150313005</v>
      </c>
      <c r="E42">
        <v>1424690.1995162331</v>
      </c>
      <c r="F42">
        <v>2070197.8702360429</v>
      </c>
      <c r="G42">
        <v>2745371.4212840647</v>
      </c>
    </row>
    <row r="43" spans="1:7">
      <c r="A43" s="9">
        <v>0.2</v>
      </c>
      <c r="B43">
        <v>-2442849.5616447665</v>
      </c>
      <c r="C43">
        <v>-1932038.1494170167</v>
      </c>
      <c r="D43">
        <v>-1398395.0084575191</v>
      </c>
      <c r="E43">
        <v>-840836.43929638341</v>
      </c>
      <c r="F43">
        <v>-258230.09826357663</v>
      </c>
      <c r="G43">
        <v>350606.92621573433</v>
      </c>
    </row>
    <row r="44" spans="1:7">
      <c r="A44" s="9">
        <v>0.22</v>
      </c>
      <c r="B44">
        <v>-4251887.2640542313</v>
      </c>
      <c r="C44">
        <v>-3788096.0889187269</v>
      </c>
      <c r="D44">
        <v>-3304021.3806026168</v>
      </c>
      <c r="E44">
        <v>-2798712.8854393251</v>
      </c>
      <c r="F44">
        <v>-2271178.0523244441</v>
      </c>
      <c r="G44">
        <v>-1720380.3695755266</v>
      </c>
    </row>
    <row r="45" spans="1:7">
      <c r="A45" s="9">
        <v>0.24</v>
      </c>
      <c r="B45">
        <v>-5820820.2049726546</v>
      </c>
      <c r="C45">
        <v>-5398423.4890260287</v>
      </c>
      <c r="D45">
        <v>-4957954.7005102038</v>
      </c>
      <c r="E45">
        <v>-4498578.3149685711</v>
      </c>
      <c r="F45">
        <v>-4019421.9319937155</v>
      </c>
      <c r="G45">
        <v>-3519574.8336346038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3CA74-1D75-1149-9F33-DE613C6DDE62}">
  <dimension ref="A1:B16"/>
  <sheetViews>
    <sheetView zoomScaleNormal="100" workbookViewId="0">
      <selection activeCell="B17" sqref="B17"/>
    </sheetView>
  </sheetViews>
  <sheetFormatPr baseColWidth="10" defaultRowHeight="13"/>
  <cols>
    <col min="1" max="1" width="17" bestFit="1" customWidth="1"/>
    <col min="2" max="2" width="13" bestFit="1" customWidth="1"/>
  </cols>
  <sheetData>
    <row r="1" spans="1:2">
      <c r="A1" s="8" t="s">
        <v>67</v>
      </c>
      <c r="B1" s="1">
        <v>13000000</v>
      </c>
    </row>
    <row r="2" spans="1:2">
      <c r="A2" s="10" t="s">
        <v>68</v>
      </c>
      <c r="B2" s="9">
        <v>0.12</v>
      </c>
    </row>
    <row r="3" spans="1:2">
      <c r="A3" s="8" t="s">
        <v>69</v>
      </c>
      <c r="B3" s="9">
        <v>0.04</v>
      </c>
    </row>
    <row r="4" spans="1:2">
      <c r="A4" s="8" t="s">
        <v>31</v>
      </c>
      <c r="B4">
        <v>5</v>
      </c>
    </row>
    <row r="5" spans="1:2">
      <c r="A5" s="8" t="s">
        <v>70</v>
      </c>
      <c r="B5">
        <v>1.5</v>
      </c>
    </row>
    <row r="6" spans="1:2">
      <c r="A6" s="8" t="s">
        <v>71</v>
      </c>
      <c r="B6" s="9">
        <v>0.03</v>
      </c>
    </row>
    <row r="7" spans="1:2">
      <c r="A7" s="8" t="s">
        <v>72</v>
      </c>
      <c r="B7" s="9">
        <v>0.14000000000000001</v>
      </c>
    </row>
    <row r="8" spans="1:2">
      <c r="A8" s="8" t="s">
        <v>73</v>
      </c>
      <c r="B8" s="9">
        <f>B6+B5*B7</f>
        <v>0.24000000000000002</v>
      </c>
    </row>
    <row r="9" spans="1:2">
      <c r="A9" s="8" t="s">
        <v>19</v>
      </c>
      <c r="B9" s="1">
        <v>8000000</v>
      </c>
    </row>
    <row r="11" spans="1:2">
      <c r="A11" s="8" t="s">
        <v>74</v>
      </c>
      <c r="B11">
        <f>(1+B2)/(1+B8)</f>
        <v>0.90322580645161299</v>
      </c>
    </row>
    <row r="12" spans="1:2">
      <c r="A12" s="8" t="s">
        <v>75</v>
      </c>
      <c r="B12">
        <f>(1+B3)/(1+B8)</f>
        <v>0.83870967741935487</v>
      </c>
    </row>
    <row r="13" spans="1:2">
      <c r="A13" s="8" t="s">
        <v>32</v>
      </c>
      <c r="B13">
        <f>B1*B11*(1-B11^B4)/(1-B11)</f>
        <v>48393995.476848073</v>
      </c>
    </row>
    <row r="14" spans="1:2">
      <c r="A14" s="8" t="s">
        <v>35</v>
      </c>
      <c r="B14">
        <f>B1*B11^B4*(1+B3)/(B8-B3)</f>
        <v>40637631.091470383</v>
      </c>
    </row>
    <row r="15" spans="1:2">
      <c r="A15" s="8" t="s">
        <v>30</v>
      </c>
      <c r="B15">
        <f>SUM(B13:B14)</f>
        <v>89031626.568318456</v>
      </c>
    </row>
    <row r="16" spans="1:2">
      <c r="A16" s="8" t="s">
        <v>20</v>
      </c>
      <c r="B16">
        <f>B15/B9</f>
        <v>11.128953321039807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0"/>
  <sheetViews>
    <sheetView topLeftCell="A8" zoomScaleNormal="100" workbookViewId="0">
      <selection activeCell="C28" sqref="C28"/>
    </sheetView>
  </sheetViews>
  <sheetFormatPr baseColWidth="10" defaultColWidth="8.83203125" defaultRowHeight="13"/>
  <cols>
    <col min="1" max="1" width="25.5" bestFit="1" customWidth="1"/>
    <col min="2" max="2" width="18" bestFit="1" customWidth="1"/>
    <col min="3" max="6" width="12.5" bestFit="1" customWidth="1"/>
  </cols>
  <sheetData>
    <row r="1" spans="1:6" ht="18">
      <c r="A1" s="19" t="s">
        <v>2</v>
      </c>
      <c r="B1" s="19"/>
      <c r="C1" s="19"/>
      <c r="D1" s="19"/>
      <c r="E1" s="19"/>
      <c r="F1" s="19"/>
    </row>
    <row r="2" spans="1:6">
      <c r="B2" s="5">
        <v>42369</v>
      </c>
      <c r="C2" s="5">
        <v>42004</v>
      </c>
      <c r="D2" s="5">
        <v>41639</v>
      </c>
      <c r="E2" s="5">
        <v>41274</v>
      </c>
      <c r="F2" s="5">
        <v>40908</v>
      </c>
    </row>
    <row r="3" spans="1:6">
      <c r="A3" s="8" t="s">
        <v>87</v>
      </c>
      <c r="B3" s="6">
        <v>105300000</v>
      </c>
      <c r="C3" s="6">
        <v>128000000</v>
      </c>
      <c r="D3" s="6">
        <v>122100000</v>
      </c>
      <c r="E3" s="6">
        <v>35800000</v>
      </c>
      <c r="F3" s="6">
        <v>116300000</v>
      </c>
    </row>
    <row r="4" spans="1:6">
      <c r="A4" s="8" t="s">
        <v>88</v>
      </c>
      <c r="B4" s="6">
        <v>161700000</v>
      </c>
      <c r="C4" s="6">
        <v>155000000</v>
      </c>
      <c r="D4" s="6">
        <v>148800000</v>
      </c>
      <c r="E4" s="6">
        <v>145100000</v>
      </c>
      <c r="F4" s="6">
        <v>141600000</v>
      </c>
    </row>
    <row r="5" spans="1:6">
      <c r="A5" s="16" t="s">
        <v>84</v>
      </c>
      <c r="B5" s="7">
        <v>-12600000</v>
      </c>
      <c r="C5" s="7">
        <v>268300000</v>
      </c>
      <c r="D5" s="7">
        <v>491300000</v>
      </c>
      <c r="E5" s="7">
        <v>233000000</v>
      </c>
      <c r="F5" s="7">
        <v>213400000</v>
      </c>
    </row>
    <row r="6" spans="1:6">
      <c r="A6" s="16" t="s">
        <v>85</v>
      </c>
      <c r="B6" s="7">
        <v>-181300000</v>
      </c>
      <c r="C6" s="7">
        <v>-192500000</v>
      </c>
      <c r="D6" s="7">
        <v>-185700000</v>
      </c>
      <c r="E6" s="7">
        <v>-158400000</v>
      </c>
      <c r="F6" s="7">
        <v>-154000000</v>
      </c>
    </row>
    <row r="7" spans="1:6">
      <c r="A7" s="16" t="s">
        <v>86</v>
      </c>
      <c r="B7" s="7">
        <v>-41100000</v>
      </c>
      <c r="C7" s="7">
        <v>-34600000</v>
      </c>
      <c r="D7" s="7">
        <v>-46900000</v>
      </c>
      <c r="E7" s="7">
        <v>-50600000</v>
      </c>
      <c r="F7" s="7">
        <v>-45500000</v>
      </c>
    </row>
    <row r="8" spans="1:6">
      <c r="A8" t="s">
        <v>3</v>
      </c>
      <c r="B8" s="4">
        <v>0.37839433293978753</v>
      </c>
      <c r="C8" s="4">
        <v>0.31034482758620685</v>
      </c>
      <c r="D8" s="4">
        <v>0.32615894039735094</v>
      </c>
      <c r="E8" s="4">
        <v>0.16937354988399067</v>
      </c>
      <c r="F8" s="4">
        <v>0.34560757496054706</v>
      </c>
    </row>
    <row r="9" spans="1:6">
      <c r="A9" s="16" t="s">
        <v>90</v>
      </c>
      <c r="B9" s="18">
        <f>B3-B4+B5+B6+B7</f>
        <v>-291400000</v>
      </c>
      <c r="C9" s="18">
        <f>C3-C4+C5+C6+C7</f>
        <v>14200000</v>
      </c>
      <c r="D9" s="18">
        <f>D3-D4+D5+D6+D7</f>
        <v>232000000</v>
      </c>
      <c r="E9" s="18">
        <f>E3-E4+E5+E6+E7</f>
        <v>-85300000</v>
      </c>
      <c r="F9" s="18">
        <f>F3-F4+F5+F6+F7</f>
        <v>-11400000</v>
      </c>
    </row>
    <row r="10" spans="1:6">
      <c r="A10" s="16" t="s">
        <v>89</v>
      </c>
      <c r="B10" s="18">
        <f>B9*B8+B4</f>
        <v>51435891.381345913</v>
      </c>
      <c r="C10" s="18">
        <f t="shared" ref="C10:F10" si="0">C9*C8+C4</f>
        <v>159406896.55172414</v>
      </c>
      <c r="D10" s="18">
        <f t="shared" si="0"/>
        <v>224468874.17218542</v>
      </c>
      <c r="E10" s="18">
        <f t="shared" si="0"/>
        <v>130652436.1948956</v>
      </c>
      <c r="F10" s="18">
        <f t="shared" si="0"/>
        <v>137660073.64544976</v>
      </c>
    </row>
    <row r="11" spans="1:6">
      <c r="A11" s="16" t="s">
        <v>65</v>
      </c>
      <c r="B11" s="18">
        <f>B10/C10-1</f>
        <v>-0.67732957297329943</v>
      </c>
      <c r="C11" s="18">
        <f>C10/D10-1</f>
        <v>-0.28984854965037865</v>
      </c>
      <c r="D11" s="18">
        <f t="shared" ref="D11:E11" si="1">D10/E10-1</f>
        <v>0.71806114535317866</v>
      </c>
      <c r="E11" s="18">
        <f t="shared" si="1"/>
        <v>-5.09053733953585E-2</v>
      </c>
      <c r="F11" s="18"/>
    </row>
    <row r="13" spans="1:6">
      <c r="A13" s="16" t="s">
        <v>93</v>
      </c>
      <c r="B13">
        <f>AVERAGE(B10:F10)</f>
        <v>140724834.38912016</v>
      </c>
    </row>
    <row r="14" spans="1:6">
      <c r="A14" s="16" t="s">
        <v>91</v>
      </c>
      <c r="B14">
        <f>AVERAGE(B11:E11)</f>
        <v>-7.5005587666464479E-2</v>
      </c>
    </row>
    <row r="15" spans="1:6">
      <c r="A15" s="7" t="s">
        <v>83</v>
      </c>
      <c r="B15" s="14">
        <f>AVERAGE(B8:F8)</f>
        <v>0.30597584515357656</v>
      </c>
    </row>
    <row r="16" spans="1:6">
      <c r="A16" s="7" t="s">
        <v>76</v>
      </c>
      <c r="B16" s="1">
        <v>750000000</v>
      </c>
    </row>
    <row r="17" spans="1:2">
      <c r="A17" s="7" t="s">
        <v>77</v>
      </c>
      <c r="B17" s="1">
        <v>50000000</v>
      </c>
    </row>
    <row r="18" spans="1:2">
      <c r="A18" s="7" t="s">
        <v>78</v>
      </c>
      <c r="B18" s="9">
        <v>0.05</v>
      </c>
    </row>
    <row r="19" spans="1:2">
      <c r="A19" s="7" t="s">
        <v>79</v>
      </c>
      <c r="B19" s="1">
        <v>44080000</v>
      </c>
    </row>
    <row r="20" spans="1:2">
      <c r="A20" s="7" t="s">
        <v>20</v>
      </c>
      <c r="B20" s="1">
        <v>37</v>
      </c>
    </row>
    <row r="21" spans="1:2">
      <c r="A21" s="16" t="s">
        <v>81</v>
      </c>
      <c r="B21" s="1">
        <f>B19*B20</f>
        <v>1630960000</v>
      </c>
    </row>
    <row r="22" spans="1:2">
      <c r="A22" s="16" t="s">
        <v>82</v>
      </c>
      <c r="B22" s="1">
        <f>B21+B16</f>
        <v>2380960000</v>
      </c>
    </row>
    <row r="23" spans="1:2">
      <c r="A23" s="7" t="s">
        <v>70</v>
      </c>
      <c r="B23" s="11">
        <v>0.437</v>
      </c>
    </row>
    <row r="24" spans="1:2">
      <c r="A24" s="7" t="s">
        <v>71</v>
      </c>
      <c r="B24" s="9">
        <v>0.03</v>
      </c>
    </row>
    <row r="25" spans="1:2">
      <c r="A25" s="7" t="s">
        <v>80</v>
      </c>
      <c r="B25" s="9">
        <v>0.12</v>
      </c>
    </row>
    <row r="26" spans="1:2">
      <c r="A26" s="7" t="s">
        <v>73</v>
      </c>
      <c r="B26" s="15">
        <f>B24+B23*B25</f>
        <v>8.2439999999999999E-2</v>
      </c>
    </row>
    <row r="27" spans="1:2">
      <c r="A27" s="7" t="s">
        <v>25</v>
      </c>
      <c r="B27" s="17">
        <f>B26*B21/B22+B18*(1-B15)*B16/B22</f>
        <v>6.740232855937979E-2</v>
      </c>
    </row>
    <row r="28" spans="1:2">
      <c r="A28" s="7"/>
    </row>
    <row r="29" spans="1:2">
      <c r="A29" s="7" t="s">
        <v>30</v>
      </c>
      <c r="B29">
        <f>B13*(1+B14)/(B27-B14)</f>
        <v>914062145.81542385</v>
      </c>
    </row>
    <row r="30" spans="1:2">
      <c r="A30" s="7" t="s">
        <v>92</v>
      </c>
      <c r="B30">
        <f>B29/B19</f>
        <v>20.736437064778219</v>
      </c>
    </row>
  </sheetData>
  <mergeCells count="1">
    <mergeCell ref="A1:F1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C5F5B-DE67-5A48-A271-C423A0F0AEC2}">
  <dimension ref="A1:C6"/>
  <sheetViews>
    <sheetView tabSelected="1" zoomScaleNormal="100" workbookViewId="0">
      <selection activeCell="A7" sqref="A7"/>
    </sheetView>
  </sheetViews>
  <sheetFormatPr baseColWidth="10" defaultRowHeight="13"/>
  <cols>
    <col min="1" max="1" width="20.33203125" bestFit="1" customWidth="1"/>
  </cols>
  <sheetData>
    <row r="1" spans="1:3">
      <c r="A1" s="8" t="s">
        <v>94</v>
      </c>
    </row>
    <row r="2" spans="1:3">
      <c r="B2" s="8" t="s">
        <v>95</v>
      </c>
      <c r="C2" s="8" t="s">
        <v>98</v>
      </c>
    </row>
    <row r="3" spans="1:3">
      <c r="A3" s="8" t="s">
        <v>96</v>
      </c>
      <c r="B3">
        <v>25.33</v>
      </c>
      <c r="C3">
        <v>35.799999999999997</v>
      </c>
    </row>
    <row r="4" spans="1:3">
      <c r="A4" s="8" t="s">
        <v>97</v>
      </c>
    </row>
    <row r="6" spans="1:3">
      <c r="A6" s="8" t="s">
        <v>99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EoC Exercise 1 Template</vt:lpstr>
      <vt:lpstr>EoC Exercise 2 Template</vt:lpstr>
      <vt:lpstr>EoC Exercise 3 Template</vt:lpstr>
      <vt:lpstr>EoC Exercise 4 Template</vt:lpstr>
      <vt:lpstr>EoC Exercise 5 Template</vt:lpstr>
      <vt:lpstr>EoC Exercise 6 Template</vt:lpstr>
      <vt:lpstr>EoC Exercise 7 Template</vt:lpstr>
      <vt:lpstr>EoC Exercise 8 Template</vt:lpstr>
      <vt:lpstr>EoC Exercise 9 Template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cp:lastPrinted>2003-10-13T10:39:21Z</cp:lastPrinted>
  <dcterms:created xsi:type="dcterms:W3CDTF">2002-03-30T23:36:58Z</dcterms:created>
  <dcterms:modified xsi:type="dcterms:W3CDTF">2023-12-06T17:05:35Z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PFE3_Ch16_student materials.xlsm</vt:lpwstr>
  </property>
</Properties>
</file>