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028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ianqiang/workspace/PFE3-Resources/Student Resources/Exercise Answers/"/>
    </mc:Choice>
  </mc:AlternateContent>
  <xr:revisionPtr revIDLastSave="0" documentId="13_ncr:1_{FE5FC6A3-BB5F-E847-8AFB-68C53E74A5F8}" xr6:coauthVersionLast="47" xr6:coauthVersionMax="47" xr10:uidLastSave="{00000000-0000-0000-0000-000000000000}"/>
  <bookViews>
    <workbookView xWindow="0" yWindow="500" windowWidth="33600" windowHeight="19120" firstSheet="12" activeTab="18" xr2:uid="{00000000-000D-0000-FFFF-FFFF00000000}"/>
  </bookViews>
  <sheets>
    <sheet name="Exercise 1 template" sheetId="2" r:id="rId1"/>
    <sheet name="Exercise 2 template" sheetId="42" r:id="rId2"/>
    <sheet name="Exercise 3 template" sheetId="43" r:id="rId3"/>
    <sheet name="Exercise 4 template" sheetId="44" r:id="rId4"/>
    <sheet name="Exercise 5 template" sheetId="28" r:id="rId5"/>
    <sheet name="Exercise 6 template" sheetId="45" r:id="rId6"/>
    <sheet name="Exercise 7 template" sheetId="30" r:id="rId7"/>
    <sheet name="Exercise 8 template" sheetId="31" r:id="rId8"/>
    <sheet name="Exercise 9 template" sheetId="46" r:id="rId9"/>
    <sheet name="Exercise 10 template" sheetId="32" r:id="rId10"/>
    <sheet name="Exercise 11 template" sheetId="47" r:id="rId11"/>
    <sheet name="Exercise 12 template" sheetId="48" r:id="rId12"/>
    <sheet name="Exercise 13 template" sheetId="34" r:id="rId13"/>
    <sheet name="Exercise 14 template" sheetId="51" r:id="rId14"/>
    <sheet name="Exercise 15 template" sheetId="41" r:id="rId15"/>
    <sheet name="Exercise 16 template" sheetId="52" r:id="rId16"/>
    <sheet name="Exercise 17 template" sheetId="53" r:id="rId17"/>
    <sheet name="Exercise 18 template" sheetId="36" r:id="rId18"/>
    <sheet name="Exercise Appendix template" sheetId="38" r:id="rId19"/>
  </sheets>
  <functionGroups builtInGroupCount="19"/>
  <definedNames>
    <definedName name="solver_adj" localSheetId="9" hidden="1">'Exercise 10 template'!$B$30</definedName>
    <definedName name="solver_adj" localSheetId="10" hidden="1">'Exercise 11 template'!$B$7</definedName>
    <definedName name="solver_adj" localSheetId="12" hidden="1">'Exercise 13 template'!$B$11</definedName>
    <definedName name="solver_adj" localSheetId="14" hidden="1">'Exercise 15 template'!$B$10</definedName>
    <definedName name="solver_adj" localSheetId="15" hidden="1">'Exercise 16 template'!$B$7</definedName>
    <definedName name="solver_adj" localSheetId="17" hidden="1">'Exercise 18 template'!$B$30</definedName>
    <definedName name="solver_adj" localSheetId="5" hidden="1">'Exercise 6 template'!$B$16</definedName>
    <definedName name="solver_adj" localSheetId="6" hidden="1">'Exercise 7 template'!$G$4</definedName>
    <definedName name="solver_adj" localSheetId="8" hidden="1">'Exercise 9 template'!$B$9</definedName>
    <definedName name="solver_adj" localSheetId="18" hidden="1">'Exercise Appendix template'!$B$40:$B$41</definedName>
    <definedName name="solver_cvg" localSheetId="9" hidden="1">0.0001</definedName>
    <definedName name="solver_cvg" localSheetId="10" hidden="1">0.0001</definedName>
    <definedName name="solver_cvg" localSheetId="12" hidden="1">0.0001</definedName>
    <definedName name="solver_cvg" localSheetId="14" hidden="1">0.0001</definedName>
    <definedName name="solver_cvg" localSheetId="15" hidden="1">0.0001</definedName>
    <definedName name="solver_cvg" localSheetId="17" hidden="1">0.0001</definedName>
    <definedName name="solver_cvg" localSheetId="5" hidden="1">0.0001</definedName>
    <definedName name="solver_cvg" localSheetId="6" hidden="1">0.0001</definedName>
    <definedName name="solver_cvg" localSheetId="8" hidden="1">0.0001</definedName>
    <definedName name="solver_cvg" localSheetId="18" hidden="1">0.0001</definedName>
    <definedName name="solver_drv" localSheetId="9" hidden="1">1</definedName>
    <definedName name="solver_drv" localSheetId="10" hidden="1">1</definedName>
    <definedName name="solver_drv" localSheetId="12" hidden="1">1</definedName>
    <definedName name="solver_drv" localSheetId="14" hidden="1">1</definedName>
    <definedName name="solver_drv" localSheetId="15" hidden="1">1</definedName>
    <definedName name="solver_drv" localSheetId="17" hidden="1">1</definedName>
    <definedName name="solver_drv" localSheetId="5" hidden="1">1</definedName>
    <definedName name="solver_drv" localSheetId="6" hidden="1">1</definedName>
    <definedName name="solver_drv" localSheetId="8" hidden="1">1</definedName>
    <definedName name="solver_drv" localSheetId="18" hidden="1">2</definedName>
    <definedName name="solver_eng" localSheetId="9" hidden="1">1</definedName>
    <definedName name="solver_eng" localSheetId="10" hidden="1">1</definedName>
    <definedName name="solver_eng" localSheetId="12" hidden="1">1</definedName>
    <definedName name="solver_eng" localSheetId="14" hidden="1">1</definedName>
    <definedName name="solver_eng" localSheetId="15" hidden="1">1</definedName>
    <definedName name="solver_eng" localSheetId="17" hidden="1">1</definedName>
    <definedName name="solver_eng" localSheetId="5" hidden="1">1</definedName>
    <definedName name="solver_eng" localSheetId="6" hidden="1">1</definedName>
    <definedName name="solver_eng" localSheetId="8" hidden="1">1</definedName>
    <definedName name="solver_eng" localSheetId="18" hidden="1">1</definedName>
    <definedName name="solver_est" localSheetId="6" hidden="1">1</definedName>
    <definedName name="solver_est" localSheetId="18" hidden="1">1</definedName>
    <definedName name="solver_itr" localSheetId="9" hidden="1">2147483647</definedName>
    <definedName name="solver_itr" localSheetId="10" hidden="1">2147483647</definedName>
    <definedName name="solver_itr" localSheetId="12" hidden="1">2147483647</definedName>
    <definedName name="solver_itr" localSheetId="14" hidden="1">2147483647</definedName>
    <definedName name="solver_itr" localSheetId="15" hidden="1">2147483647</definedName>
    <definedName name="solver_itr" localSheetId="17" hidden="1">2147483647</definedName>
    <definedName name="solver_itr" localSheetId="5" hidden="1">2147483647</definedName>
    <definedName name="solver_itr" localSheetId="6" hidden="1">100</definedName>
    <definedName name="solver_itr" localSheetId="8" hidden="1">2147483647</definedName>
    <definedName name="solver_itr" localSheetId="18" hidden="1">2147483647</definedName>
    <definedName name="solver_lhs1" localSheetId="15" hidden="1">'Exercise 16 template'!$B$11</definedName>
    <definedName name="solver_lhs1" localSheetId="17" hidden="1">'Exercise 18 template'!$B$32</definedName>
    <definedName name="solver_lhs1" localSheetId="5" hidden="1">'Exercise 6 template'!$B$19</definedName>
    <definedName name="solver_lhs1" localSheetId="6" hidden="1">'Exercise 7 template'!$G$13</definedName>
    <definedName name="solver_lhs1" localSheetId="18" hidden="1">'Exercise Appendix template'!$B$47</definedName>
    <definedName name="solver_lhs2" localSheetId="5" hidden="1">'Exercise 6 template'!$B$19</definedName>
    <definedName name="solver_lhs2" localSheetId="18" hidden="1">'Exercise Appendix template'!$G$76</definedName>
    <definedName name="solver_lin" localSheetId="9" hidden="1">2</definedName>
    <definedName name="solver_lin" localSheetId="10" hidden="1">2</definedName>
    <definedName name="solver_lin" localSheetId="12" hidden="1">2</definedName>
    <definedName name="solver_lin" localSheetId="14" hidden="1">2</definedName>
    <definedName name="solver_lin" localSheetId="15" hidden="1">2</definedName>
    <definedName name="solver_lin" localSheetId="17" hidden="1">2</definedName>
    <definedName name="solver_lin" localSheetId="5" hidden="1">2</definedName>
    <definedName name="solver_lin" localSheetId="6" hidden="1">2</definedName>
    <definedName name="solver_lin" localSheetId="8" hidden="1">2</definedName>
    <definedName name="solver_lin" localSheetId="18" hidden="1">2</definedName>
    <definedName name="solver_mip" localSheetId="9" hidden="1">2147483647</definedName>
    <definedName name="solver_mip" localSheetId="10" hidden="1">2147483647</definedName>
    <definedName name="solver_mip" localSheetId="12" hidden="1">2147483647</definedName>
    <definedName name="solver_mip" localSheetId="14" hidden="1">2147483647</definedName>
    <definedName name="solver_mip" localSheetId="15" hidden="1">2147483647</definedName>
    <definedName name="solver_mip" localSheetId="17" hidden="1">2147483647</definedName>
    <definedName name="solver_mip" localSheetId="5" hidden="1">2147483647</definedName>
    <definedName name="solver_mip" localSheetId="6" hidden="1">2147483647</definedName>
    <definedName name="solver_mip" localSheetId="8" hidden="1">2147483647</definedName>
    <definedName name="solver_mip" localSheetId="18" hidden="1">2147483647</definedName>
    <definedName name="solver_mni" localSheetId="9" hidden="1">30</definedName>
    <definedName name="solver_mni" localSheetId="10" hidden="1">30</definedName>
    <definedName name="solver_mni" localSheetId="12" hidden="1">30</definedName>
    <definedName name="solver_mni" localSheetId="14" hidden="1">30</definedName>
    <definedName name="solver_mni" localSheetId="15" hidden="1">30</definedName>
    <definedName name="solver_mni" localSheetId="17" hidden="1">30</definedName>
    <definedName name="solver_mni" localSheetId="5" hidden="1">30</definedName>
    <definedName name="solver_mni" localSheetId="6" hidden="1">30</definedName>
    <definedName name="solver_mni" localSheetId="8" hidden="1">30</definedName>
    <definedName name="solver_mni" localSheetId="18" hidden="1">30</definedName>
    <definedName name="solver_mrt" localSheetId="9" hidden="1">0.075</definedName>
    <definedName name="solver_mrt" localSheetId="10" hidden="1">0.075</definedName>
    <definedName name="solver_mrt" localSheetId="12" hidden="1">0.075</definedName>
    <definedName name="solver_mrt" localSheetId="14" hidden="1">0.075</definedName>
    <definedName name="solver_mrt" localSheetId="15" hidden="1">0.075</definedName>
    <definedName name="solver_mrt" localSheetId="17" hidden="1">0.075</definedName>
    <definedName name="solver_mrt" localSheetId="5" hidden="1">0.075</definedName>
    <definedName name="solver_mrt" localSheetId="6" hidden="1">0.075</definedName>
    <definedName name="solver_mrt" localSheetId="8" hidden="1">0.075</definedName>
    <definedName name="solver_mrt" localSheetId="18" hidden="1">0.075</definedName>
    <definedName name="solver_msl" localSheetId="9" hidden="1">2</definedName>
    <definedName name="solver_msl" localSheetId="10" hidden="1">2</definedName>
    <definedName name="solver_msl" localSheetId="12" hidden="1">2</definedName>
    <definedName name="solver_msl" localSheetId="14" hidden="1">2</definedName>
    <definedName name="solver_msl" localSheetId="15" hidden="1">2</definedName>
    <definedName name="solver_msl" localSheetId="17" hidden="1">2</definedName>
    <definedName name="solver_msl" localSheetId="5" hidden="1">2</definedName>
    <definedName name="solver_msl" localSheetId="6" hidden="1">2</definedName>
    <definedName name="solver_msl" localSheetId="8" hidden="1">2</definedName>
    <definedName name="solver_msl" localSheetId="18" hidden="1">2</definedName>
    <definedName name="solver_neg" localSheetId="9" hidden="1">1</definedName>
    <definedName name="solver_neg" localSheetId="10" hidden="1">1</definedName>
    <definedName name="solver_neg" localSheetId="12" hidden="1">1</definedName>
    <definedName name="solver_neg" localSheetId="14" hidden="1">1</definedName>
    <definedName name="solver_neg" localSheetId="15" hidden="1">1</definedName>
    <definedName name="solver_neg" localSheetId="17" hidden="1">1</definedName>
    <definedName name="solver_neg" localSheetId="5" hidden="1">1</definedName>
    <definedName name="solver_neg" localSheetId="6" hidden="1">2</definedName>
    <definedName name="solver_neg" localSheetId="8" hidden="1">1</definedName>
    <definedName name="solver_neg" localSheetId="18" hidden="1">1</definedName>
    <definedName name="solver_nod" localSheetId="9" hidden="1">2147483647</definedName>
    <definedName name="solver_nod" localSheetId="10" hidden="1">2147483647</definedName>
    <definedName name="solver_nod" localSheetId="12" hidden="1">2147483647</definedName>
    <definedName name="solver_nod" localSheetId="14" hidden="1">2147483647</definedName>
    <definedName name="solver_nod" localSheetId="15" hidden="1">2147483647</definedName>
    <definedName name="solver_nod" localSheetId="17" hidden="1">2147483647</definedName>
    <definedName name="solver_nod" localSheetId="5" hidden="1">2147483647</definedName>
    <definedName name="solver_nod" localSheetId="6" hidden="1">2147483647</definedName>
    <definedName name="solver_nod" localSheetId="8" hidden="1">2147483647</definedName>
    <definedName name="solver_nod" localSheetId="18" hidden="1">2147483647</definedName>
    <definedName name="solver_num" localSheetId="9" hidden="1">0</definedName>
    <definedName name="solver_num" localSheetId="10" hidden="1">0</definedName>
    <definedName name="solver_num" localSheetId="12" hidden="1">0</definedName>
    <definedName name="solver_num" localSheetId="14" hidden="1">0</definedName>
    <definedName name="solver_num" localSheetId="15" hidden="1">1</definedName>
    <definedName name="solver_num" localSheetId="17" hidden="1">1</definedName>
    <definedName name="solver_num" localSheetId="5" hidden="1">0</definedName>
    <definedName name="solver_num" localSheetId="6" hidden="1">0</definedName>
    <definedName name="solver_num" localSheetId="8" hidden="1">0</definedName>
    <definedName name="solver_num" localSheetId="18" hidden="1">1</definedName>
    <definedName name="solver_nwt" localSheetId="6" hidden="1">1</definedName>
    <definedName name="solver_nwt" localSheetId="18" hidden="1">1</definedName>
    <definedName name="solver_opt" localSheetId="9" hidden="1">'Exercise 10 template'!$B$33</definedName>
    <definedName name="solver_opt" localSheetId="10" hidden="1">'Exercise 11 template'!$B$11</definedName>
    <definedName name="solver_opt" localSheetId="12" hidden="1">'Exercise 13 template'!$B$15</definedName>
    <definedName name="solver_opt" localSheetId="14" hidden="1">'Exercise 15 template'!$B$14</definedName>
    <definedName name="solver_opt" localSheetId="15" hidden="1">'Exercise 16 template'!$B$10</definedName>
    <definedName name="solver_opt" localSheetId="17" hidden="1">'Exercise 18 template'!$B$33</definedName>
    <definedName name="solver_opt" localSheetId="5" hidden="1">'Exercise 6 template'!$B$19</definedName>
    <definedName name="solver_opt" localSheetId="6" hidden="1">'Exercise 7 template'!$G$8</definedName>
    <definedName name="solver_opt" localSheetId="8" hidden="1">'Exercise 9 template'!$B$12</definedName>
    <definedName name="solver_opt" localSheetId="18" hidden="1">'Exercise Appendix template'!$B$45</definedName>
    <definedName name="solver_pre" localSheetId="9" hidden="1">0.000001</definedName>
    <definedName name="solver_pre" localSheetId="10" hidden="1">0.000001</definedName>
    <definedName name="solver_pre" localSheetId="12" hidden="1">0.000001</definedName>
    <definedName name="solver_pre" localSheetId="14" hidden="1">0.000001</definedName>
    <definedName name="solver_pre" localSheetId="15" hidden="1">0.000001</definedName>
    <definedName name="solver_pre" localSheetId="17" hidden="1">0.000001</definedName>
    <definedName name="solver_pre" localSheetId="5" hidden="1">0.000001</definedName>
    <definedName name="solver_pre" localSheetId="6" hidden="1">0.000001</definedName>
    <definedName name="solver_pre" localSheetId="8" hidden="1">0.000001</definedName>
    <definedName name="solver_pre" localSheetId="18" hidden="1">0.000001</definedName>
    <definedName name="solver_rbv" localSheetId="9" hidden="1">1</definedName>
    <definedName name="solver_rbv" localSheetId="10" hidden="1">1</definedName>
    <definedName name="solver_rbv" localSheetId="12" hidden="1">1</definedName>
    <definedName name="solver_rbv" localSheetId="14" hidden="1">1</definedName>
    <definedName name="solver_rbv" localSheetId="15" hidden="1">1</definedName>
    <definedName name="solver_rbv" localSheetId="17" hidden="1">1</definedName>
    <definedName name="solver_rbv" localSheetId="5" hidden="1">1</definedName>
    <definedName name="solver_rbv" localSheetId="6" hidden="1">1</definedName>
    <definedName name="solver_rbv" localSheetId="8" hidden="1">1</definedName>
    <definedName name="solver_rbv" localSheetId="18" hidden="1">1</definedName>
    <definedName name="solver_rel1" localSheetId="15" hidden="1">1</definedName>
    <definedName name="solver_rel1" localSheetId="17" hidden="1">2</definedName>
    <definedName name="solver_rel1" localSheetId="5" hidden="1">1</definedName>
    <definedName name="solver_rel1" localSheetId="6" hidden="1">2</definedName>
    <definedName name="solver_rel1" localSheetId="18" hidden="1">2</definedName>
    <definedName name="solver_rel2" localSheetId="5" hidden="1">3</definedName>
    <definedName name="solver_rel2" localSheetId="18" hidden="1">1</definedName>
    <definedName name="solver_rhs1" localSheetId="15" hidden="1">0.20781</definedName>
    <definedName name="solver_rhs1" localSheetId="17" hidden="1">0.04</definedName>
    <definedName name="solver_rhs1" localSheetId="5" hidden="1">0.25891</definedName>
    <definedName name="solver_rhs1" localSheetId="6" hidden="1">0</definedName>
    <definedName name="solver_rhs1" localSheetId="18" hidden="1">0.3</definedName>
    <definedName name="solver_rhs2" localSheetId="5" hidden="1">0.2589</definedName>
    <definedName name="solver_rhs2" localSheetId="18" hidden="1">0</definedName>
    <definedName name="solver_rlx" localSheetId="9" hidden="1">2</definedName>
    <definedName name="solver_rlx" localSheetId="10" hidden="1">2</definedName>
    <definedName name="solver_rlx" localSheetId="12" hidden="1">2</definedName>
    <definedName name="solver_rlx" localSheetId="14" hidden="1">2</definedName>
    <definedName name="solver_rlx" localSheetId="15" hidden="1">1</definedName>
    <definedName name="solver_rlx" localSheetId="17" hidden="1">2</definedName>
    <definedName name="solver_rlx" localSheetId="5" hidden="1">1</definedName>
    <definedName name="solver_rlx" localSheetId="6" hidden="1">1</definedName>
    <definedName name="solver_rlx" localSheetId="8" hidden="1">2</definedName>
    <definedName name="solver_rlx" localSheetId="18" hidden="1">2</definedName>
    <definedName name="solver_rsd" localSheetId="9" hidden="1">0</definedName>
    <definedName name="solver_rsd" localSheetId="10" hidden="1">0</definedName>
    <definedName name="solver_rsd" localSheetId="12" hidden="1">0</definedName>
    <definedName name="solver_rsd" localSheetId="14" hidden="1">0</definedName>
    <definedName name="solver_rsd" localSheetId="15" hidden="1">0</definedName>
    <definedName name="solver_rsd" localSheetId="17" hidden="1">0</definedName>
    <definedName name="solver_rsd" localSheetId="5" hidden="1">0</definedName>
    <definedName name="solver_rsd" localSheetId="6" hidden="1">0</definedName>
    <definedName name="solver_rsd" localSheetId="8" hidden="1">0</definedName>
    <definedName name="solver_rsd" localSheetId="18" hidden="1">0</definedName>
    <definedName name="solver_scl" localSheetId="9" hidden="1">1</definedName>
    <definedName name="solver_scl" localSheetId="10" hidden="1">1</definedName>
    <definedName name="solver_scl" localSheetId="12" hidden="1">1</definedName>
    <definedName name="solver_scl" localSheetId="14" hidden="1">1</definedName>
    <definedName name="solver_scl" localSheetId="15" hidden="1">2</definedName>
    <definedName name="solver_scl" localSheetId="17" hidden="1">1</definedName>
    <definedName name="solver_scl" localSheetId="5" hidden="1">2</definedName>
    <definedName name="solver_scl" localSheetId="6" hidden="1">2</definedName>
    <definedName name="solver_scl" localSheetId="8" hidden="1">1</definedName>
    <definedName name="solver_scl" localSheetId="18" hidden="1">1</definedName>
    <definedName name="solver_sho" localSheetId="9" hidden="1">2</definedName>
    <definedName name="solver_sho" localSheetId="10" hidden="1">2</definedName>
    <definedName name="solver_sho" localSheetId="12" hidden="1">2</definedName>
    <definedName name="solver_sho" localSheetId="14" hidden="1">2</definedName>
    <definedName name="solver_sho" localSheetId="15" hidden="1">2</definedName>
    <definedName name="solver_sho" localSheetId="17" hidden="1">2</definedName>
    <definedName name="solver_sho" localSheetId="5" hidden="1">2</definedName>
    <definedName name="solver_sho" localSheetId="6" hidden="1">2</definedName>
    <definedName name="solver_sho" localSheetId="8" hidden="1">2</definedName>
    <definedName name="solver_sho" localSheetId="18" hidden="1">2</definedName>
    <definedName name="solver_ssz" localSheetId="9" hidden="1">100</definedName>
    <definedName name="solver_ssz" localSheetId="10" hidden="1">100</definedName>
    <definedName name="solver_ssz" localSheetId="12" hidden="1">100</definedName>
    <definedName name="solver_ssz" localSheetId="14" hidden="1">100</definedName>
    <definedName name="solver_ssz" localSheetId="15" hidden="1">100</definedName>
    <definedName name="solver_ssz" localSheetId="17" hidden="1">100</definedName>
    <definedName name="solver_ssz" localSheetId="5" hidden="1">100</definedName>
    <definedName name="solver_ssz" localSheetId="6" hidden="1">100</definedName>
    <definedName name="solver_ssz" localSheetId="8" hidden="1">100</definedName>
    <definedName name="solver_ssz" localSheetId="18" hidden="1">100</definedName>
    <definedName name="solver_tim" localSheetId="9" hidden="1">2147483647</definedName>
    <definedName name="solver_tim" localSheetId="10" hidden="1">2147483647</definedName>
    <definedName name="solver_tim" localSheetId="12" hidden="1">2147483647</definedName>
    <definedName name="solver_tim" localSheetId="14" hidden="1">2147483647</definedName>
    <definedName name="solver_tim" localSheetId="15" hidden="1">2147483647</definedName>
    <definedName name="solver_tim" localSheetId="17" hidden="1">2147483647</definedName>
    <definedName name="solver_tim" localSheetId="5" hidden="1">2147483647</definedName>
    <definedName name="solver_tim" localSheetId="6" hidden="1">100</definedName>
    <definedName name="solver_tim" localSheetId="8" hidden="1">2147483647</definedName>
    <definedName name="solver_tim" localSheetId="18" hidden="1">2147483647</definedName>
    <definedName name="solver_tol" localSheetId="9" hidden="1">0.01</definedName>
    <definedName name="solver_tol" localSheetId="10" hidden="1">0.01</definedName>
    <definedName name="solver_tol" localSheetId="12" hidden="1">0.01</definedName>
    <definedName name="solver_tol" localSheetId="14" hidden="1">0.01</definedName>
    <definedName name="solver_tol" localSheetId="15" hidden="1">0.01</definedName>
    <definedName name="solver_tol" localSheetId="17" hidden="1">0.01</definedName>
    <definedName name="solver_tol" localSheetId="5" hidden="1">0.01</definedName>
    <definedName name="solver_tol" localSheetId="6" hidden="1">0.05</definedName>
    <definedName name="solver_tol" localSheetId="8" hidden="1">0.01</definedName>
    <definedName name="solver_tol" localSheetId="18" hidden="1">0.01</definedName>
    <definedName name="solver_typ" localSheetId="9" hidden="1">2</definedName>
    <definedName name="solver_typ" localSheetId="10" hidden="1">2</definedName>
    <definedName name="solver_typ" localSheetId="12" hidden="1">2</definedName>
    <definedName name="solver_typ" localSheetId="14" hidden="1">2</definedName>
    <definedName name="solver_typ" localSheetId="15" hidden="1">1</definedName>
    <definedName name="solver_typ" localSheetId="17" hidden="1">2</definedName>
    <definedName name="solver_typ" localSheetId="5" hidden="1">2</definedName>
    <definedName name="solver_typ" localSheetId="6" hidden="1">2</definedName>
    <definedName name="solver_typ" localSheetId="8" hidden="1">2</definedName>
    <definedName name="solver_typ" localSheetId="18" hidden="1">1</definedName>
    <definedName name="solver_val" localSheetId="9" hidden="1">0</definedName>
    <definedName name="solver_val" localSheetId="10" hidden="1">0.19</definedName>
    <definedName name="solver_val" localSheetId="12" hidden="1">0</definedName>
    <definedName name="solver_val" localSheetId="14" hidden="1">0</definedName>
    <definedName name="solver_val" localSheetId="15" hidden="1">0</definedName>
    <definedName name="solver_val" localSheetId="17" hidden="1">0.04</definedName>
    <definedName name="solver_val" localSheetId="5" hidden="1">0.258901526</definedName>
    <definedName name="solver_val" localSheetId="6" hidden="1">0</definedName>
    <definedName name="solver_val" localSheetId="8" hidden="1">0</definedName>
    <definedName name="solver_val" localSheetId="18" hidden="1">0</definedName>
    <definedName name="solver_ver" localSheetId="9" hidden="1">2</definedName>
    <definedName name="solver_ver" localSheetId="10" hidden="1">2</definedName>
    <definedName name="solver_ver" localSheetId="12" hidden="1">2</definedName>
    <definedName name="solver_ver" localSheetId="14" hidden="1">2</definedName>
    <definedName name="solver_ver" localSheetId="15" hidden="1">2</definedName>
    <definedName name="solver_ver" localSheetId="17" hidden="1">2</definedName>
    <definedName name="solver_ver" localSheetId="5" hidden="1">2</definedName>
    <definedName name="solver_ver" localSheetId="6" hidden="1">2</definedName>
    <definedName name="solver_ver" localSheetId="8" hidden="1">2</definedName>
    <definedName name="solver_ver" localSheetId="18" hidden="1">2</definedName>
  </definedNames>
  <calcPr calcId="191029" calcMode="manual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3" i="38" l="1"/>
  <c r="A54" i="38" s="1"/>
  <c r="A55" i="38" s="1"/>
  <c r="A56" i="38" s="1"/>
  <c r="A57" i="38" s="1"/>
  <c r="A58" i="38" s="1"/>
  <c r="A59" i="38" s="1"/>
  <c r="A60" i="38" s="1"/>
  <c r="A61" i="38" s="1"/>
  <c r="A62" i="38" s="1"/>
  <c r="A63" i="38" s="1"/>
  <c r="A64" i="38" s="1"/>
  <c r="A65" i="38" s="1"/>
  <c r="A51" i="38"/>
  <c r="A52" i="38" s="1"/>
  <c r="B42" i="38"/>
  <c r="B46" i="38" s="1"/>
  <c r="B47" i="38" s="1"/>
  <c r="B31" i="38"/>
  <c r="B25" i="38"/>
  <c r="B24" i="38"/>
  <c r="B23" i="38"/>
  <c r="B31" i="36"/>
  <c r="B33" i="36" s="1"/>
  <c r="F1" i="36" s="1"/>
  <c r="B23" i="36"/>
  <c r="B25" i="36" s="1"/>
  <c r="B18" i="53"/>
  <c r="B17" i="53"/>
  <c r="B9" i="53"/>
  <c r="B8" i="53"/>
  <c r="B7" i="53"/>
  <c r="J2" i="52"/>
  <c r="K2" i="52"/>
  <c r="B8" i="52"/>
  <c r="B11" i="52" s="1"/>
  <c r="F1" i="52" s="1"/>
  <c r="I9" i="41"/>
  <c r="H9" i="41"/>
  <c r="B11" i="41"/>
  <c r="B13" i="41" s="1"/>
  <c r="G1" i="41" s="1"/>
  <c r="B8" i="41"/>
  <c r="J7" i="51"/>
  <c r="I7" i="51"/>
  <c r="B12" i="51"/>
  <c r="B7" i="51"/>
  <c r="B8" i="51" s="1"/>
  <c r="C5" i="51"/>
  <c r="B5" i="51"/>
  <c r="B12" i="34"/>
  <c r="B15" i="34" s="1"/>
  <c r="B16" i="34" s="1"/>
  <c r="C13" i="48"/>
  <c r="B13" i="48"/>
  <c r="C8" i="48"/>
  <c r="B8" i="48"/>
  <c r="B8" i="47"/>
  <c r="B11" i="47" s="1"/>
  <c r="B31" i="32"/>
  <c r="B33" i="32"/>
  <c r="B32" i="32"/>
  <c r="B10" i="46"/>
  <c r="B12" i="46" s="1"/>
  <c r="B23" i="31"/>
  <c r="B22" i="31"/>
  <c r="B15" i="31"/>
  <c r="B14" i="31"/>
  <c r="G5" i="30"/>
  <c r="G7" i="30" s="1"/>
  <c r="G8" i="30" s="1"/>
  <c r="B18" i="30"/>
  <c r="B17" i="30"/>
  <c r="C16" i="30"/>
  <c r="B16" i="30"/>
  <c r="C15" i="30"/>
  <c r="B15" i="30"/>
  <c r="C14" i="30"/>
  <c r="B14" i="30"/>
  <c r="B23" i="45"/>
  <c r="B25" i="45" s="1"/>
  <c r="B17" i="45"/>
  <c r="B19" i="45" s="1"/>
  <c r="B11" i="45"/>
  <c r="B13" i="45" s="1"/>
  <c r="B7" i="45"/>
  <c r="B27" i="28"/>
  <c r="B26" i="28"/>
  <c r="B25" i="28"/>
  <c r="E21" i="28"/>
  <c r="E20" i="28"/>
  <c r="E19" i="28"/>
  <c r="B22" i="28"/>
  <c r="C21" i="28"/>
  <c r="B21" i="28"/>
  <c r="C20" i="28"/>
  <c r="B20" i="28"/>
  <c r="C19" i="28"/>
  <c r="B19" i="28"/>
  <c r="E9" i="28"/>
  <c r="E10" i="28"/>
  <c r="E11" i="28"/>
  <c r="E12" i="28"/>
  <c r="E13" i="28"/>
  <c r="E14" i="28"/>
  <c r="E15" i="28"/>
  <c r="E16" i="28"/>
  <c r="E17" i="28"/>
  <c r="E8" i="28"/>
  <c r="B28" i="44"/>
  <c r="B27" i="44"/>
  <c r="B26" i="44"/>
  <c r="F22" i="44"/>
  <c r="F23" i="44"/>
  <c r="F24" i="44"/>
  <c r="F21" i="44"/>
  <c r="E22" i="44"/>
  <c r="E23" i="44"/>
  <c r="E24" i="44"/>
  <c r="E21" i="44"/>
  <c r="B16" i="44"/>
  <c r="B15" i="44"/>
  <c r="B14" i="44"/>
  <c r="B8" i="44"/>
  <c r="B7" i="44"/>
  <c r="B6" i="44"/>
  <c r="B9" i="43"/>
  <c r="B8" i="43"/>
  <c r="B7" i="43"/>
  <c r="B7" i="42"/>
  <c r="B6" i="42"/>
  <c r="B5" i="42"/>
  <c r="A32" i="2"/>
  <c r="A33" i="2"/>
  <c r="A34" i="2"/>
  <c r="A35" i="2"/>
  <c r="A36" i="2"/>
  <c r="A37" i="2"/>
  <c r="A38" i="2"/>
  <c r="A39" i="2"/>
  <c r="A40" i="2"/>
  <c r="A41" i="2"/>
  <c r="A42" i="2"/>
  <c r="A31" i="2"/>
  <c r="B32" i="2"/>
  <c r="B33" i="2"/>
  <c r="B34" i="2"/>
  <c r="B35" i="2"/>
  <c r="B36" i="2"/>
  <c r="B37" i="2"/>
  <c r="B38" i="2"/>
  <c r="B39" i="2"/>
  <c r="B40" i="2"/>
  <c r="B41" i="2"/>
  <c r="B42" i="2"/>
  <c r="B31" i="2"/>
  <c r="B27" i="2"/>
  <c r="B26" i="2"/>
  <c r="F5" i="2"/>
  <c r="F6" i="2"/>
  <c r="F7" i="2"/>
  <c r="F8" i="2"/>
  <c r="F9" i="2"/>
  <c r="F10" i="2"/>
  <c r="F11" i="2"/>
  <c r="F12" i="2"/>
  <c r="F13" i="2"/>
  <c r="F14" i="2"/>
  <c r="F15" i="2"/>
  <c r="F4" i="2"/>
  <c r="B23" i="2"/>
  <c r="B22" i="2"/>
  <c r="C21" i="2"/>
  <c r="B21" i="2"/>
  <c r="C20" i="2"/>
  <c r="B20" i="2"/>
  <c r="C19" i="2"/>
  <c r="B19" i="2"/>
  <c r="E4" i="2"/>
  <c r="E5" i="2"/>
  <c r="E6" i="2"/>
  <c r="E7" i="2"/>
  <c r="E8" i="2"/>
  <c r="E9" i="2"/>
  <c r="E10" i="2"/>
  <c r="E11" i="2"/>
  <c r="E12" i="2"/>
  <c r="E13" i="2"/>
  <c r="E14" i="2"/>
  <c r="E15" i="2"/>
  <c r="D5" i="2"/>
  <c r="D6" i="2"/>
  <c r="D7" i="2"/>
  <c r="D8" i="2"/>
  <c r="D9" i="2"/>
  <c r="D10" i="2"/>
  <c r="D11" i="2"/>
  <c r="D12" i="2"/>
  <c r="D13" i="2"/>
  <c r="D14" i="2"/>
  <c r="D15" i="2"/>
  <c r="D4" i="2"/>
  <c r="C5" i="41"/>
  <c r="B5" i="41"/>
  <c r="C8" i="51"/>
  <c r="B45" i="38" l="1"/>
  <c r="B34" i="38"/>
  <c r="B35" i="38"/>
  <c r="B36" i="38" s="1"/>
  <c r="B24" i="36"/>
  <c r="B10" i="52"/>
  <c r="G1" i="52" s="1"/>
  <c r="B14" i="41"/>
  <c r="F1" i="41" s="1"/>
  <c r="B15" i="51"/>
  <c r="B16" i="51" s="1"/>
  <c r="H1" i="51" s="1"/>
  <c r="B14" i="51"/>
  <c r="G1" i="51" s="1"/>
  <c r="B14" i="34"/>
  <c r="B10" i="47"/>
  <c r="G6" i="30"/>
  <c r="G13" i="30" s="1"/>
  <c r="B24" i="45"/>
  <c r="B18" i="45"/>
  <c r="B12" i="45"/>
  <c r="B44" i="2"/>
  <c r="B47" i="2" s="1"/>
  <c r="B45" i="2"/>
  <c r="C47" i="2" s="1"/>
  <c r="B20" i="38"/>
  <c r="B13" i="38"/>
  <c r="D5" i="38"/>
  <c r="C5" i="38"/>
  <c r="B5" i="38"/>
  <c r="B12" i="38" s="1"/>
  <c r="C13" i="38"/>
  <c r="C20" i="38"/>
  <c r="C14" i="38"/>
  <c r="C12" i="38"/>
  <c r="B14" i="38" l="1"/>
  <c r="B17" i="36"/>
  <c r="C16" i="36"/>
  <c r="B16" i="36"/>
  <c r="C15" i="36"/>
  <c r="B15" i="36"/>
  <c r="C14" i="36"/>
  <c r="B14" i="36"/>
  <c r="B7" i="34"/>
  <c r="C5" i="34"/>
  <c r="B5" i="34"/>
  <c r="D15" i="36"/>
  <c r="C8" i="34"/>
  <c r="C17" i="36"/>
  <c r="C18" i="36"/>
  <c r="D16" i="36"/>
  <c r="C32" i="36"/>
  <c r="D14" i="36"/>
  <c r="B18" i="36" l="1"/>
  <c r="B32" i="36"/>
  <c r="G1" i="36" s="1"/>
  <c r="B8" i="34"/>
  <c r="B10" i="32"/>
  <c r="B13" i="32" s="1"/>
  <c r="C16" i="32" s="1"/>
  <c r="B5" i="32"/>
  <c r="B20" i="31"/>
  <c r="B12" i="31"/>
  <c r="C5" i="31"/>
  <c r="B5" i="31"/>
  <c r="C20" i="31"/>
  <c r="C5" i="32"/>
  <c r="C8" i="31"/>
  <c r="C12" i="31"/>
  <c r="C10" i="32"/>
  <c r="B12" i="32" l="1"/>
  <c r="B16" i="32" s="1"/>
  <c r="B8" i="31"/>
  <c r="B4" i="28"/>
  <c r="C4" i="28"/>
</calcChain>
</file>

<file path=xl/sharedStrings.xml><?xml version="1.0" encoding="utf-8"?>
<sst xmlns="http://schemas.openxmlformats.org/spreadsheetml/2006/main" count="320" uniqueCount="172">
  <si>
    <t>Date</t>
  </si>
  <si>
    <t>PRICES FOR FORD
 AND PPG STOCK</t>
  </si>
  <si>
    <t>Average</t>
  </si>
  <si>
    <t>Variance</t>
  </si>
  <si>
    <t>Standard deviation</t>
  </si>
  <si>
    <t>Covariance</t>
  </si>
  <si>
    <t>Correlation</t>
  </si>
  <si>
    <t>Average return</t>
  </si>
  <si>
    <t>Sigma</t>
  </si>
  <si>
    <t>A PORTFOLIO OF GM AND MSFT STOCK</t>
  </si>
  <si>
    <t>Portfolio proportions</t>
  </si>
  <si>
    <t>Percentage in GM</t>
  </si>
  <si>
    <t>Percentage in MSFT</t>
  </si>
  <si>
    <t>Stock returns</t>
  </si>
  <si>
    <t>Portfolio returns</t>
  </si>
  <si>
    <t>GM</t>
  </si>
  <si>
    <t>MSFT</t>
  </si>
  <si>
    <t>Covariance of returns</t>
  </si>
  <si>
    <t>Portfolio variance</t>
  </si>
  <si>
    <t>Portfolio standard deviation</t>
  </si>
  <si>
    <t>Proportion of A</t>
  </si>
  <si>
    <t>Mean</t>
  </si>
  <si>
    <t>Another way:</t>
  </si>
  <si>
    <t>Portfolio average</t>
  </si>
  <si>
    <t>Correlation of return</t>
  </si>
  <si>
    <t>Proportion of B</t>
  </si>
  <si>
    <t>Standard devation</t>
  </si>
  <si>
    <t>ABC</t>
  </si>
  <si>
    <t>XYZ</t>
  </si>
  <si>
    <t>Covariance(ABC,XYZ)</t>
  </si>
  <si>
    <t>Correlation(ABC,XYZ)</t>
  </si>
  <si>
    <t xml:space="preserve">    Percentage ABC</t>
  </si>
  <si>
    <t xml:space="preserve">    Percentage XYZ</t>
  </si>
  <si>
    <t>Expected return</t>
  </si>
  <si>
    <t>Percentage of ABC</t>
  </si>
  <si>
    <t xml:space="preserve">    Expected return</t>
  </si>
  <si>
    <t xml:space="preserve">    Standard deviation</t>
  </si>
  <si>
    <t>X</t>
  </si>
  <si>
    <t>Y</t>
  </si>
  <si>
    <t>Mean return</t>
  </si>
  <si>
    <t>Minimum variance portfolio</t>
  </si>
  <si>
    <t xml:space="preserve">    Proportion of X</t>
  </si>
  <si>
    <t xml:space="preserve">    Proportion of Y</t>
  </si>
  <si>
    <t xml:space="preserve">    Variance of return</t>
  </si>
  <si>
    <t xml:space="preserve">    Sigma</t>
  </si>
  <si>
    <t>QPD</t>
  </si>
  <si>
    <t>Correlations</t>
  </si>
  <si>
    <t xml:space="preserve">    Corr(ABC,QPD)</t>
  </si>
  <si>
    <t xml:space="preserve">    Corr(ABC,XYZ)</t>
  </si>
  <si>
    <t xml:space="preserve">    Corr(QPD,XYZ)</t>
  </si>
  <si>
    <t xml:space="preserve">    ABC</t>
  </si>
  <si>
    <t xml:space="preserve">    QPD</t>
  </si>
  <si>
    <t xml:space="preserve">    XYZ</t>
  </si>
  <si>
    <t>Portfolio statistics</t>
  </si>
  <si>
    <t xml:space="preserve">    Variance</t>
  </si>
  <si>
    <t>Cov(ABC,QPD)</t>
  </si>
  <si>
    <t>Cov(ABC,XYZ)</t>
  </si>
  <si>
    <t>Cov(QPD,XYZ)</t>
  </si>
  <si>
    <t>Correlation of returns</t>
  </si>
  <si>
    <r>
      <t>Covariance of return, Cov(r</t>
    </r>
    <r>
      <rPr>
        <vertAlign val="subscript"/>
        <sz val="10"/>
        <rFont val="Arial"/>
        <family val="2"/>
      </rPr>
      <t>A</t>
    </r>
    <r>
      <rPr>
        <sz val="10"/>
        <rFont val="Arial"/>
        <family val="2"/>
      </rPr>
      <t>,r</t>
    </r>
    <r>
      <rPr>
        <vertAlign val="subscript"/>
        <sz val="10"/>
        <rFont val="Arial"/>
        <family val="2"/>
      </rPr>
      <t>B</t>
    </r>
    <r>
      <rPr>
        <sz val="10"/>
        <rFont val="Arial"/>
        <family val="2"/>
      </rPr>
      <t>)</t>
    </r>
  </si>
  <si>
    <t>Stock A</t>
  </si>
  <si>
    <t>Stock B</t>
  </si>
  <si>
    <t>RETURN STATISTICS FOR THREE STOCKS</t>
  </si>
  <si>
    <t>MSFT
return</t>
  </si>
  <si>
    <t>Sample portfolio</t>
  </si>
  <si>
    <t>Proportion of MSFT</t>
  </si>
  <si>
    <t>Target return</t>
  </si>
  <si>
    <t>Target minus mean</t>
  </si>
  <si>
    <t>Section a.</t>
  </si>
  <si>
    <t>Section b.</t>
  </si>
  <si>
    <t xml:space="preserve">Section c. </t>
  </si>
  <si>
    <t xml:space="preserve">Section a. </t>
  </si>
  <si>
    <t xml:space="preserve">Section b. </t>
  </si>
  <si>
    <t>FORD
return</t>
  </si>
  <si>
    <r>
      <t>Average, E(r</t>
    </r>
    <r>
      <rPr>
        <vertAlign val="subscript"/>
        <sz val="10"/>
        <rFont val="Arial"/>
        <family val="2"/>
      </rPr>
      <t>FORD</t>
    </r>
    <r>
      <rPr>
        <sz val="10"/>
        <rFont val="Arial"/>
        <family val="2"/>
      </rPr>
      <t>) and E(r</t>
    </r>
    <r>
      <rPr>
        <vertAlign val="subscript"/>
        <sz val="10"/>
        <rFont val="Arial"/>
        <family val="2"/>
      </rPr>
      <t>MSFT</t>
    </r>
    <r>
      <rPr>
        <sz val="10"/>
        <rFont val="Arial"/>
        <family val="2"/>
      </rPr>
      <t>)</t>
    </r>
  </si>
  <si>
    <r>
      <t>Variance, Var(r</t>
    </r>
    <r>
      <rPr>
        <vertAlign val="subscript"/>
        <sz val="10"/>
        <rFont val="Arial"/>
        <family val="2"/>
      </rPr>
      <t>FORD</t>
    </r>
    <r>
      <rPr>
        <sz val="10"/>
        <rFont val="Arial"/>
        <family val="2"/>
      </rPr>
      <t>) and Var(r</t>
    </r>
    <r>
      <rPr>
        <vertAlign val="subscript"/>
        <sz val="10"/>
        <rFont val="Arial"/>
        <family val="2"/>
      </rPr>
      <t>MSFT</t>
    </r>
    <r>
      <rPr>
        <sz val="10"/>
        <rFont val="Arial"/>
        <family val="2"/>
      </rPr>
      <t>)</t>
    </r>
  </si>
  <si>
    <r>
      <t xml:space="preserve">Standard deviation, </t>
    </r>
    <r>
      <rPr>
        <sz val="10"/>
        <rFont val="Symbol"/>
        <family val="1"/>
        <charset val="2"/>
      </rPr>
      <t>s</t>
    </r>
    <r>
      <rPr>
        <vertAlign val="subscript"/>
        <sz val="10"/>
        <rFont val="Arial"/>
        <family val="2"/>
      </rPr>
      <t>FORD</t>
    </r>
    <r>
      <rPr>
        <sz val="10"/>
        <rFont val="Arial"/>
        <family val="2"/>
      </rPr>
      <t xml:space="preserve"> and </t>
    </r>
    <r>
      <rPr>
        <sz val="10"/>
        <rFont val="Symbol"/>
        <family val="1"/>
        <charset val="2"/>
      </rPr>
      <t>s</t>
    </r>
    <r>
      <rPr>
        <vertAlign val="subscript"/>
        <sz val="10"/>
        <rFont val="Arial"/>
        <family val="2"/>
      </rPr>
      <t>MSFT</t>
    </r>
  </si>
  <si>
    <r>
      <t>Covariance of returns, Cov(r</t>
    </r>
    <r>
      <rPr>
        <vertAlign val="subscript"/>
        <sz val="10"/>
        <rFont val="Arial"/>
        <family val="2"/>
      </rPr>
      <t>FORD</t>
    </r>
    <r>
      <rPr>
        <sz val="10"/>
        <rFont val="Arial"/>
        <family val="2"/>
      </rPr>
      <t>,r</t>
    </r>
    <r>
      <rPr>
        <vertAlign val="subscript"/>
        <sz val="10"/>
        <rFont val="Arial"/>
        <family val="2"/>
      </rPr>
      <t>MSFT</t>
    </r>
    <r>
      <rPr>
        <sz val="10"/>
        <rFont val="Arial"/>
        <family val="2"/>
      </rPr>
      <t>)</t>
    </r>
  </si>
  <si>
    <r>
      <t xml:space="preserve">Correlation of returns, </t>
    </r>
    <r>
      <rPr>
        <sz val="10"/>
        <rFont val="Symbol"/>
        <family val="1"/>
        <charset val="2"/>
      </rPr>
      <t>r</t>
    </r>
    <r>
      <rPr>
        <vertAlign val="subscript"/>
        <sz val="10"/>
        <rFont val="Arial"/>
        <family val="2"/>
      </rPr>
      <t>FORD,MSFT</t>
    </r>
  </si>
  <si>
    <t>Proportion of FORD</t>
  </si>
  <si>
    <t>FORD AND MSFT
RETURN STATISTICS, 2005-2014</t>
  </si>
  <si>
    <t>RETURN STATISTICS OF A AND B STOCK</t>
  </si>
  <si>
    <t>Standard deviation of return</t>
  </si>
  <si>
    <t>Section c.</t>
  </si>
  <si>
    <t>Proportion of ABC</t>
  </si>
  <si>
    <t>Proportion of XYZ</t>
  </si>
  <si>
    <t>Portfolio allocation</t>
  </si>
  <si>
    <t>Proportion in FORD</t>
  </si>
  <si>
    <t>Proportion in MSFT</t>
  </si>
  <si>
    <t>Target portfolio</t>
  </si>
  <si>
    <t>Average return (check)</t>
  </si>
  <si>
    <t>Portfolio compositions</t>
  </si>
  <si>
    <t>Portfolio with standard deviation of 30%</t>
  </si>
  <si>
    <t xml:space="preserve">    Standard deviation (check)</t>
  </si>
  <si>
    <t>Ford 
stock price</t>
  </si>
  <si>
    <t>PPG 
stock price</t>
  </si>
  <si>
    <t>RETURN STATISTICS OF X AND Y STOCKS</t>
  </si>
  <si>
    <t>Ford returns</t>
    <phoneticPr fontId="0" type="noConversion"/>
  </si>
  <si>
    <t>PPG returns</t>
    <phoneticPr fontId="0" type="noConversion"/>
  </si>
  <si>
    <t>Section a.</t>
    <phoneticPr fontId="0" type="noConversion"/>
  </si>
  <si>
    <t>Ford</t>
    <phoneticPr fontId="0" type="noConversion"/>
  </si>
  <si>
    <t>PPG</t>
    <phoneticPr fontId="0" type="noConversion"/>
  </si>
  <si>
    <t>average return</t>
    <phoneticPr fontId="0" type="noConversion"/>
  </si>
  <si>
    <t>variance of returns</t>
    <phoneticPr fontId="0" type="noConversion"/>
  </si>
  <si>
    <t>standard deviation of returns</t>
    <phoneticPr fontId="0" type="noConversion"/>
  </si>
  <si>
    <t>covariance</t>
  </si>
  <si>
    <t>correlation coefficient</t>
  </si>
  <si>
    <t>portfolio</t>
    <phoneticPr fontId="0" type="noConversion"/>
  </si>
  <si>
    <t>Section b.</t>
    <phoneticPr fontId="0" type="noConversion"/>
  </si>
  <si>
    <t>return</t>
    <phoneticPr fontId="0" type="noConversion"/>
  </si>
  <si>
    <t>standard deviation</t>
  </si>
  <si>
    <t>Section c.</t>
    <phoneticPr fontId="0" type="noConversion"/>
  </si>
  <si>
    <t>ford share</t>
    <phoneticPr fontId="0" type="noConversion"/>
  </si>
  <si>
    <t>no, ford can still lower portfolio risk</t>
    <phoneticPr fontId="0" type="noConversion"/>
  </si>
  <si>
    <t>return</t>
    <phoneticPr fontId="7" type="noConversion"/>
  </si>
  <si>
    <t>variance</t>
    <phoneticPr fontId="7" type="noConversion"/>
  </si>
  <si>
    <t>Section a.</t>
    <phoneticPr fontId="7" type="noConversion"/>
  </si>
  <si>
    <t>Section b.</t>
    <phoneticPr fontId="7" type="noConversion"/>
  </si>
  <si>
    <t>Section c.</t>
    <phoneticPr fontId="7" type="noConversion"/>
  </si>
  <si>
    <t>first coin</t>
    <phoneticPr fontId="7" type="noConversion"/>
  </si>
  <si>
    <t>second coin</t>
    <phoneticPr fontId="7" type="noConversion"/>
  </si>
  <si>
    <t>total</t>
    <phoneticPr fontId="7" type="noConversion"/>
  </si>
  <si>
    <t>possibility</t>
    <phoneticPr fontId="7" type="noConversion"/>
  </si>
  <si>
    <t>Section d.</t>
    <phoneticPr fontId="7" type="noConversion"/>
  </si>
  <si>
    <t>less correlation, less variance</t>
    <phoneticPr fontId="7" type="noConversion"/>
  </si>
  <si>
    <t>Company A stock</t>
    <phoneticPr fontId="7" type="noConversion"/>
  </si>
  <si>
    <t>Company B stock</t>
    <phoneticPr fontId="7" type="noConversion"/>
  </si>
  <si>
    <t>Average return</t>
    <phoneticPr fontId="7" type="noConversion"/>
  </si>
  <si>
    <t>Variance</t>
    <phoneticPr fontId="7" type="noConversion"/>
  </si>
  <si>
    <t>Sigma</t>
    <phoneticPr fontId="7" type="noConversion"/>
  </si>
  <si>
    <t>Covariance of returns</t>
    <phoneticPr fontId="7" type="noConversion"/>
  </si>
  <si>
    <t>Correlation of returns</t>
    <phoneticPr fontId="7" type="noConversion"/>
  </si>
  <si>
    <t>Portfolio</t>
    <phoneticPr fontId="7" type="noConversion"/>
  </si>
  <si>
    <t>Proportion of A</t>
    <phoneticPr fontId="7" type="noConversion"/>
  </si>
  <si>
    <t>Proportion of B</t>
    <phoneticPr fontId="7" type="noConversion"/>
  </si>
  <si>
    <t>Portfolio average return</t>
    <phoneticPr fontId="7" type="noConversion"/>
  </si>
  <si>
    <t>Portfolio standard deviation</t>
    <phoneticPr fontId="7" type="noConversion"/>
  </si>
  <si>
    <t>RETURN STATISTICS OF STOCKS A AND B</t>
    <phoneticPr fontId="7" type="noConversion"/>
  </si>
  <si>
    <t>Stock A</t>
    <phoneticPr fontId="7" type="noConversion"/>
  </si>
  <si>
    <t>Stock B</t>
    <phoneticPr fontId="7" type="noConversion"/>
  </si>
  <si>
    <t>Standard deviation</t>
    <phoneticPr fontId="7" type="noConversion"/>
  </si>
  <si>
    <t>Covariance of return, Cov(rA,rB)</t>
    <phoneticPr fontId="7" type="noConversion"/>
  </si>
  <si>
    <t>portfolio variance</t>
    <phoneticPr fontId="7" type="noConversion"/>
  </si>
  <si>
    <t>A share</t>
    <phoneticPr fontId="7" type="noConversion"/>
  </si>
  <si>
    <t>B share</t>
    <phoneticPr fontId="7" type="noConversion"/>
  </si>
  <si>
    <t>Expected
return</t>
    <phoneticPr fontId="7" type="noConversion"/>
  </si>
  <si>
    <t>Standard deviation
of return</t>
    <phoneticPr fontId="7" type="noConversion"/>
  </si>
  <si>
    <t>ABC</t>
    <phoneticPr fontId="7" type="noConversion"/>
  </si>
  <si>
    <t>XYZ</t>
    <phoneticPr fontId="7" type="noConversion"/>
  </si>
  <si>
    <t>Covariance(ABC,XYZ)</t>
    <phoneticPr fontId="7" type="noConversion"/>
  </si>
  <si>
    <t>Correlation(ABC,XYZ)</t>
    <phoneticPr fontId="7" type="noConversion"/>
  </si>
  <si>
    <t>ABC weight</t>
    <phoneticPr fontId="7" type="noConversion"/>
  </si>
  <si>
    <t>XYZ weight</t>
    <phoneticPr fontId="7" type="noConversion"/>
  </si>
  <si>
    <t>portfolio return</t>
    <phoneticPr fontId="7" type="noConversion"/>
  </si>
  <si>
    <t>Standard deviation of return</t>
    <phoneticPr fontId="7" type="noConversion"/>
  </si>
  <si>
    <t>Merlyn</t>
    <phoneticPr fontId="7" type="noConversion"/>
  </si>
  <si>
    <t>share</t>
    <phoneticPr fontId="7" type="noConversion"/>
  </si>
  <si>
    <t>standard deviation</t>
    <phoneticPr fontId="7" type="noConversion"/>
  </si>
  <si>
    <t>correlation</t>
  </si>
  <si>
    <t>portfolio</t>
    <phoneticPr fontId="7" type="noConversion"/>
  </si>
  <si>
    <t>second stock</t>
    <phoneticPr fontId="7" type="noConversion"/>
  </si>
  <si>
    <t xml:space="preserve">    Proportion of X</t>
    <phoneticPr fontId="7" type="noConversion"/>
  </si>
  <si>
    <t>sigma</t>
    <phoneticPr fontId="7" type="noConversion"/>
  </si>
  <si>
    <t>Proportion of X</t>
    <phoneticPr fontId="7" type="noConversion"/>
  </si>
  <si>
    <t>Proportion of Y</t>
    <phoneticPr fontId="7" type="noConversion"/>
  </si>
  <si>
    <t>Expected return</t>
    <phoneticPr fontId="7" type="noConversion"/>
  </si>
  <si>
    <t>Stock ABC</t>
    <phoneticPr fontId="7" type="noConversion"/>
  </si>
  <si>
    <t>Stock XYZ</t>
    <phoneticPr fontId="7" type="noConversion"/>
  </si>
  <si>
    <t>Mary, less risk</t>
    <phoneticPr fontId="7" type="noConversion"/>
  </si>
  <si>
    <t>John</t>
  </si>
  <si>
    <t>Mary</t>
    <phoneticPr fontId="7" type="noConversion"/>
  </si>
  <si>
    <t>Proportion in FORD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</si>
</sst>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3" formatCode="_(* #,##0.00_);_(* \(#,##0.00\);_(* &quot;-&quot;??_);_(@_)"/>
    <numFmt numFmtId="176" formatCode="0.000"/>
    <numFmt numFmtId="177" formatCode="0.0000"/>
    <numFmt numFmtId="178" formatCode="0.000%"/>
    <numFmt numFmtId="179" formatCode="0.00000"/>
    <numFmt numFmtId="180" formatCode="_(* #,##0.0000_);_(* \(#,##0.0000\);_(* &quot;-&quot;??_);_(@_)"/>
    <numFmt numFmtId="181" formatCode="[$-409]d\-mmm\-yy;@"/>
    <numFmt numFmtId="182" formatCode="[$-409]d\-mmm\-yyyy;@"/>
    <numFmt numFmtId="183" formatCode="#,##0.0000"/>
    <numFmt numFmtId="184" formatCode="#,##0.000"/>
    <numFmt numFmtId="185" formatCode="0.0%"/>
    <numFmt numFmtId="186" formatCode="0.0000%"/>
    <numFmt numFmtId="187" formatCode="0.00000%"/>
    <numFmt numFmtId="188" formatCode="_(* #,##0.0000000_);_(* \(#,##0.0000000\);_(* &quot;-&quot;??_);_(@_)"/>
    <numFmt numFmtId="189" formatCode="0.000000000000"/>
    <numFmt numFmtId="190" formatCode="0.000000%"/>
    <numFmt numFmtId="196" formatCode="0.00000_);[Red]\(0.00000\)"/>
  </numFmts>
  <fonts count="9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sz val="9"/>
      <name val="宋体"/>
      <family val="3"/>
      <charset val="134"/>
    </font>
    <font>
      <sz val="10"/>
      <color rgb="FF1A1819"/>
      <name val="Helvetica"/>
      <family val="2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</cellStyleXfs>
  <cellXfs count="80">
    <xf numFmtId="0" fontId="0" fillId="0" borderId="0" xfId="0"/>
    <xf numFmtId="0" fontId="2" fillId="0" borderId="0" xfId="0" applyFont="1" applyAlignment="1">
      <alignment horizontal="center" wrapText="1"/>
    </xf>
    <xf numFmtId="10" fontId="0" fillId="0" borderId="0" xfId="2" applyNumberFormat="1" applyFont="1"/>
    <xf numFmtId="0" fontId="3" fillId="0" borderId="0" xfId="0" applyFont="1"/>
    <xf numFmtId="0" fontId="2" fillId="0" borderId="0" xfId="0" applyFont="1" applyAlignment="1">
      <alignment horizontal="center"/>
    </xf>
    <xf numFmtId="17" fontId="0" fillId="0" borderId="0" xfId="0" applyNumberFormat="1"/>
    <xf numFmtId="176" fontId="0" fillId="0" borderId="0" xfId="0" applyNumberFormat="1"/>
    <xf numFmtId="10" fontId="1" fillId="0" borderId="0" xfId="2" applyNumberFormat="1"/>
    <xf numFmtId="176" fontId="0" fillId="0" borderId="0" xfId="0" applyNumberFormat="1" applyAlignment="1">
      <alignment horizontal="center"/>
    </xf>
    <xf numFmtId="10" fontId="0" fillId="0" borderId="0" xfId="0" applyNumberFormat="1"/>
    <xf numFmtId="177" fontId="0" fillId="0" borderId="0" xfId="0" applyNumberFormat="1"/>
    <xf numFmtId="9" fontId="0" fillId="0" borderId="0" xfId="0" applyNumberFormat="1"/>
    <xf numFmtId="0" fontId="2" fillId="0" borderId="0" xfId="0" applyFont="1"/>
    <xf numFmtId="0" fontId="0" fillId="0" borderId="0" xfId="0" applyAlignment="1">
      <alignment wrapText="1"/>
    </xf>
    <xf numFmtId="0" fontId="4" fillId="0" borderId="0" xfId="0" applyFont="1"/>
    <xf numFmtId="10" fontId="0" fillId="2" borderId="0" xfId="2" applyNumberFormat="1" applyFont="1" applyFill="1"/>
    <xf numFmtId="177" fontId="0" fillId="2" borderId="0" xfId="0" applyNumberFormat="1" applyFill="1"/>
    <xf numFmtId="9" fontId="0" fillId="0" borderId="0" xfId="0" applyNumberFormat="1" applyAlignment="1">
      <alignment horizontal="center"/>
    </xf>
    <xf numFmtId="0" fontId="1" fillId="0" borderId="0" xfId="0" applyFont="1"/>
    <xf numFmtId="0" fontId="1" fillId="0" borderId="0" xfId="3"/>
    <xf numFmtId="0" fontId="2" fillId="0" borderId="0" xfId="3" applyFont="1" applyAlignment="1">
      <alignment horizontal="center"/>
    </xf>
    <xf numFmtId="0" fontId="2" fillId="0" borderId="0" xfId="3" applyFont="1" applyAlignment="1">
      <alignment horizontal="center" wrapText="1"/>
    </xf>
    <xf numFmtId="181" fontId="1" fillId="0" borderId="0" xfId="3" applyNumberFormat="1" applyAlignment="1">
      <alignment horizontal="center"/>
    </xf>
    <xf numFmtId="10" fontId="1" fillId="0" borderId="0" xfId="3" applyNumberFormat="1"/>
    <xf numFmtId="177" fontId="1" fillId="0" borderId="0" xfId="3" applyNumberFormat="1"/>
    <xf numFmtId="10" fontId="1" fillId="2" borderId="0" xfId="3" applyNumberFormat="1" applyFill="1"/>
    <xf numFmtId="180" fontId="0" fillId="2" borderId="0" xfId="1" applyNumberFormat="1" applyFont="1" applyFill="1"/>
    <xf numFmtId="177" fontId="1" fillId="2" borderId="0" xfId="3" applyNumberFormat="1" applyFill="1"/>
    <xf numFmtId="0" fontId="2" fillId="0" borderId="0" xfId="3" applyFont="1"/>
    <xf numFmtId="9" fontId="1" fillId="0" borderId="0" xfId="3" applyNumberFormat="1"/>
    <xf numFmtId="0" fontId="3" fillId="0" borderId="0" xfId="3" applyFont="1" applyAlignment="1">
      <alignment vertical="center" wrapText="1"/>
    </xf>
    <xf numFmtId="182" fontId="0" fillId="0" borderId="0" xfId="0" applyNumberFormat="1" applyAlignment="1">
      <alignment horizontal="center"/>
    </xf>
    <xf numFmtId="180" fontId="0" fillId="4" borderId="0" xfId="1" applyNumberFormat="1" applyFont="1" applyFill="1"/>
    <xf numFmtId="10" fontId="1" fillId="4" borderId="0" xfId="2" applyNumberFormat="1" applyFill="1"/>
    <xf numFmtId="183" fontId="1" fillId="4" borderId="0" xfId="2" applyNumberFormat="1" applyFill="1"/>
    <xf numFmtId="10" fontId="0" fillId="4" borderId="0" xfId="0" applyNumberFormat="1" applyFill="1"/>
    <xf numFmtId="10" fontId="0" fillId="4" borderId="0" xfId="2" applyNumberFormat="1" applyFont="1" applyFill="1"/>
    <xf numFmtId="179" fontId="0" fillId="4" borderId="0" xfId="0" applyNumberFormat="1" applyFill="1"/>
    <xf numFmtId="4" fontId="0" fillId="0" borderId="0" xfId="0" applyNumberFormat="1"/>
    <xf numFmtId="184" fontId="0" fillId="0" borderId="0" xfId="0" applyNumberFormat="1"/>
    <xf numFmtId="180" fontId="0" fillId="0" borderId="0" xfId="1" applyNumberFormat="1" applyFont="1" applyFill="1"/>
    <xf numFmtId="0" fontId="0" fillId="0" borderId="0" xfId="0" applyAlignment="1">
      <alignment horizontal="left" indent="1"/>
    </xf>
    <xf numFmtId="9" fontId="0" fillId="4" borderId="0" xfId="0" applyNumberFormat="1" applyFill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178" fontId="0" fillId="4" borderId="0" xfId="0" applyNumberFormat="1" applyFill="1"/>
    <xf numFmtId="177" fontId="0" fillId="4" borderId="0" xfId="0" applyNumberFormat="1" applyFill="1"/>
    <xf numFmtId="182" fontId="1" fillId="0" borderId="0" xfId="0" applyNumberFormat="1" applyFont="1" applyAlignment="1">
      <alignment horizontal="center"/>
    </xf>
    <xf numFmtId="176" fontId="1" fillId="0" borderId="0" xfId="0" applyNumberFormat="1" applyFont="1"/>
    <xf numFmtId="17" fontId="1" fillId="0" borderId="0" xfId="0" applyNumberFormat="1" applyFont="1"/>
    <xf numFmtId="0" fontId="8" fillId="0" borderId="0" xfId="0" applyFont="1"/>
    <xf numFmtId="9" fontId="0" fillId="0" borderId="0" xfId="2" applyFont="1"/>
    <xf numFmtId="178" fontId="0" fillId="0" borderId="0" xfId="0" applyNumberFormat="1"/>
    <xf numFmtId="185" fontId="0" fillId="0" borderId="0" xfId="0" applyNumberFormat="1"/>
    <xf numFmtId="178" fontId="0" fillId="0" borderId="0" xfId="2" applyNumberFormat="1" applyFont="1"/>
    <xf numFmtId="186" fontId="0" fillId="0" borderId="0" xfId="2" applyNumberFormat="1" applyFont="1"/>
    <xf numFmtId="187" fontId="0" fillId="0" borderId="0" xfId="2" applyNumberFormat="1" applyFont="1"/>
    <xf numFmtId="10" fontId="1" fillId="0" borderId="0" xfId="0" applyNumberFormat="1" applyFont="1"/>
    <xf numFmtId="9" fontId="1" fillId="0" borderId="0" xfId="0" applyNumberFormat="1" applyFont="1"/>
    <xf numFmtId="188" fontId="1" fillId="0" borderId="0" xfId="3" applyNumberFormat="1"/>
    <xf numFmtId="178" fontId="1" fillId="0" borderId="0" xfId="2" applyNumberFormat="1"/>
    <xf numFmtId="186" fontId="1" fillId="0" borderId="0" xfId="2" applyNumberFormat="1"/>
    <xf numFmtId="10" fontId="1" fillId="4" borderId="0" xfId="2" applyNumberFormat="1" applyFont="1" applyFill="1"/>
    <xf numFmtId="189" fontId="0" fillId="0" borderId="0" xfId="0" applyNumberFormat="1"/>
    <xf numFmtId="10" fontId="2" fillId="0" borderId="0" xfId="0" applyNumberFormat="1" applyFont="1" applyAlignment="1">
      <alignment horizontal="center" wrapText="1"/>
    </xf>
    <xf numFmtId="0" fontId="1" fillId="0" borderId="0" xfId="0" applyFont="1" applyAlignment="1">
      <alignment wrapText="1"/>
    </xf>
    <xf numFmtId="190" fontId="0" fillId="0" borderId="0" xfId="2" applyNumberFormat="1" applyFont="1"/>
    <xf numFmtId="9" fontId="0" fillId="4" borderId="0" xfId="1" applyNumberFormat="1" applyFont="1" applyFill="1"/>
    <xf numFmtId="0" fontId="1" fillId="0" borderId="0" xfId="0" applyFont="1" applyAlignment="1">
      <alignment horizontal="left" indent="1"/>
    </xf>
    <xf numFmtId="9" fontId="1" fillId="4" borderId="0" xfId="0" applyNumberFormat="1" applyFont="1" applyFill="1"/>
    <xf numFmtId="187" fontId="1" fillId="4" borderId="0" xfId="2" applyNumberFormat="1" applyFill="1"/>
    <xf numFmtId="187" fontId="0" fillId="4" borderId="0" xfId="2" applyNumberFormat="1" applyFont="1" applyFill="1"/>
    <xf numFmtId="0" fontId="3" fillId="0" borderId="0" xfId="0" applyFont="1" applyAlignment="1">
      <alignment horizontal="center" wrapText="1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2" fillId="5" borderId="0" xfId="0" applyFont="1" applyFill="1" applyAlignment="1">
      <alignment horizontal="center"/>
    </xf>
    <xf numFmtId="0" fontId="3" fillId="0" borderId="0" xfId="3" applyFont="1" applyAlignment="1">
      <alignment horizontal="center" vertical="center" wrapText="1"/>
    </xf>
    <xf numFmtId="0" fontId="2" fillId="3" borderId="0" xfId="3" applyFont="1" applyFill="1" applyAlignment="1">
      <alignment horizontal="center"/>
    </xf>
    <xf numFmtId="0" fontId="3" fillId="0" borderId="0" xfId="0" applyFont="1" applyAlignment="1">
      <alignment horizontal="center"/>
    </xf>
    <xf numFmtId="196" fontId="0" fillId="4" borderId="0" xfId="0" applyNumberFormat="1" applyFill="1"/>
  </cellXfs>
  <cellStyles count="4">
    <cellStyle name="Normal 2" xfId="3" xr:uid="{00000000-0005-0000-0000-000002000000}"/>
    <cellStyle name="百分比" xfId="2" builtinId="5"/>
    <cellStyle name="常规" xfId="0" builtinId="0"/>
    <cellStyle name="千位分隔" xfId="1" builtin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8D7-48D7-88EC-3ABA2BD24325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F8D7-48D7-88EC-3ABA2BD24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081600"/>
        <c:axId val="223083520"/>
      </c:scatterChart>
      <c:valAx>
        <c:axId val="223081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23083520"/>
        <c:crosses val="autoZero"/>
        <c:crossBetween val="midCat"/>
      </c:valAx>
      <c:valAx>
        <c:axId val="2230835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2308160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 1 template'!$C$48:$C$58</c:f>
              <c:numCache>
                <c:formatCode>General</c:formatCode>
                <c:ptCount val="11"/>
                <c:pt idx="0">
                  <c:v>0.28621578293649669</c:v>
                </c:pt>
                <c:pt idx="1">
                  <c:v>0.26347237945986962</c:v>
                </c:pt>
                <c:pt idx="2">
                  <c:v>0.25727241501403797</c:v>
                </c:pt>
                <c:pt idx="3">
                  <c:v>0.26876323552279469</c:v>
                </c:pt>
                <c:pt idx="4">
                  <c:v>0.29589092325183464</c:v>
                </c:pt>
                <c:pt idx="5">
                  <c:v>0.33487666477313849</c:v>
                </c:pt>
                <c:pt idx="6">
                  <c:v>0.38210797323394718</c:v>
                </c:pt>
                <c:pt idx="7">
                  <c:v>0.43490666384977911</c:v>
                </c:pt>
                <c:pt idx="8">
                  <c:v>0.49148172882168345</c:v>
                </c:pt>
                <c:pt idx="9">
                  <c:v>0.55067045837122308</c:v>
                </c:pt>
                <c:pt idx="10">
                  <c:v>0.61171463782764823</c:v>
                </c:pt>
              </c:numCache>
            </c:numRef>
          </c:xVal>
          <c:yVal>
            <c:numRef>
              <c:f>'Exercise 1 template'!$B$48:$B$58</c:f>
              <c:numCache>
                <c:formatCode>General</c:formatCode>
                <c:ptCount val="11"/>
                <c:pt idx="0">
                  <c:v>0.2037360556904706</c:v>
                </c:pt>
                <c:pt idx="1">
                  <c:v>0.19693063503983257</c:v>
                </c:pt>
                <c:pt idx="2">
                  <c:v>0.19012521438919452</c:v>
                </c:pt>
                <c:pt idx="3">
                  <c:v>0.18331979373855647</c:v>
                </c:pt>
                <c:pt idx="4">
                  <c:v>0.17651437308791848</c:v>
                </c:pt>
                <c:pt idx="5">
                  <c:v>0.16970895243728043</c:v>
                </c:pt>
                <c:pt idx="6">
                  <c:v>0.16290353178664241</c:v>
                </c:pt>
                <c:pt idx="7">
                  <c:v>0.15609811113600444</c:v>
                </c:pt>
                <c:pt idx="8">
                  <c:v>0.14929269048536634</c:v>
                </c:pt>
                <c:pt idx="9">
                  <c:v>0.14248726983472829</c:v>
                </c:pt>
                <c:pt idx="10">
                  <c:v>0.13568184918409029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B7-A148-9CAD-3781CED69D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990416"/>
        <c:axId val="450992144"/>
      </c:scatterChart>
      <c:valAx>
        <c:axId val="450990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50992144"/>
        <c:crosses val="autoZero"/>
        <c:crossBetween val="midCat"/>
      </c:valAx>
      <c:valAx>
        <c:axId val="45099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50990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3.5745797744304711E-2"/>
                  <c:y val="-0.329287274574549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xVal>
            <c:numRef>
              <c:f>'Exercise 7 template'!$B$3:$B$12</c:f>
              <c:numCache>
                <c:formatCode>0.00%</c:formatCode>
                <c:ptCount val="10"/>
                <c:pt idx="0">
                  <c:v>1.1291866028708135</c:v>
                </c:pt>
                <c:pt idx="1">
                  <c:v>-0.52921348314606731</c:v>
                </c:pt>
                <c:pt idx="2">
                  <c:v>-0.43436754176610981</c:v>
                </c:pt>
                <c:pt idx="3">
                  <c:v>-5.9071729957805963E-2</c:v>
                </c:pt>
                <c:pt idx="4">
                  <c:v>-5.8295964125560484E-2</c:v>
                </c:pt>
                <c:pt idx="5">
                  <c:v>0.53333333333333344</c:v>
                </c:pt>
                <c:pt idx="6">
                  <c:v>-0.48136645962732927</c:v>
                </c:pt>
                <c:pt idx="7">
                  <c:v>-0.11377245508982037</c:v>
                </c:pt>
                <c:pt idx="8">
                  <c:v>4.7297297297297369E-2</c:v>
                </c:pt>
                <c:pt idx="9">
                  <c:v>-0.32903225806451608</c:v>
                </c:pt>
              </c:numCache>
            </c:numRef>
          </c:xVal>
          <c:yVal>
            <c:numRef>
              <c:f>'Exercise 7 template'!$C$3:$C$12</c:f>
              <c:numCache>
                <c:formatCode>0.00%</c:formatCode>
                <c:ptCount val="10"/>
                <c:pt idx="0">
                  <c:v>-9.3283582089553896E-3</c:v>
                </c:pt>
                <c:pt idx="1">
                  <c:v>0.15819209039548032</c:v>
                </c:pt>
                <c:pt idx="2">
                  <c:v>0.20853658536585362</c:v>
                </c:pt>
                <c:pt idx="3">
                  <c:v>-0.44365960309451735</c:v>
                </c:pt>
                <c:pt idx="4">
                  <c:v>0.60399032648125761</c:v>
                </c:pt>
                <c:pt idx="5">
                  <c:v>-6.5209197135318475E-2</c:v>
                </c:pt>
                <c:pt idx="6">
                  <c:v>-4.5161290322580649E-2</c:v>
                </c:pt>
                <c:pt idx="7">
                  <c:v>5.8277027027026973E-2</c:v>
                </c:pt>
                <c:pt idx="8">
                  <c:v>0.44293695131683952</c:v>
                </c:pt>
                <c:pt idx="9">
                  <c:v>0.27544247787610621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FB-4942-B106-D17696510A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5173408"/>
        <c:axId val="289864927"/>
      </c:scatterChart>
      <c:valAx>
        <c:axId val="1825173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89864927"/>
        <c:crosses val="autoZero"/>
        <c:crossBetween val="midCat"/>
      </c:valAx>
      <c:valAx>
        <c:axId val="289864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25173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 10 template'!$C$17:$C$27</c:f>
              <c:numCache>
                <c:formatCode>0.00%</c:formatCode>
                <c:ptCount val="11"/>
                <c:pt idx="0">
                  <c:v>0.46</c:v>
                </c:pt>
                <c:pt idx="1">
                  <c:v>0.43365308715608153</c:v>
                </c:pt>
                <c:pt idx="2">
                  <c:v>0.40921876789805234</c:v>
                </c:pt>
                <c:pt idx="3">
                  <c:v>0.38705942696180384</c:v>
                </c:pt>
                <c:pt idx="4">
                  <c:v>0.36758672446104473</c:v>
                </c:pt>
                <c:pt idx="5" formatCode="0.000%">
                  <c:v>0.35124777579366961</c:v>
                </c:pt>
                <c:pt idx="6">
                  <c:v>0.33849667649771692</c:v>
                </c:pt>
                <c:pt idx="7">
                  <c:v>0.32974990523122216</c:v>
                </c:pt>
                <c:pt idx="8">
                  <c:v>0.32533060108142303</c:v>
                </c:pt>
                <c:pt idx="9">
                  <c:v>0.32541511950123031</c:v>
                </c:pt>
                <c:pt idx="10">
                  <c:v>0.33</c:v>
                </c:pt>
              </c:numCache>
            </c:numRef>
          </c:xVal>
          <c:yVal>
            <c:numRef>
              <c:f>'Exercise 10 template'!$B$17:$B$27</c:f>
              <c:numCache>
                <c:formatCode>0.00%</c:formatCode>
                <c:ptCount val="11"/>
                <c:pt idx="0">
                  <c:v>0.25</c:v>
                </c:pt>
                <c:pt idx="1">
                  <c:v>0.24</c:v>
                </c:pt>
                <c:pt idx="2">
                  <c:v>0.23</c:v>
                </c:pt>
                <c:pt idx="3">
                  <c:v>0.21999999999999997</c:v>
                </c:pt>
                <c:pt idx="4">
                  <c:v>0.21</c:v>
                </c:pt>
                <c:pt idx="5">
                  <c:v>0.2</c:v>
                </c:pt>
                <c:pt idx="6">
                  <c:v>0.19</c:v>
                </c:pt>
                <c:pt idx="7">
                  <c:v>0.18</c:v>
                </c:pt>
                <c:pt idx="8">
                  <c:v>0.16999999999999998</c:v>
                </c:pt>
                <c:pt idx="9">
                  <c:v>0.16</c:v>
                </c:pt>
                <c:pt idx="10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A7-C647-98AC-421657266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371631"/>
        <c:axId val="268791951"/>
      </c:scatterChart>
      <c:valAx>
        <c:axId val="2693716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68791951"/>
        <c:crosses val="autoZero"/>
        <c:crossBetween val="midCat"/>
      </c:valAx>
      <c:valAx>
        <c:axId val="26879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693716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 14 template'!$H$2:$H$22</c:f>
              <c:numCache>
                <c:formatCode>General</c:formatCode>
                <c:ptCount val="21"/>
                <c:pt idx="0">
                  <c:v>0.21213203435596426</c:v>
                </c:pt>
                <c:pt idx="1">
                  <c:v>0.20173621390320576</c:v>
                </c:pt>
                <c:pt idx="2">
                  <c:v>0.19284708968506628</c:v>
                </c:pt>
                <c:pt idx="3">
                  <c:v>0.18568117836765252</c:v>
                </c:pt>
                <c:pt idx="4">
                  <c:v>0.18044389709823938</c:v>
                </c:pt>
                <c:pt idx="5">
                  <c:v>0.17730623226497144</c:v>
                </c:pt>
                <c:pt idx="6">
                  <c:v>0.17638027100557474</c:v>
                </c:pt>
                <c:pt idx="7">
                  <c:v>0.17770059088252915</c:v>
                </c:pt>
                <c:pt idx="8">
                  <c:v>0.18121810064118871</c:v>
                </c:pt>
                <c:pt idx="9">
                  <c:v>0.18680872570626889</c:v>
                </c:pt>
                <c:pt idx="10">
                  <c:v>0.19429359227725448</c:v>
                </c:pt>
                <c:pt idx="11">
                  <c:v>0.20346375598617067</c:v>
                </c:pt>
                <c:pt idx="12">
                  <c:v>0.21410277905716216</c:v>
                </c:pt>
                <c:pt idx="13">
                  <c:v>0.2260033185597061</c:v>
                </c:pt>
                <c:pt idx="14">
                  <c:v>0.2389769863396892</c:v>
                </c:pt>
                <c:pt idx="15">
                  <c:v>0.25285865616980563</c:v>
                </c:pt>
                <c:pt idx="16">
                  <c:v>0.26750700925396331</c:v>
                </c:pt>
                <c:pt idx="17">
                  <c:v>0.28280293492112135</c:v>
                </c:pt>
                <c:pt idx="18">
                  <c:v>0.29864694875387565</c:v>
                </c:pt>
                <c:pt idx="19">
                  <c:v>0.31495634618149865</c:v>
                </c:pt>
                <c:pt idx="20">
                  <c:v>0.33166247903553997</c:v>
                </c:pt>
              </c:numCache>
            </c:numRef>
          </c:xVal>
          <c:yVal>
            <c:numRef>
              <c:f>'Exercise 14 template'!$G$2:$G$22</c:f>
              <c:numCache>
                <c:formatCode>General</c:formatCode>
                <c:ptCount val="21"/>
                <c:pt idx="0">
                  <c:v>0.14000000000000001</c:v>
                </c:pt>
                <c:pt idx="1">
                  <c:v>0.14350000000000002</c:v>
                </c:pt>
                <c:pt idx="2">
                  <c:v>0.14700000000000002</c:v>
                </c:pt>
                <c:pt idx="3">
                  <c:v>0.15050000000000002</c:v>
                </c:pt>
                <c:pt idx="4">
                  <c:v>0.15400000000000003</c:v>
                </c:pt>
                <c:pt idx="5">
                  <c:v>0.1575</c:v>
                </c:pt>
                <c:pt idx="6">
                  <c:v>0.161</c:v>
                </c:pt>
                <c:pt idx="7">
                  <c:v>0.16450000000000001</c:v>
                </c:pt>
                <c:pt idx="8">
                  <c:v>0.16800000000000001</c:v>
                </c:pt>
                <c:pt idx="9">
                  <c:v>0.17150000000000001</c:v>
                </c:pt>
                <c:pt idx="10">
                  <c:v>0.17499999999999999</c:v>
                </c:pt>
                <c:pt idx="11">
                  <c:v>0.17849999999999999</c:v>
                </c:pt>
                <c:pt idx="12">
                  <c:v>0.182</c:v>
                </c:pt>
                <c:pt idx="13">
                  <c:v>0.1855</c:v>
                </c:pt>
                <c:pt idx="14">
                  <c:v>0.189</c:v>
                </c:pt>
                <c:pt idx="15">
                  <c:v>0.1925</c:v>
                </c:pt>
                <c:pt idx="16">
                  <c:v>0.19600000000000001</c:v>
                </c:pt>
                <c:pt idx="17">
                  <c:v>0.19950000000000001</c:v>
                </c:pt>
                <c:pt idx="18">
                  <c:v>0.20300000000000001</c:v>
                </c:pt>
                <c:pt idx="19">
                  <c:v>0.20649999999999999</c:v>
                </c:pt>
                <c:pt idx="20">
                  <c:v>0.21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33-A341-BE91-F1B98A9040D0}"/>
            </c:ext>
          </c:extLst>
        </c:ser>
        <c:ser>
          <c:idx val="1"/>
          <c:order val="1"/>
          <c:tx>
            <c:v>ef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'Exercise 14 template'!$J$7:$J$22</c:f>
              <c:numCache>
                <c:formatCode>General</c:formatCode>
                <c:ptCount val="16"/>
                <c:pt idx="0" formatCode="0.00%">
                  <c:v>0.17637153466189975</c:v>
                </c:pt>
                <c:pt idx="1">
                  <c:v>0.17638027100557474</c:v>
                </c:pt>
                <c:pt idx="2">
                  <c:v>0.17770059088252915</c:v>
                </c:pt>
                <c:pt idx="3">
                  <c:v>0.18121810064118871</c:v>
                </c:pt>
                <c:pt idx="4">
                  <c:v>0.18680872570626889</c:v>
                </c:pt>
                <c:pt idx="5">
                  <c:v>0.19429359227725448</c:v>
                </c:pt>
                <c:pt idx="6">
                  <c:v>0.20346375598617067</c:v>
                </c:pt>
                <c:pt idx="7">
                  <c:v>0.21410277905716216</c:v>
                </c:pt>
                <c:pt idx="8">
                  <c:v>0.2260033185597061</c:v>
                </c:pt>
                <c:pt idx="9">
                  <c:v>0.2389769863396892</c:v>
                </c:pt>
                <c:pt idx="10">
                  <c:v>0.25285865616980563</c:v>
                </c:pt>
                <c:pt idx="11">
                  <c:v>0.26750700925396331</c:v>
                </c:pt>
                <c:pt idx="12">
                  <c:v>0.28280293492112135</c:v>
                </c:pt>
                <c:pt idx="13">
                  <c:v>0.29864694875387565</c:v>
                </c:pt>
                <c:pt idx="14">
                  <c:v>0.31495634618149865</c:v>
                </c:pt>
                <c:pt idx="15">
                  <c:v>0.33166247903553997</c:v>
                </c:pt>
              </c:numCache>
            </c:numRef>
          </c:xVal>
          <c:yVal>
            <c:numRef>
              <c:f>'Exercise 14 template'!$I$7:$I$22</c:f>
              <c:numCache>
                <c:formatCode>General</c:formatCode>
                <c:ptCount val="16"/>
                <c:pt idx="0" formatCode="0.00%">
                  <c:v>0.16069182385619674</c:v>
                </c:pt>
                <c:pt idx="1">
                  <c:v>0.161</c:v>
                </c:pt>
                <c:pt idx="2">
                  <c:v>0.16450000000000001</c:v>
                </c:pt>
                <c:pt idx="3">
                  <c:v>0.16800000000000001</c:v>
                </c:pt>
                <c:pt idx="4">
                  <c:v>0.17150000000000001</c:v>
                </c:pt>
                <c:pt idx="5">
                  <c:v>0.17499999999999999</c:v>
                </c:pt>
                <c:pt idx="6">
                  <c:v>0.17849999999999999</c:v>
                </c:pt>
                <c:pt idx="7">
                  <c:v>0.182</c:v>
                </c:pt>
                <c:pt idx="8">
                  <c:v>0.1855</c:v>
                </c:pt>
                <c:pt idx="9">
                  <c:v>0.189</c:v>
                </c:pt>
                <c:pt idx="10">
                  <c:v>0.1925</c:v>
                </c:pt>
                <c:pt idx="11">
                  <c:v>0.19600000000000001</c:v>
                </c:pt>
                <c:pt idx="12">
                  <c:v>0.19950000000000001</c:v>
                </c:pt>
                <c:pt idx="13">
                  <c:v>0.20300000000000001</c:v>
                </c:pt>
                <c:pt idx="14">
                  <c:v>0.20649999999999999</c:v>
                </c:pt>
                <c:pt idx="15">
                  <c:v>0.21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33-A341-BE91-F1B98A9040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7242463"/>
        <c:axId val="471801216"/>
      </c:scatterChart>
      <c:valAx>
        <c:axId val="9572424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71801216"/>
        <c:crosses val="autoZero"/>
        <c:crossBetween val="midCat"/>
      </c:valAx>
      <c:valAx>
        <c:axId val="471801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57242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 15 template'!$F$2:$F$22</c:f>
              <c:numCache>
                <c:formatCode>General</c:formatCode>
                <c:ptCount val="21"/>
                <c:pt idx="0">
                  <c:v>0.21213203435596426</c:v>
                </c:pt>
                <c:pt idx="1">
                  <c:v>0.18494230868638903</c:v>
                </c:pt>
                <c:pt idx="2">
                  <c:v>0.15775258301681383</c:v>
                </c:pt>
                <c:pt idx="3">
                  <c:v>0.13056285734723858</c:v>
                </c:pt>
                <c:pt idx="4">
                  <c:v>0.10337313167766343</c:v>
                </c:pt>
                <c:pt idx="5">
                  <c:v>7.6183406008088192E-2</c:v>
                </c:pt>
                <c:pt idx="6">
                  <c:v>4.8993680338512903E-2</c:v>
                </c:pt>
                <c:pt idx="7">
                  <c:v>2.1803954668937867E-2</c:v>
                </c:pt>
                <c:pt idx="8">
                  <c:v>5.3857710006379187E-3</c:v>
                </c:pt>
                <c:pt idx="9">
                  <c:v>3.2575496670212631E-2</c:v>
                </c:pt>
                <c:pt idx="10">
                  <c:v>5.976522233978785E-2</c:v>
                </c:pt>
                <c:pt idx="11">
                  <c:v>8.6954948009363056E-2</c:v>
                </c:pt>
                <c:pt idx="12">
                  <c:v>0.11414467367893827</c:v>
                </c:pt>
                <c:pt idx="13">
                  <c:v>0.1413343993485135</c:v>
                </c:pt>
                <c:pt idx="14">
                  <c:v>0.16852412501808869</c:v>
                </c:pt>
                <c:pt idx="15">
                  <c:v>0.19571385068766392</c:v>
                </c:pt>
                <c:pt idx="16">
                  <c:v>0.22290357635723917</c:v>
                </c:pt>
                <c:pt idx="17">
                  <c:v>0.25009330202681435</c:v>
                </c:pt>
                <c:pt idx="18">
                  <c:v>0.27728302769638957</c:v>
                </c:pt>
                <c:pt idx="19">
                  <c:v>0.3044727533659648</c:v>
                </c:pt>
                <c:pt idx="20">
                  <c:v>0.33166247903553997</c:v>
                </c:pt>
              </c:numCache>
            </c:numRef>
          </c:xVal>
          <c:yVal>
            <c:numRef>
              <c:f>'Exercise 15 template'!$G$2:$G$22</c:f>
              <c:numCache>
                <c:formatCode>General</c:formatCode>
                <c:ptCount val="21"/>
                <c:pt idx="0">
                  <c:v>0.14000000000000001</c:v>
                </c:pt>
                <c:pt idx="1">
                  <c:v>0.14350000000000002</c:v>
                </c:pt>
                <c:pt idx="2">
                  <c:v>0.14700000000000002</c:v>
                </c:pt>
                <c:pt idx="3">
                  <c:v>0.15050000000000002</c:v>
                </c:pt>
                <c:pt idx="4">
                  <c:v>0.15400000000000003</c:v>
                </c:pt>
                <c:pt idx="5">
                  <c:v>0.1575</c:v>
                </c:pt>
                <c:pt idx="6">
                  <c:v>0.161</c:v>
                </c:pt>
                <c:pt idx="7">
                  <c:v>0.16450000000000001</c:v>
                </c:pt>
                <c:pt idx="8">
                  <c:v>0.16800000000000001</c:v>
                </c:pt>
                <c:pt idx="9">
                  <c:v>0.17150000000000001</c:v>
                </c:pt>
                <c:pt idx="10">
                  <c:v>0.17499999999999999</c:v>
                </c:pt>
                <c:pt idx="11">
                  <c:v>0.17849999999999999</c:v>
                </c:pt>
                <c:pt idx="12">
                  <c:v>0.182</c:v>
                </c:pt>
                <c:pt idx="13">
                  <c:v>0.1855</c:v>
                </c:pt>
                <c:pt idx="14">
                  <c:v>0.189</c:v>
                </c:pt>
                <c:pt idx="15">
                  <c:v>0.1925</c:v>
                </c:pt>
                <c:pt idx="16">
                  <c:v>0.19600000000000001</c:v>
                </c:pt>
                <c:pt idx="17">
                  <c:v>0.19950000000000001</c:v>
                </c:pt>
                <c:pt idx="18">
                  <c:v>0.20300000000000001</c:v>
                </c:pt>
                <c:pt idx="19">
                  <c:v>0.20649999999999999</c:v>
                </c:pt>
                <c:pt idx="20">
                  <c:v>0.21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F1-EC48-9FF0-C59DF6AED529}"/>
            </c:ext>
          </c:extLst>
        </c:ser>
        <c:ser>
          <c:idx val="1"/>
          <c:order val="1"/>
          <c:tx>
            <c:v>ef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'Exercise 15 template'!$H$9:$H$22</c:f>
              <c:numCache>
                <c:formatCode>General</c:formatCode>
                <c:ptCount val="14"/>
                <c:pt idx="0">
                  <c:v>2.2660056241967601E-8</c:v>
                </c:pt>
                <c:pt idx="1">
                  <c:v>5.3857710006379187E-3</c:v>
                </c:pt>
                <c:pt idx="2">
                  <c:v>3.2575496670212631E-2</c:v>
                </c:pt>
                <c:pt idx="3">
                  <c:v>5.976522233978785E-2</c:v>
                </c:pt>
                <c:pt idx="4">
                  <c:v>8.6954948009363056E-2</c:v>
                </c:pt>
                <c:pt idx="5">
                  <c:v>0.11414467367893827</c:v>
                </c:pt>
                <c:pt idx="6">
                  <c:v>0.1413343993485135</c:v>
                </c:pt>
                <c:pt idx="7">
                  <c:v>0.16852412501808869</c:v>
                </c:pt>
                <c:pt idx="8">
                  <c:v>0.19571385068766392</c:v>
                </c:pt>
                <c:pt idx="9">
                  <c:v>0.22290357635723917</c:v>
                </c:pt>
                <c:pt idx="10">
                  <c:v>0.25009330202681435</c:v>
                </c:pt>
                <c:pt idx="11">
                  <c:v>0.27728302769638957</c:v>
                </c:pt>
                <c:pt idx="12">
                  <c:v>0.3044727533659648</c:v>
                </c:pt>
                <c:pt idx="13">
                  <c:v>0.33166247903553997</c:v>
                </c:pt>
              </c:numCache>
            </c:numRef>
          </c:xVal>
          <c:yVal>
            <c:numRef>
              <c:f>'Exercise 15 template'!$I$9:$I$22</c:f>
              <c:numCache>
                <c:formatCode>General</c:formatCode>
                <c:ptCount val="14"/>
                <c:pt idx="0" formatCode="0.000%">
                  <c:v>0.1673067131778723</c:v>
                </c:pt>
                <c:pt idx="1">
                  <c:v>0.16800000000000001</c:v>
                </c:pt>
                <c:pt idx="2">
                  <c:v>0.17150000000000001</c:v>
                </c:pt>
                <c:pt idx="3">
                  <c:v>0.17499999999999999</c:v>
                </c:pt>
                <c:pt idx="4">
                  <c:v>0.17849999999999999</c:v>
                </c:pt>
                <c:pt idx="5">
                  <c:v>0.182</c:v>
                </c:pt>
                <c:pt idx="6">
                  <c:v>0.1855</c:v>
                </c:pt>
                <c:pt idx="7">
                  <c:v>0.189</c:v>
                </c:pt>
                <c:pt idx="8">
                  <c:v>0.1925</c:v>
                </c:pt>
                <c:pt idx="9">
                  <c:v>0.19600000000000001</c:v>
                </c:pt>
                <c:pt idx="10">
                  <c:v>0.19950000000000001</c:v>
                </c:pt>
                <c:pt idx="11">
                  <c:v>0.20300000000000001</c:v>
                </c:pt>
                <c:pt idx="12">
                  <c:v>0.20649999999999999</c:v>
                </c:pt>
                <c:pt idx="13">
                  <c:v>0.21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F1-EC48-9FF0-C59DF6AED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4094175"/>
        <c:axId val="1514095903"/>
      </c:scatterChart>
      <c:valAx>
        <c:axId val="15140941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14095903"/>
        <c:crosses val="autoZero"/>
        <c:crossBetween val="midCat"/>
      </c:valAx>
      <c:valAx>
        <c:axId val="1514095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140941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 16 template'!$F$2:$F$22</c:f>
              <c:numCache>
                <c:formatCode>General</c:formatCode>
                <c:ptCount val="21"/>
                <c:pt idx="0">
                  <c:v>0.37986839826445157</c:v>
                </c:pt>
                <c:pt idx="1">
                  <c:v>0.35376015886473144</c:v>
                </c:pt>
                <c:pt idx="2">
                  <c:v>0.3280015243867016</c:v>
                </c:pt>
                <c:pt idx="3">
                  <c:v>0.30268176357355919</c:v>
                </c:pt>
                <c:pt idx="4">
                  <c:v>0.27792085204244754</c:v>
                </c:pt>
                <c:pt idx="5">
                  <c:v>0.25388235464482367</c:v>
                </c:pt>
                <c:pt idx="6">
                  <c:v>0.23079211425003238</c:v>
                </c:pt>
                <c:pt idx="7">
                  <c:v>0.20896470993926228</c:v>
                </c:pt>
                <c:pt idx="8">
                  <c:v>0.18883855538528144</c:v>
                </c:pt>
                <c:pt idx="9">
                  <c:v>0.17101535018822142</c:v>
                </c:pt>
                <c:pt idx="10">
                  <c:v>0.15628499608087784</c:v>
                </c:pt>
                <c:pt idx="11">
                  <c:v>0.14558931966322256</c:v>
                </c:pt>
                <c:pt idx="12">
                  <c:v>0.13985706989637672</c:v>
                </c:pt>
                <c:pt idx="13">
                  <c:v>0.13970057265451707</c:v>
                </c:pt>
                <c:pt idx="14">
                  <c:v>0.14513786549346794</c:v>
                </c:pt>
                <c:pt idx="15">
                  <c:v>0.15558357882501608</c:v>
                </c:pt>
                <c:pt idx="16">
                  <c:v>0.1701176063786462</c:v>
                </c:pt>
                <c:pt idx="17">
                  <c:v>0.18779310423974568</c:v>
                </c:pt>
                <c:pt idx="18">
                  <c:v>0.20781000938357133</c:v>
                </c:pt>
                <c:pt idx="19">
                  <c:v>0.22955663789139269</c:v>
                </c:pt>
                <c:pt idx="20">
                  <c:v>0.25258661880630179</c:v>
                </c:pt>
              </c:numCache>
            </c:numRef>
          </c:xVal>
          <c:yVal>
            <c:numRef>
              <c:f>'Exercise 16 template'!$G$2:$G$22</c:f>
              <c:numCache>
                <c:formatCode>General</c:formatCode>
                <c:ptCount val="21"/>
                <c:pt idx="0">
                  <c:v>0.13</c:v>
                </c:pt>
                <c:pt idx="1">
                  <c:v>0.127</c:v>
                </c:pt>
                <c:pt idx="2">
                  <c:v>0.12400000000000001</c:v>
                </c:pt>
                <c:pt idx="3">
                  <c:v>0.121</c:v>
                </c:pt>
                <c:pt idx="4">
                  <c:v>0.11800000000000001</c:v>
                </c:pt>
                <c:pt idx="5">
                  <c:v>0.115</c:v>
                </c:pt>
                <c:pt idx="6">
                  <c:v>0.112</c:v>
                </c:pt>
                <c:pt idx="7">
                  <c:v>0.10900000000000001</c:v>
                </c:pt>
                <c:pt idx="8">
                  <c:v>0.10600000000000001</c:v>
                </c:pt>
                <c:pt idx="9">
                  <c:v>0.10300000000000001</c:v>
                </c:pt>
                <c:pt idx="10">
                  <c:v>0.1</c:v>
                </c:pt>
                <c:pt idx="11">
                  <c:v>9.7000000000000003E-2</c:v>
                </c:pt>
                <c:pt idx="12">
                  <c:v>9.4E-2</c:v>
                </c:pt>
                <c:pt idx="13">
                  <c:v>9.0999999999999998E-2</c:v>
                </c:pt>
                <c:pt idx="14">
                  <c:v>8.8000000000000009E-2</c:v>
                </c:pt>
                <c:pt idx="15">
                  <c:v>8.5000000000000006E-2</c:v>
                </c:pt>
                <c:pt idx="16">
                  <c:v>8.2000000000000003E-2</c:v>
                </c:pt>
                <c:pt idx="17">
                  <c:v>7.9000000000000015E-2</c:v>
                </c:pt>
                <c:pt idx="18">
                  <c:v>7.6000000000000012E-2</c:v>
                </c:pt>
                <c:pt idx="19">
                  <c:v>7.3000000000000009E-2</c:v>
                </c:pt>
                <c:pt idx="20">
                  <c:v>7.0000000000000007E-2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F5-F24B-ABF0-AE9D84E08B2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'Exercise 16 template'!$H$2</c:f>
              <c:numCache>
                <c:formatCode>General</c:formatCode>
                <c:ptCount val="1"/>
                <c:pt idx="0">
                  <c:v>0.20781000938357133</c:v>
                </c:pt>
              </c:numCache>
            </c:numRef>
          </c:xVal>
          <c:yVal>
            <c:numRef>
              <c:f>'Exercise 16 template'!$I$2</c:f>
              <c:numCache>
                <c:formatCode>General</c:formatCode>
                <c:ptCount val="1"/>
                <c:pt idx="0">
                  <c:v>7.6000000000000012E-2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F5-F24B-ABF0-AE9D84E08B2D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'Exercise 16 template'!$J$2</c:f>
              <c:numCache>
                <c:formatCode>0.000%</c:formatCode>
                <c:ptCount val="1"/>
                <c:pt idx="0">
                  <c:v>0.2078109500009806</c:v>
                </c:pt>
              </c:numCache>
            </c:numRef>
          </c:xVal>
          <c:yVal>
            <c:numRef>
              <c:f>'Exercise 16 template'!$K$2</c:f>
              <c:numCache>
                <c:formatCode>0.000%</c:formatCode>
                <c:ptCount val="1"/>
                <c:pt idx="0">
                  <c:v>0.10883529940959093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F5-F24B-ABF0-AE9D84E08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0553887"/>
        <c:axId val="659838655"/>
      </c:scatterChart>
      <c:valAx>
        <c:axId val="6605538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59838655"/>
        <c:crosses val="autoZero"/>
        <c:crossBetween val="midCat"/>
      </c:valAx>
      <c:valAx>
        <c:axId val="659838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605538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 18 template'!$F$2:$F$22</c:f>
              <c:numCache>
                <c:formatCode>General</c:formatCode>
                <c:ptCount val="21"/>
                <c:pt idx="0">
                  <c:v>0.29284001851892699</c:v>
                </c:pt>
                <c:pt idx="1">
                  <c:v>0.27465540010735923</c:v>
                </c:pt>
                <c:pt idx="2">
                  <c:v>0.25912077024892788</c:v>
                </c:pt>
                <c:pt idx="3">
                  <c:v>0.24673716936237589</c:v>
                </c:pt>
                <c:pt idx="4">
                  <c:v>0.23799697544257556</c:v>
                </c:pt>
                <c:pt idx="5">
                  <c:v>0.23331001328482678</c:v>
                </c:pt>
                <c:pt idx="6">
                  <c:v>0.23292109540016814</c:v>
                </c:pt>
                <c:pt idx="7">
                  <c:v>0.23685139533082433</c:v>
                </c:pt>
                <c:pt idx="8">
                  <c:v>0.2448930433111538</c:v>
                </c:pt>
                <c:pt idx="9">
                  <c:v>0.25665988050050775</c:v>
                </c:pt>
                <c:pt idx="10">
                  <c:v>0.27166828717972802</c:v>
                </c:pt>
                <c:pt idx="11">
                  <c:v>0.28941439954517723</c:v>
                </c:pt>
                <c:pt idx="12">
                  <c:v>0.30942754155588631</c:v>
                </c:pt>
                <c:pt idx="13">
                  <c:v>0.33129712447716797</c:v>
                </c:pt>
                <c:pt idx="14">
                  <c:v>0.35467990964340851</c:v>
                </c:pt>
                <c:pt idx="15">
                  <c:v>0.37929614330595141</c:v>
                </c:pt>
                <c:pt idx="16">
                  <c:v>0.40492093395276224</c:v>
                </c:pt>
                <c:pt idx="17">
                  <c:v>0.4313745861590384</c:v>
                </c:pt>
                <c:pt idx="18">
                  <c:v>0.45851366044959024</c:v>
                </c:pt>
                <c:pt idx="19">
                  <c:v>0.48622339768688483</c:v>
                </c:pt>
                <c:pt idx="20">
                  <c:v>0.51441158667138431</c:v>
                </c:pt>
              </c:numCache>
            </c:numRef>
          </c:xVal>
          <c:yVal>
            <c:numRef>
              <c:f>'Exercise 18 template'!$G$2:$G$22</c:f>
              <c:numCache>
                <c:formatCode>General</c:formatCode>
                <c:ptCount val="21"/>
                <c:pt idx="0">
                  <c:v>0.11840170097011923</c:v>
                </c:pt>
                <c:pt idx="1">
                  <c:v>0.11100510263023444</c:v>
                </c:pt>
                <c:pt idx="2">
                  <c:v>0.10360850429034967</c:v>
                </c:pt>
                <c:pt idx="3">
                  <c:v>9.621190595046486E-2</c:v>
                </c:pt>
                <c:pt idx="4">
                  <c:v>8.8815307610580083E-2</c:v>
                </c:pt>
                <c:pt idx="5">
                  <c:v>8.1418709270695291E-2</c:v>
                </c:pt>
                <c:pt idx="6">
                  <c:v>7.4022110930810514E-2</c:v>
                </c:pt>
                <c:pt idx="7">
                  <c:v>6.6625512590925737E-2</c:v>
                </c:pt>
                <c:pt idx="8">
                  <c:v>5.9228914251040939E-2</c:v>
                </c:pt>
                <c:pt idx="9">
                  <c:v>5.1832315911156161E-2</c:v>
                </c:pt>
                <c:pt idx="10">
                  <c:v>4.443571757127137E-2</c:v>
                </c:pt>
                <c:pt idx="11">
                  <c:v>3.7039119231386572E-2</c:v>
                </c:pt>
                <c:pt idx="12">
                  <c:v>2.9642520891501795E-2</c:v>
                </c:pt>
                <c:pt idx="13">
                  <c:v>2.2245922551617007E-2</c:v>
                </c:pt>
                <c:pt idx="14">
                  <c:v>1.484932421173223E-2</c:v>
                </c:pt>
                <c:pt idx="15">
                  <c:v>7.4527258718474348E-3</c:v>
                </c:pt>
                <c:pt idx="16">
                  <c:v>5.612753196264017E-5</c:v>
                </c:pt>
                <c:pt idx="17">
                  <c:v>-7.3404708079221337E-3</c:v>
                </c:pt>
                <c:pt idx="18">
                  <c:v>-1.4737069147806928E-2</c:v>
                </c:pt>
                <c:pt idx="19">
                  <c:v>-2.2133667487691702E-2</c:v>
                </c:pt>
                <c:pt idx="20">
                  <c:v>-2.9530265827576497E-2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55-0D46-966E-39833DBA523C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'Exercise 18 template'!$B$33</c:f>
              <c:numCache>
                <c:formatCode>0.00%</c:formatCode>
                <c:ptCount val="1"/>
                <c:pt idx="0">
                  <c:v>0.28201326338393429</c:v>
                </c:pt>
              </c:numCache>
            </c:numRef>
          </c:xVal>
          <c:yVal>
            <c:numRef>
              <c:f>'Exercise 18 template'!$B$32</c:f>
              <c:numCache>
                <c:formatCode>0.00%</c:formatCode>
                <c:ptCount val="1"/>
                <c:pt idx="0">
                  <c:v>4.0000000000000022E-2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755-0D46-966E-39833DBA5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2595663"/>
        <c:axId val="1772857535"/>
      </c:scatterChart>
      <c:valAx>
        <c:axId val="1772595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72857535"/>
        <c:crosses val="autoZero"/>
        <c:crossBetween val="midCat"/>
      </c:valAx>
      <c:valAx>
        <c:axId val="1772857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72595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 Appendix template'!$A$51:$A$65</c:f>
              <c:numCache>
                <c:formatCode>#,##0.000</c:formatCode>
                <c:ptCount val="15"/>
                <c:pt idx="0">
                  <c:v>0.20343591492144159</c:v>
                </c:pt>
                <c:pt idx="1">
                  <c:v>0.21343591492144159</c:v>
                </c:pt>
                <c:pt idx="2">
                  <c:v>0.2234359149214416</c:v>
                </c:pt>
                <c:pt idx="3">
                  <c:v>0.23343591492144161</c:v>
                </c:pt>
                <c:pt idx="4">
                  <c:v>0.24343591492144162</c:v>
                </c:pt>
                <c:pt idx="5">
                  <c:v>0.25343591492144163</c:v>
                </c:pt>
                <c:pt idx="6">
                  <c:v>0.26343591492144164</c:v>
                </c:pt>
                <c:pt idx="7">
                  <c:v>0.27343591492144165</c:v>
                </c:pt>
                <c:pt idx="8">
                  <c:v>0.28343591492144166</c:v>
                </c:pt>
                <c:pt idx="9">
                  <c:v>0.29343591492144167</c:v>
                </c:pt>
                <c:pt idx="10">
                  <c:v>0.30343591492144167</c:v>
                </c:pt>
                <c:pt idx="11">
                  <c:v>0.31343591492144168</c:v>
                </c:pt>
                <c:pt idx="12">
                  <c:v>0.32343591492144169</c:v>
                </c:pt>
                <c:pt idx="13">
                  <c:v>0.3334359149214417</c:v>
                </c:pt>
                <c:pt idx="14">
                  <c:v>0.34343591492144171</c:v>
                </c:pt>
              </c:numCache>
            </c:numRef>
          </c:xVal>
          <c:yVal>
            <c:numRef>
              <c:f>'Exercise Appendix template'!$B$51:$B$65</c:f>
              <c:numCache>
                <c:formatCode>#,##0.000</c:formatCode>
                <c:ptCount val="15"/>
                <c:pt idx="0">
                  <c:v>0.18822325342197219</c:v>
                </c:pt>
                <c:pt idx="1">
                  <c:v>0.21160986348101302</c:v>
                </c:pt>
                <c:pt idx="2">
                  <c:v>0.22173825455182861</c:v>
                </c:pt>
                <c:pt idx="3">
                  <c:v>0.22977471055060461</c:v>
                </c:pt>
                <c:pt idx="4">
                  <c:v>0.23676732577420695</c:v>
                </c:pt>
                <c:pt idx="5">
                  <c:v>0.24311538629627627</c:v>
                </c:pt>
                <c:pt idx="6">
                  <c:v>0.24902087193616274</c:v>
                </c:pt>
                <c:pt idx="7">
                  <c:v>0.25460182898669537</c:v>
                </c:pt>
                <c:pt idx="8">
                  <c:v>0.25993390528547355</c:v>
                </c:pt>
                <c:pt idx="9">
                  <c:v>0.26506887982008431</c:v>
                </c:pt>
                <c:pt idx="10">
                  <c:v>0.27004382159911167</c:v>
                </c:pt>
                <c:pt idx="11">
                  <c:v>0.27487008485058873</c:v>
                </c:pt>
                <c:pt idx="12">
                  <c:v>0.27882836088064289</c:v>
                </c:pt>
                <c:pt idx="13">
                  <c:v>0.28206037008146451</c:v>
                </c:pt>
                <c:pt idx="14">
                  <c:v>0.28489323113087861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78-4E35-9788-4A4E59F4E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552832"/>
        <c:axId val="244554752"/>
      </c:scatterChart>
      <c:valAx>
        <c:axId val="244552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4554752"/>
        <c:crosses val="autoZero"/>
        <c:crossBetween val="midCat"/>
      </c:valAx>
      <c:valAx>
        <c:axId val="244554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4552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43</xdr:row>
      <xdr:rowOff>0</xdr:rowOff>
    </xdr:from>
    <xdr:to>
      <xdr:col>3</xdr:col>
      <xdr:colOff>247650</xdr:colOff>
      <xdr:row>43</xdr:row>
      <xdr:rowOff>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00000000-0008-0000-0000-000001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463550</xdr:colOff>
      <xdr:row>42</xdr:row>
      <xdr:rowOff>146050</xdr:rowOff>
    </xdr:from>
    <xdr:to>
      <xdr:col>10</xdr:col>
      <xdr:colOff>120650</xdr:colOff>
      <xdr:row>59</xdr:row>
      <xdr:rowOff>82550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A03898EA-EC21-F642-7D1E-805FB47509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196849</xdr:colOff>
      <xdr:row>16</xdr:row>
      <xdr:rowOff>146050</xdr:rowOff>
    </xdr:from>
    <xdr:to>
      <xdr:col>7</xdr:col>
      <xdr:colOff>2493432</xdr:colOff>
      <xdr:row>46</xdr:row>
      <xdr:rowOff>63500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4B2C288-8AC1-CB0A-39C7-FC3FD4B25D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285749</xdr:colOff>
      <xdr:row>5</xdr:row>
      <xdr:rowOff>112710</xdr:rowOff>
    </xdr:from>
    <xdr:to>
      <xdr:col>12</xdr:col>
      <xdr:colOff>269877</xdr:colOff>
      <xdr:row>26</xdr:row>
      <xdr:rowOff>55562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C2281008-5C71-6A73-2925-75149CAFA0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577850</xdr:colOff>
      <xdr:row>2</xdr:row>
      <xdr:rowOff>158750</xdr:rowOff>
    </xdr:from>
    <xdr:to>
      <xdr:col>21</xdr:col>
      <xdr:colOff>800100</xdr:colOff>
      <xdr:row>36</xdr:row>
      <xdr:rowOff>127000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8D6B9DD3-81AD-B1C9-F66A-6BE5367133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425449</xdr:colOff>
      <xdr:row>9</xdr:row>
      <xdr:rowOff>57150</xdr:rowOff>
    </xdr:from>
    <xdr:to>
      <xdr:col>26</xdr:col>
      <xdr:colOff>118532</xdr:colOff>
      <xdr:row>44</xdr:row>
      <xdr:rowOff>152400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A875C975-7248-62BC-45CF-C66A7324E7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31750</xdr:colOff>
      <xdr:row>5</xdr:row>
      <xdr:rowOff>6350</xdr:rowOff>
    </xdr:from>
    <xdr:to>
      <xdr:col>23</xdr:col>
      <xdr:colOff>762000</xdr:colOff>
      <xdr:row>40</xdr:row>
      <xdr:rowOff>114300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C698DCA7-ABB5-274B-F965-98B5EC22D4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476249</xdr:colOff>
      <xdr:row>1</xdr:row>
      <xdr:rowOff>196850</xdr:rowOff>
    </xdr:from>
    <xdr:to>
      <xdr:col>16</xdr:col>
      <xdr:colOff>529166</xdr:colOff>
      <xdr:row>34</xdr:row>
      <xdr:rowOff>101600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DF297490-A12D-0E2E-8716-47967470C2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815974</xdr:colOff>
      <xdr:row>66</xdr:row>
      <xdr:rowOff>85724</xdr:rowOff>
    </xdr:from>
    <xdr:to>
      <xdr:col>7</xdr:col>
      <xdr:colOff>654049</xdr:colOff>
      <xdr:row>86</xdr:row>
      <xdr:rowOff>57149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60"/>
  <sheetViews>
    <sheetView topLeftCell="A29" workbookViewId="0">
      <selection activeCell="A61" sqref="A61"/>
    </sheetView>
  </sheetViews>
  <sheetFormatPr baseColWidth="10" defaultColWidth="8.83203125" defaultRowHeight="13"/>
  <cols>
    <col min="1" max="1" width="25.5" bestFit="1" customWidth="1"/>
    <col min="2" max="2" width="15" bestFit="1" customWidth="1"/>
    <col min="3" max="3" width="14.83203125" bestFit="1" customWidth="1"/>
    <col min="5" max="5" width="11.5" bestFit="1" customWidth="1"/>
  </cols>
  <sheetData>
    <row r="1" spans="1:6" ht="34.5" customHeight="1">
      <c r="A1" s="72" t="s">
        <v>1</v>
      </c>
      <c r="B1" s="72"/>
      <c r="C1" s="72"/>
      <c r="D1" s="3"/>
    </row>
    <row r="2" spans="1:6" ht="28">
      <c r="A2" s="4" t="s">
        <v>0</v>
      </c>
      <c r="B2" s="1" t="s">
        <v>94</v>
      </c>
      <c r="C2" s="1" t="s">
        <v>95</v>
      </c>
      <c r="D2" s="18" t="s">
        <v>97</v>
      </c>
      <c r="E2" s="18" t="s">
        <v>98</v>
      </c>
      <c r="F2" s="18" t="s">
        <v>107</v>
      </c>
    </row>
    <row r="3" spans="1:6">
      <c r="A3" s="31">
        <v>37621</v>
      </c>
      <c r="B3" s="8">
        <v>1.1000000000000001</v>
      </c>
      <c r="C3" s="8">
        <v>35.630000000000003</v>
      </c>
      <c r="D3" s="7"/>
    </row>
    <row r="4" spans="1:6">
      <c r="A4" s="31">
        <v>37986</v>
      </c>
      <c r="B4" s="8">
        <v>2.4</v>
      </c>
      <c r="C4" s="8">
        <v>47.04</v>
      </c>
      <c r="D4" s="7">
        <f>B4/B3-1</f>
        <v>1.1818181818181817</v>
      </c>
      <c r="E4" s="7">
        <f>C4/C3-1</f>
        <v>0.32023575638506863</v>
      </c>
      <c r="F4" s="2">
        <f>D4*0.5+E4*0.5</f>
        <v>0.75102696910162514</v>
      </c>
    </row>
    <row r="5" spans="1:6">
      <c r="A5" s="31">
        <v>38352</v>
      </c>
      <c r="B5" s="8">
        <v>4.18</v>
      </c>
      <c r="C5" s="8">
        <v>51.58</v>
      </c>
      <c r="D5" s="7">
        <f t="shared" ref="D5:E15" si="0">B5/B4-1</f>
        <v>0.7416666666666667</v>
      </c>
      <c r="E5" s="7">
        <f t="shared" si="0"/>
        <v>9.6513605442176909E-2</v>
      </c>
      <c r="F5" s="2">
        <f t="shared" ref="F5:F15" si="1">D5*0.5+E5*0.5</f>
        <v>0.4190901360544218</v>
      </c>
    </row>
    <row r="6" spans="1:6">
      <c r="A6" s="31">
        <v>38717</v>
      </c>
      <c r="B6" s="8">
        <v>8.9</v>
      </c>
      <c r="C6" s="8">
        <v>45.08</v>
      </c>
      <c r="D6" s="7">
        <f t="shared" si="0"/>
        <v>1.1291866028708135</v>
      </c>
      <c r="E6" s="7">
        <f t="shared" si="0"/>
        <v>-0.12601783637068631</v>
      </c>
      <c r="F6" s="2">
        <f t="shared" si="1"/>
        <v>0.5015843832500636</v>
      </c>
    </row>
    <row r="7" spans="1:6">
      <c r="A7" s="31">
        <v>39082</v>
      </c>
      <c r="B7" s="8">
        <v>4.1900000000000004</v>
      </c>
      <c r="C7" s="8">
        <v>51.49</v>
      </c>
      <c r="D7" s="7">
        <f t="shared" si="0"/>
        <v>-0.52921348314606731</v>
      </c>
      <c r="E7" s="7">
        <f t="shared" si="0"/>
        <v>0.14219165927240462</v>
      </c>
      <c r="F7" s="2">
        <f t="shared" si="1"/>
        <v>-0.19351091193683134</v>
      </c>
    </row>
    <row r="8" spans="1:6">
      <c r="A8" s="31">
        <v>39447</v>
      </c>
      <c r="B8" s="8">
        <v>2.37</v>
      </c>
      <c r="C8" s="8">
        <v>57.9</v>
      </c>
      <c r="D8" s="7">
        <f t="shared" si="0"/>
        <v>-0.43436754176610981</v>
      </c>
      <c r="E8" s="7">
        <f t="shared" si="0"/>
        <v>0.12449019227034364</v>
      </c>
      <c r="F8" s="2">
        <f t="shared" si="1"/>
        <v>-0.15493867474788309</v>
      </c>
    </row>
    <row r="9" spans="1:6">
      <c r="A9" s="31">
        <v>39813</v>
      </c>
      <c r="B9" s="8">
        <v>2.23</v>
      </c>
      <c r="C9" s="8">
        <v>36.26</v>
      </c>
      <c r="D9" s="7">
        <f t="shared" si="0"/>
        <v>-5.9071729957805963E-2</v>
      </c>
      <c r="E9" s="7">
        <f t="shared" si="0"/>
        <v>-0.37374784110535408</v>
      </c>
      <c r="F9" s="2">
        <f t="shared" si="1"/>
        <v>-0.21640978553158002</v>
      </c>
    </row>
    <row r="10" spans="1:6">
      <c r="A10" s="31">
        <v>40178</v>
      </c>
      <c r="B10" s="8">
        <v>2.1</v>
      </c>
      <c r="C10" s="8">
        <v>52.36</v>
      </c>
      <c r="D10" s="7">
        <f t="shared" si="0"/>
        <v>-5.8295964125560484E-2</v>
      </c>
      <c r="E10" s="7">
        <f t="shared" si="0"/>
        <v>0.44401544401544402</v>
      </c>
      <c r="F10" s="2">
        <f t="shared" si="1"/>
        <v>0.19285973994494177</v>
      </c>
    </row>
    <row r="11" spans="1:6">
      <c r="A11" s="31">
        <v>40543</v>
      </c>
      <c r="B11" s="8">
        <v>3.22</v>
      </c>
      <c r="C11" s="8">
        <v>77.61</v>
      </c>
      <c r="D11" s="7">
        <f t="shared" si="0"/>
        <v>0.53333333333333344</v>
      </c>
      <c r="E11" s="7">
        <f t="shared" si="0"/>
        <v>0.48223834988540881</v>
      </c>
      <c r="F11" s="2">
        <f t="shared" si="1"/>
        <v>0.50778584160937112</v>
      </c>
    </row>
    <row r="12" spans="1:6">
      <c r="A12" s="31">
        <v>40908</v>
      </c>
      <c r="B12" s="8">
        <v>1.67</v>
      </c>
      <c r="C12" s="8">
        <v>79.14</v>
      </c>
      <c r="D12" s="7">
        <f t="shared" si="0"/>
        <v>-0.48136645962732927</v>
      </c>
      <c r="E12" s="7">
        <f t="shared" si="0"/>
        <v>1.9713954387321264E-2</v>
      </c>
      <c r="F12" s="2">
        <f t="shared" si="1"/>
        <v>-0.230826252620004</v>
      </c>
    </row>
    <row r="13" spans="1:6">
      <c r="A13" s="31">
        <v>41274</v>
      </c>
      <c r="B13" s="8">
        <v>1.48</v>
      </c>
      <c r="C13" s="8">
        <v>131.13999999999999</v>
      </c>
      <c r="D13" s="7">
        <f t="shared" si="0"/>
        <v>-0.11377245508982037</v>
      </c>
      <c r="E13" s="7">
        <f t="shared" si="0"/>
        <v>0.65706343189284788</v>
      </c>
      <c r="F13" s="2">
        <f t="shared" si="1"/>
        <v>0.27164548840151376</v>
      </c>
    </row>
    <row r="14" spans="1:6">
      <c r="A14" s="31">
        <v>41639</v>
      </c>
      <c r="B14" s="8">
        <v>1.55</v>
      </c>
      <c r="C14" s="8">
        <v>186.62</v>
      </c>
      <c r="D14" s="7">
        <f t="shared" si="0"/>
        <v>4.7297297297297369E-2</v>
      </c>
      <c r="E14" s="7">
        <f t="shared" si="0"/>
        <v>0.42305932591124007</v>
      </c>
      <c r="F14" s="2">
        <f t="shared" si="1"/>
        <v>0.23517831160426872</v>
      </c>
    </row>
    <row r="15" spans="1:6">
      <c r="A15" s="31">
        <v>42004</v>
      </c>
      <c r="B15" s="8">
        <v>1.04</v>
      </c>
      <c r="C15" s="8">
        <v>230.49</v>
      </c>
      <c r="D15" s="7">
        <f t="shared" si="0"/>
        <v>-0.32903225806451608</v>
      </c>
      <c r="E15" s="7">
        <f t="shared" si="0"/>
        <v>0.23507662629943193</v>
      </c>
      <c r="F15" s="2">
        <f t="shared" si="1"/>
        <v>-4.6977815882542073E-2</v>
      </c>
    </row>
    <row r="16" spans="1:6">
      <c r="A16" s="31"/>
      <c r="B16" s="6"/>
      <c r="C16" s="6"/>
      <c r="D16" s="7"/>
    </row>
    <row r="17" spans="1:4">
      <c r="A17" s="47" t="s">
        <v>99</v>
      </c>
      <c r="B17" s="6"/>
      <c r="C17" s="6"/>
      <c r="D17" s="7"/>
    </row>
    <row r="18" spans="1:4">
      <c r="A18" s="31"/>
      <c r="B18" s="48" t="s">
        <v>100</v>
      </c>
      <c r="C18" s="48" t="s">
        <v>101</v>
      </c>
      <c r="D18" s="7"/>
    </row>
    <row r="19" spans="1:4">
      <c r="A19" s="49" t="s">
        <v>102</v>
      </c>
      <c r="B19" s="6">
        <f>AVERAGE(D4:D15)</f>
        <v>0.13568184918409029</v>
      </c>
      <c r="C19" s="6">
        <f>AVERAGE(E4:E15)</f>
        <v>0.2037360556904706</v>
      </c>
      <c r="D19" s="7"/>
    </row>
    <row r="20" spans="1:4">
      <c r="A20" s="49" t="s">
        <v>103</v>
      </c>
      <c r="B20" s="6">
        <f>_xlfn.VAR.S(D4:D15)</f>
        <v>0.37419479813261086</v>
      </c>
      <c r="C20" s="6">
        <f>_xlfn.VAR.S(E4:E15)</f>
        <v>8.1919474401951783E-2</v>
      </c>
      <c r="D20" s="7"/>
    </row>
    <row r="21" spans="1:4">
      <c r="A21" s="49" t="s">
        <v>104</v>
      </c>
      <c r="B21" s="6">
        <f>_xlfn.STDEV.S(D4:D15)</f>
        <v>0.61171463782764823</v>
      </c>
      <c r="C21" s="6">
        <f>_xlfn.STDEV.S(E4:E15)</f>
        <v>0.28621578293649669</v>
      </c>
      <c r="D21" s="7"/>
    </row>
    <row r="22" spans="1:4">
      <c r="A22" s="50" t="s">
        <v>105</v>
      </c>
      <c r="B22" s="6">
        <f>_xlfn.COVARIANCE.S(D4:D15,E4:E15)</f>
        <v>-3.7723750481193944E-3</v>
      </c>
      <c r="C22" s="6"/>
      <c r="D22" s="7"/>
    </row>
    <row r="23" spans="1:4">
      <c r="A23" s="50" t="s">
        <v>106</v>
      </c>
      <c r="B23" s="6">
        <f>CORREL(D4:D15,E4:E15)</f>
        <v>-2.1546285593923395E-2</v>
      </c>
      <c r="C23" s="6"/>
      <c r="D23" s="7"/>
    </row>
    <row r="24" spans="1:4">
      <c r="A24" s="5"/>
      <c r="B24" s="6"/>
      <c r="C24" s="6"/>
      <c r="D24" s="7"/>
    </row>
    <row r="25" spans="1:4">
      <c r="A25" s="49" t="s">
        <v>108</v>
      </c>
      <c r="B25" s="6"/>
      <c r="C25" s="6"/>
      <c r="D25" s="7"/>
    </row>
    <row r="26" spans="1:4">
      <c r="A26" s="49" t="s">
        <v>109</v>
      </c>
      <c r="B26" s="6">
        <f>AVERAGE(F4:F15)</f>
        <v>0.16970895243728043</v>
      </c>
      <c r="C26" s="6"/>
      <c r="D26" s="7"/>
    </row>
    <row r="27" spans="1:4">
      <c r="A27" s="50" t="s">
        <v>110</v>
      </c>
      <c r="B27" s="6">
        <f>_xlfn.STDEV.S(F4:F15)</f>
        <v>0.33487666477313849</v>
      </c>
      <c r="C27" s="6"/>
      <c r="D27" s="7"/>
    </row>
    <row r="28" spans="1:4">
      <c r="A28" s="5"/>
      <c r="B28" s="6"/>
      <c r="C28" s="6"/>
      <c r="D28" s="7"/>
    </row>
    <row r="29" spans="1:4">
      <c r="A29" s="49" t="s">
        <v>111</v>
      </c>
      <c r="B29" s="6"/>
      <c r="C29" s="6"/>
      <c r="D29" s="7"/>
    </row>
    <row r="30" spans="1:4">
      <c r="A30" s="49" t="s">
        <v>112</v>
      </c>
      <c r="B30">
        <v>0.5</v>
      </c>
      <c r="C30" s="6"/>
      <c r="D30" s="7"/>
    </row>
    <row r="31" spans="1:4">
      <c r="A31" s="31">
        <f>A4</f>
        <v>37986</v>
      </c>
      <c r="B31">
        <f t="shared" ref="B31:B42" si="2">D4*$B$30+(1-$B$30)*E4</f>
        <v>0.75102696910162514</v>
      </c>
      <c r="C31" s="6"/>
      <c r="D31" s="7"/>
    </row>
    <row r="32" spans="1:4">
      <c r="A32" s="31">
        <f t="shared" ref="A32:A42" si="3">A5</f>
        <v>38352</v>
      </c>
      <c r="B32">
        <f t="shared" si="2"/>
        <v>0.4190901360544218</v>
      </c>
      <c r="C32" s="6"/>
      <c r="D32" s="7"/>
    </row>
    <row r="33" spans="1:4">
      <c r="A33" s="31">
        <f t="shared" si="3"/>
        <v>38717</v>
      </c>
      <c r="B33">
        <f t="shared" si="2"/>
        <v>0.5015843832500636</v>
      </c>
      <c r="C33" s="6"/>
      <c r="D33" s="7"/>
    </row>
    <row r="34" spans="1:4">
      <c r="A34" s="31">
        <f t="shared" si="3"/>
        <v>39082</v>
      </c>
      <c r="B34">
        <f t="shared" si="2"/>
        <v>-0.19351091193683134</v>
      </c>
      <c r="C34" s="6"/>
      <c r="D34" s="7"/>
    </row>
    <row r="35" spans="1:4">
      <c r="A35" s="31">
        <f t="shared" si="3"/>
        <v>39447</v>
      </c>
      <c r="B35">
        <f t="shared" si="2"/>
        <v>-0.15493867474788309</v>
      </c>
      <c r="C35" s="6"/>
      <c r="D35" s="7"/>
    </row>
    <row r="36" spans="1:4">
      <c r="A36" s="31">
        <f t="shared" si="3"/>
        <v>39813</v>
      </c>
      <c r="B36">
        <f t="shared" si="2"/>
        <v>-0.21640978553158002</v>
      </c>
      <c r="C36" s="6"/>
      <c r="D36" s="7"/>
    </row>
    <row r="37" spans="1:4">
      <c r="A37" s="31">
        <f t="shared" si="3"/>
        <v>40178</v>
      </c>
      <c r="B37">
        <f t="shared" si="2"/>
        <v>0.19285973994494177</v>
      </c>
      <c r="C37" s="6"/>
      <c r="D37" s="7"/>
    </row>
    <row r="38" spans="1:4">
      <c r="A38" s="31">
        <f t="shared" si="3"/>
        <v>40543</v>
      </c>
      <c r="B38">
        <f t="shared" si="2"/>
        <v>0.50778584160937112</v>
      </c>
      <c r="C38" s="6"/>
      <c r="D38" s="7"/>
    </row>
    <row r="39" spans="1:4">
      <c r="A39" s="31">
        <f t="shared" si="3"/>
        <v>40908</v>
      </c>
      <c r="B39">
        <f t="shared" si="2"/>
        <v>-0.230826252620004</v>
      </c>
      <c r="C39" s="6"/>
      <c r="D39" s="7"/>
    </row>
    <row r="40" spans="1:4">
      <c r="A40" s="31">
        <f t="shared" si="3"/>
        <v>41274</v>
      </c>
      <c r="B40">
        <f t="shared" si="2"/>
        <v>0.27164548840151376</v>
      </c>
      <c r="C40" s="6"/>
      <c r="D40" s="7"/>
    </row>
    <row r="41" spans="1:4">
      <c r="A41" s="31">
        <f t="shared" si="3"/>
        <v>41639</v>
      </c>
      <c r="B41">
        <f t="shared" si="2"/>
        <v>0.23517831160426872</v>
      </c>
      <c r="C41" s="6"/>
      <c r="D41" s="7"/>
    </row>
    <row r="42" spans="1:4">
      <c r="A42" s="31">
        <f t="shared" si="3"/>
        <v>42004</v>
      </c>
      <c r="B42">
        <f t="shared" si="2"/>
        <v>-4.6977815882542073E-2</v>
      </c>
      <c r="C42" s="6"/>
      <c r="D42" s="7"/>
    </row>
    <row r="44" spans="1:4">
      <c r="A44" s="49" t="s">
        <v>109</v>
      </c>
      <c r="B44">
        <f>AVERAGE(B31:B42)</f>
        <v>0.16970895243728043</v>
      </c>
    </row>
    <row r="45" spans="1:4">
      <c r="A45" s="50" t="s">
        <v>110</v>
      </c>
      <c r="B45">
        <f>_xlfn.STDEV.S(B31:B42)</f>
        <v>0.33487666477313849</v>
      </c>
    </row>
    <row r="47" spans="1:4">
      <c r="B47">
        <f>B44</f>
        <v>0.16970895243728043</v>
      </c>
      <c r="C47">
        <f>B45</f>
        <v>0.33487666477313849</v>
      </c>
    </row>
    <row r="48" spans="1:4">
      <c r="A48">
        <v>0</v>
      </c>
      <c r="B48">
        <f t="dataTable" ref="B48:C58" dt2D="0" dtr="0" r1="B30"/>
        <v>0.2037360556904706</v>
      </c>
      <c r="C48">
        <v>0.28621578293649669</v>
      </c>
    </row>
    <row r="49" spans="1:3">
      <c r="A49">
        <v>0.1</v>
      </c>
      <c r="B49">
        <v>0.19693063503983257</v>
      </c>
      <c r="C49">
        <v>0.26347237945986962</v>
      </c>
    </row>
    <row r="50" spans="1:3">
      <c r="A50">
        <v>0.2</v>
      </c>
      <c r="B50">
        <v>0.19012521438919452</v>
      </c>
      <c r="C50">
        <v>0.25727241501403797</v>
      </c>
    </row>
    <row r="51" spans="1:3">
      <c r="A51">
        <v>0.3</v>
      </c>
      <c r="B51">
        <v>0.18331979373855647</v>
      </c>
      <c r="C51">
        <v>0.26876323552279469</v>
      </c>
    </row>
    <row r="52" spans="1:3">
      <c r="A52">
        <v>0.4</v>
      </c>
      <c r="B52">
        <v>0.17651437308791848</v>
      </c>
      <c r="C52">
        <v>0.29589092325183464</v>
      </c>
    </row>
    <row r="53" spans="1:3">
      <c r="A53">
        <v>0.5</v>
      </c>
      <c r="B53">
        <v>0.16970895243728043</v>
      </c>
      <c r="C53">
        <v>0.33487666477313849</v>
      </c>
    </row>
    <row r="54" spans="1:3">
      <c r="A54">
        <v>0.6</v>
      </c>
      <c r="B54">
        <v>0.16290353178664241</v>
      </c>
      <c r="C54">
        <v>0.38210797323394718</v>
      </c>
    </row>
    <row r="55" spans="1:3">
      <c r="A55">
        <v>0.7</v>
      </c>
      <c r="B55">
        <v>0.15609811113600444</v>
      </c>
      <c r="C55">
        <v>0.43490666384977911</v>
      </c>
    </row>
    <row r="56" spans="1:3">
      <c r="A56">
        <v>0.8</v>
      </c>
      <c r="B56">
        <v>0.14929269048536634</v>
      </c>
      <c r="C56">
        <v>0.49148172882168345</v>
      </c>
    </row>
    <row r="57" spans="1:3">
      <c r="A57">
        <v>0.9</v>
      </c>
      <c r="B57">
        <v>0.14248726983472829</v>
      </c>
      <c r="C57">
        <v>0.55067045837122308</v>
      </c>
    </row>
    <row r="58" spans="1:3">
      <c r="A58">
        <v>1</v>
      </c>
      <c r="B58">
        <v>0.13568184918409029</v>
      </c>
      <c r="C58">
        <v>0.61171463782764823</v>
      </c>
    </row>
    <row r="60" spans="1:3">
      <c r="A60" s="18" t="s">
        <v>113</v>
      </c>
    </row>
  </sheetData>
  <mergeCells count="1">
    <mergeCell ref="A1:C1"/>
  </mergeCells>
  <phoneticPr fontId="0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3BF2B-6C9D-A04B-8C86-75058E09014A}">
  <dimension ref="A1:B7"/>
  <sheetViews>
    <sheetView workbookViewId="0"/>
  </sheetViews>
  <sheetFormatPr baseColWidth="10" defaultRowHeight="13"/>
  <cols>
    <col min="1" max="1" width="16.83203125" bestFit="1" customWidth="1"/>
  </cols>
  <sheetData>
    <row r="1" spans="1:2">
      <c r="A1" s="18" t="s">
        <v>122</v>
      </c>
      <c r="B1" s="18" t="s">
        <v>114</v>
      </c>
    </row>
    <row r="2" spans="1:2">
      <c r="A2" s="11">
        <v>0.5</v>
      </c>
      <c r="B2" s="11">
        <v>0.1</v>
      </c>
    </row>
    <row r="3" spans="1:2">
      <c r="A3" s="11">
        <v>0.5</v>
      </c>
      <c r="B3" s="11">
        <v>-0.1</v>
      </c>
    </row>
    <row r="5" spans="1:2">
      <c r="A5" s="18" t="s">
        <v>114</v>
      </c>
      <c r="B5" s="11">
        <f>B2*A2+B3*A3</f>
        <v>0</v>
      </c>
    </row>
    <row r="6" spans="1:2">
      <c r="A6" s="18" t="s">
        <v>115</v>
      </c>
      <c r="B6">
        <f>_xlfn.VAR.P(B2:B3)</f>
        <v>1.0000000000000002E-2</v>
      </c>
    </row>
    <row r="7" spans="1:2">
      <c r="A7" s="50" t="s">
        <v>110</v>
      </c>
      <c r="B7">
        <f>_xlfn.STDEV.P(B2:B3)</f>
        <v>0.1</v>
      </c>
    </row>
  </sheetData>
  <phoneticPr fontId="7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C9DB0-EB4A-0644-87BD-0277D4CFB0FD}">
  <dimension ref="A1:D13"/>
  <sheetViews>
    <sheetView workbookViewId="0"/>
  </sheetViews>
  <sheetFormatPr baseColWidth="10" defaultRowHeight="13"/>
  <sheetData>
    <row r="1" spans="1:4">
      <c r="A1" s="18" t="s">
        <v>122</v>
      </c>
      <c r="B1" s="18" t="s">
        <v>114</v>
      </c>
    </row>
    <row r="2" spans="1:4">
      <c r="A2" s="11">
        <v>0.25</v>
      </c>
      <c r="B2" s="11">
        <v>0.1</v>
      </c>
    </row>
    <row r="3" spans="1:4">
      <c r="A3" s="11">
        <v>0.5</v>
      </c>
      <c r="B3" s="11">
        <v>0</v>
      </c>
    </row>
    <row r="4" spans="1:4">
      <c r="A4" s="11">
        <v>0.25</v>
      </c>
      <c r="B4" s="11">
        <v>-0.1</v>
      </c>
    </row>
    <row r="7" spans="1:4">
      <c r="A7" s="18" t="s">
        <v>114</v>
      </c>
      <c r="B7" s="11">
        <f>B2*A2+B3*A3+A4*B4</f>
        <v>0</v>
      </c>
    </row>
    <row r="8" spans="1:4">
      <c r="A8" s="18" t="s">
        <v>115</v>
      </c>
      <c r="B8" s="52">
        <f>B2*B2*A2+B3*B3*A3+B4*B4*A4-B7*B7</f>
        <v>5.000000000000001E-3</v>
      </c>
      <c r="D8" s="51"/>
    </row>
    <row r="9" spans="1:4">
      <c r="A9" s="50" t="s">
        <v>110</v>
      </c>
      <c r="B9">
        <f>SQRT(B8)</f>
        <v>7.0710678118654766E-2</v>
      </c>
      <c r="D9" s="51"/>
    </row>
    <row r="10" spans="1:4">
      <c r="D10" s="51"/>
    </row>
    <row r="11" spans="1:4">
      <c r="D11" s="51"/>
    </row>
    <row r="13" spans="1:4">
      <c r="D13" s="2"/>
    </row>
  </sheetData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7F042-F946-304C-BF94-69F7F064282A}">
  <dimension ref="A1:F31"/>
  <sheetViews>
    <sheetView workbookViewId="0">
      <selection activeCell="A32" sqref="A32"/>
    </sheetView>
  </sheetViews>
  <sheetFormatPr baseColWidth="10" defaultRowHeight="13"/>
  <cols>
    <col min="1" max="1" width="16.83203125" bestFit="1" customWidth="1"/>
  </cols>
  <sheetData>
    <row r="1" spans="1:2">
      <c r="A1" s="18" t="s">
        <v>116</v>
      </c>
    </row>
    <row r="2" spans="1:2">
      <c r="A2" s="18" t="s">
        <v>122</v>
      </c>
      <c r="B2" s="18" t="s">
        <v>114</v>
      </c>
    </row>
    <row r="3" spans="1:2">
      <c r="A3" s="11">
        <v>0.5</v>
      </c>
      <c r="B3" s="11">
        <v>0.1</v>
      </c>
    </row>
    <row r="4" spans="1:2">
      <c r="A4" s="11">
        <v>0.5</v>
      </c>
      <c r="B4" s="11">
        <v>-0.1</v>
      </c>
    </row>
    <row r="6" spans="1:2">
      <c r="A6" s="18" t="s">
        <v>114</v>
      </c>
      <c r="B6">
        <f>SUMPRODUCT(B3:B4,A3:A4)</f>
        <v>0</v>
      </c>
    </row>
    <row r="7" spans="1:2">
      <c r="A7" s="18" t="s">
        <v>115</v>
      </c>
      <c r="B7">
        <f>_xlfn.VAR.P(B3:B4)</f>
        <v>1.0000000000000002E-2</v>
      </c>
    </row>
    <row r="8" spans="1:2">
      <c r="A8" s="50" t="s">
        <v>110</v>
      </c>
      <c r="B8">
        <f>_xlfn.STDEV.P(B3:B4)</f>
        <v>0.1</v>
      </c>
    </row>
    <row r="10" spans="1:2">
      <c r="A10" s="18" t="s">
        <v>117</v>
      </c>
    </row>
    <row r="11" spans="1:2">
      <c r="A11" s="18" t="s">
        <v>122</v>
      </c>
      <c r="B11" s="18" t="s">
        <v>114</v>
      </c>
    </row>
    <row r="12" spans="1:2">
      <c r="A12" s="11">
        <v>1</v>
      </c>
      <c r="B12" s="11">
        <v>0</v>
      </c>
    </row>
    <row r="14" spans="1:2">
      <c r="A14" s="18" t="s">
        <v>114</v>
      </c>
      <c r="B14">
        <f>SUMPRODUCT(B12,A12)</f>
        <v>0</v>
      </c>
    </row>
    <row r="15" spans="1:2">
      <c r="A15" s="18" t="s">
        <v>115</v>
      </c>
      <c r="B15">
        <f>_xlfn.VAR.P(B12)</f>
        <v>0</v>
      </c>
    </row>
    <row r="16" spans="1:2">
      <c r="A16" s="50" t="s">
        <v>110</v>
      </c>
      <c r="B16">
        <f>_xlfn.STDEV.P(B12)</f>
        <v>0</v>
      </c>
    </row>
    <row r="18" spans="1:6">
      <c r="A18" s="18" t="s">
        <v>118</v>
      </c>
    </row>
    <row r="19" spans="1:6">
      <c r="A19" s="73" t="s">
        <v>119</v>
      </c>
      <c r="B19" s="73"/>
      <c r="C19" s="73" t="s">
        <v>120</v>
      </c>
      <c r="D19" s="73"/>
      <c r="E19" s="73" t="s">
        <v>121</v>
      </c>
      <c r="F19" s="73"/>
    </row>
    <row r="20" spans="1:6">
      <c r="A20" s="18" t="s">
        <v>122</v>
      </c>
      <c r="B20" s="18" t="s">
        <v>114</v>
      </c>
      <c r="C20" s="18" t="s">
        <v>122</v>
      </c>
      <c r="D20" s="18" t="s">
        <v>114</v>
      </c>
      <c r="E20" s="18" t="s">
        <v>122</v>
      </c>
      <c r="F20" s="18" t="s">
        <v>114</v>
      </c>
    </row>
    <row r="21" spans="1:6">
      <c r="A21" s="11">
        <v>0.5</v>
      </c>
      <c r="B21" s="11">
        <v>0.1</v>
      </c>
      <c r="C21" s="11">
        <v>0.8</v>
      </c>
      <c r="D21" s="11">
        <v>0.1</v>
      </c>
      <c r="E21" s="53">
        <f>A21*C21</f>
        <v>0.4</v>
      </c>
      <c r="F21" s="2">
        <f>(B21+D21)/2</f>
        <v>0.1</v>
      </c>
    </row>
    <row r="22" spans="1:6">
      <c r="A22" s="11">
        <v>0.5</v>
      </c>
      <c r="B22" s="11">
        <v>0.1</v>
      </c>
      <c r="C22" s="11">
        <v>0.2</v>
      </c>
      <c r="D22" s="11">
        <v>-0.1</v>
      </c>
      <c r="E22" s="53">
        <f t="shared" ref="E22:E24" si="0">A22*C22</f>
        <v>0.1</v>
      </c>
      <c r="F22" s="2">
        <f t="shared" ref="F22:F24" si="1">(B22+D22)/2</f>
        <v>0</v>
      </c>
    </row>
    <row r="23" spans="1:6">
      <c r="A23" s="11">
        <v>0.5</v>
      </c>
      <c r="B23" s="11">
        <v>-0.1</v>
      </c>
      <c r="C23" s="11">
        <v>0.4</v>
      </c>
      <c r="D23" s="11">
        <v>0.1</v>
      </c>
      <c r="E23" s="53">
        <f t="shared" si="0"/>
        <v>0.2</v>
      </c>
      <c r="F23" s="2">
        <f t="shared" si="1"/>
        <v>0</v>
      </c>
    </row>
    <row r="24" spans="1:6">
      <c r="A24" s="11">
        <v>0.5</v>
      </c>
      <c r="B24" s="11">
        <v>-0.1</v>
      </c>
      <c r="C24" s="11">
        <v>0.6</v>
      </c>
      <c r="D24" s="11">
        <v>-0.1</v>
      </c>
      <c r="E24" s="53">
        <f t="shared" si="0"/>
        <v>0.3</v>
      </c>
      <c r="F24" s="2">
        <f t="shared" si="1"/>
        <v>-0.1</v>
      </c>
    </row>
    <row r="26" spans="1:6">
      <c r="A26" s="18" t="s">
        <v>114</v>
      </c>
      <c r="B26" s="54">
        <f>SUMPRODUCT(E21:E24,F21:F24)</f>
        <v>1.0000000000000009E-2</v>
      </c>
    </row>
    <row r="27" spans="1:6">
      <c r="A27" s="18" t="s">
        <v>115</v>
      </c>
      <c r="B27" s="52">
        <f>SUMPRODUCT(F21:F24,F21:F24,E21:E24)</f>
        <v>7.000000000000001E-3</v>
      </c>
      <c r="C27" s="56"/>
    </row>
    <row r="28" spans="1:6">
      <c r="A28" s="50" t="s">
        <v>110</v>
      </c>
      <c r="B28">
        <f>SQRT(B27)</f>
        <v>8.3666002653407567E-2</v>
      </c>
    </row>
    <row r="30" spans="1:6">
      <c r="A30" s="18" t="s">
        <v>123</v>
      </c>
    </row>
    <row r="31" spans="1:6">
      <c r="A31" s="18" t="s">
        <v>124</v>
      </c>
    </row>
  </sheetData>
  <mergeCells count="3">
    <mergeCell ref="A19:B19"/>
    <mergeCell ref="C19:D19"/>
    <mergeCell ref="E19:F19"/>
  </mergeCells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27"/>
  <sheetViews>
    <sheetView workbookViewId="0">
      <selection activeCell="B28" sqref="B28"/>
    </sheetView>
  </sheetViews>
  <sheetFormatPr baseColWidth="10" defaultColWidth="8.83203125" defaultRowHeight="13"/>
  <cols>
    <col min="1" max="1" width="23.1640625" customWidth="1"/>
    <col min="2" max="2" width="9.1640625" bestFit="1" customWidth="1"/>
    <col min="6" max="6" width="21.83203125" bestFit="1" customWidth="1"/>
  </cols>
  <sheetData>
    <row r="1" spans="1:6" ht="43.25" customHeight="1">
      <c r="A1" s="74" t="s">
        <v>9</v>
      </c>
      <c r="B1" s="74"/>
      <c r="C1" s="74"/>
      <c r="D1" s="3"/>
      <c r="E1" s="3"/>
      <c r="F1" s="3"/>
    </row>
    <row r="2" spans="1:6">
      <c r="A2" s="12" t="s">
        <v>10</v>
      </c>
    </row>
    <row r="3" spans="1:6">
      <c r="A3" t="s">
        <v>11</v>
      </c>
      <c r="B3">
        <v>0.3</v>
      </c>
    </row>
    <row r="4" spans="1:6">
      <c r="A4" t="s">
        <v>12</v>
      </c>
      <c r="B4">
        <f>1-B3</f>
        <v>0.7</v>
      </c>
      <c r="C4" t="str">
        <f ca="1">getformula(B4)</f>
        <v>&lt;-- =1-B3</v>
      </c>
    </row>
    <row r="6" spans="1:6">
      <c r="A6" s="4" t="s">
        <v>0</v>
      </c>
      <c r="B6" s="75" t="s">
        <v>13</v>
      </c>
      <c r="C6" s="75"/>
      <c r="E6" s="12" t="s">
        <v>14</v>
      </c>
    </row>
    <row r="7" spans="1:6">
      <c r="B7" s="4" t="s">
        <v>15</v>
      </c>
      <c r="C7" s="4" t="s">
        <v>16</v>
      </c>
    </row>
    <row r="8" spans="1:6">
      <c r="A8" s="31">
        <v>38717</v>
      </c>
      <c r="B8" s="7">
        <v>-9.2758827049671533E-3</v>
      </c>
      <c r="C8" s="7">
        <v>-9.3283582089553896E-3</v>
      </c>
      <c r="E8" s="7">
        <f>B8*$B$3+C8*$B$4</f>
        <v>-9.3126155577589187E-3</v>
      </c>
    </row>
    <row r="9" spans="1:6">
      <c r="A9" s="31">
        <v>39082</v>
      </c>
      <c r="B9" s="7">
        <v>0.18604651162790709</v>
      </c>
      <c r="C9" s="7">
        <v>0.15819209039548032</v>
      </c>
      <c r="E9" s="7">
        <f t="shared" ref="E9:E17" si="0">B9*$B$3+C9*$B$4</f>
        <v>0.16654841676520835</v>
      </c>
    </row>
    <row r="10" spans="1:6">
      <c r="A10" s="31">
        <v>39447</v>
      </c>
      <c r="B10" s="7">
        <v>7.1555895085306798E-2</v>
      </c>
      <c r="C10" s="7">
        <v>0.20853658536585362</v>
      </c>
      <c r="E10" s="7">
        <f t="shared" si="0"/>
        <v>0.16744237828168956</v>
      </c>
    </row>
    <row r="11" spans="1:6">
      <c r="A11" s="31">
        <v>39813</v>
      </c>
      <c r="B11" s="7">
        <v>-0.14139733840304169</v>
      </c>
      <c r="C11" s="7">
        <v>-0.44365960309451735</v>
      </c>
      <c r="E11" s="7">
        <f t="shared" si="0"/>
        <v>-0.35298092368707462</v>
      </c>
    </row>
    <row r="12" spans="1:6">
      <c r="A12" s="31">
        <v>40178</v>
      </c>
      <c r="B12" s="7">
        <v>0.25242181013008569</v>
      </c>
      <c r="C12" s="7">
        <v>0.60399032648125761</v>
      </c>
      <c r="E12" s="7">
        <f t="shared" si="0"/>
        <v>0.49851977157590599</v>
      </c>
    </row>
    <row r="13" spans="1:6">
      <c r="A13" s="31">
        <v>40543</v>
      </c>
      <c r="B13" s="7">
        <v>-9.944751381215533E-3</v>
      </c>
      <c r="C13" s="7">
        <v>-6.5209197135318475E-2</v>
      </c>
      <c r="E13" s="7">
        <f t="shared" si="0"/>
        <v>-4.8629863409087586E-2</v>
      </c>
    </row>
    <row r="14" spans="1:6">
      <c r="A14" s="31">
        <v>40908</v>
      </c>
      <c r="B14" s="7">
        <v>2.1875000000000089E-2</v>
      </c>
      <c r="C14" s="7">
        <v>-4.5161290322580649E-2</v>
      </c>
      <c r="E14" s="7">
        <f t="shared" si="0"/>
        <v>-2.5050403225806428E-2</v>
      </c>
    </row>
    <row r="15" spans="1:6">
      <c r="A15" s="31">
        <v>41274</v>
      </c>
      <c r="B15" s="7">
        <v>0.1415465268676277</v>
      </c>
      <c r="C15" s="7">
        <v>5.8277027027026973E-2</v>
      </c>
      <c r="E15" s="7">
        <f t="shared" si="0"/>
        <v>8.3257876979207182E-2</v>
      </c>
    </row>
    <row r="16" spans="1:6">
      <c r="A16" s="31">
        <v>41639</v>
      </c>
      <c r="B16" s="7">
        <v>0.12610026789131279</v>
      </c>
      <c r="C16" s="7">
        <v>0.44293695131683952</v>
      </c>
      <c r="E16" s="7">
        <f t="shared" si="0"/>
        <v>0.34788594628918146</v>
      </c>
    </row>
    <row r="17" spans="1:5">
      <c r="A17" s="31">
        <v>42004</v>
      </c>
      <c r="B17" s="7">
        <v>0.10348343245539504</v>
      </c>
      <c r="C17" s="7">
        <v>0.27544247787610621</v>
      </c>
      <c r="E17" s="7">
        <f t="shared" si="0"/>
        <v>0.22385476424989284</v>
      </c>
    </row>
    <row r="18" spans="1:5">
      <c r="E18" s="7"/>
    </row>
    <row r="19" spans="1:5">
      <c r="A19" t="s">
        <v>2</v>
      </c>
      <c r="B19" s="33">
        <f>AVERAGE(B8:B17)</f>
        <v>7.4241147156841075E-2</v>
      </c>
      <c r="C19" s="33">
        <f>AVERAGE(C8:C17)</f>
        <v>0.11840170097011923</v>
      </c>
      <c r="E19" s="33">
        <f>AVERAGE(E8:E17)</f>
        <v>0.10515353482613579</v>
      </c>
    </row>
    <row r="20" spans="1:5">
      <c r="A20" t="s">
        <v>3</v>
      </c>
      <c r="B20" s="34">
        <f>_xlfn.VAR.S(B8:B17)</f>
        <v>1.2848335795982012E-2</v>
      </c>
      <c r="C20" s="34">
        <f>_xlfn.VAR.S(C8:C17)</f>
        <v>8.5755276446165513E-2</v>
      </c>
      <c r="E20" s="34">
        <f>_xlfn.VAR.S(E8:E17)</f>
        <v>5.5496303750428223E-2</v>
      </c>
    </row>
    <row r="21" spans="1:5">
      <c r="A21" t="s">
        <v>8</v>
      </c>
      <c r="B21" s="33">
        <f>_xlfn.STDEV.S(B8:B17)</f>
        <v>0.11335049976061866</v>
      </c>
      <c r="C21" s="33">
        <f>_xlfn.STDEV.S(C8:C17)</f>
        <v>0.29284001851892699</v>
      </c>
      <c r="E21" s="33">
        <f>_xlfn.STDEV.S(E8:E17)</f>
        <v>0.23557653480435659</v>
      </c>
    </row>
    <row r="22" spans="1:5">
      <c r="A22" t="s">
        <v>17</v>
      </c>
      <c r="B22" s="32">
        <f>_xlfn.COVARIANCE.S(B8:B17,C8:C17)</f>
        <v>2.9333019214687554E-2</v>
      </c>
    </row>
    <row r="24" spans="1:5">
      <c r="A24" s="12" t="s">
        <v>22</v>
      </c>
    </row>
    <row r="25" spans="1:5">
      <c r="A25" s="14" t="s">
        <v>23</v>
      </c>
      <c r="B25" s="15">
        <f>B19*B3+C19*B4</f>
        <v>0.10515353482613579</v>
      </c>
    </row>
    <row r="26" spans="1:5">
      <c r="A26" s="14" t="s">
        <v>18</v>
      </c>
      <c r="B26" s="16">
        <f>B3*B3*B20+B4*B4*C20+2*B3*B4*B22</f>
        <v>5.5496303750428251E-2</v>
      </c>
    </row>
    <row r="27" spans="1:5">
      <c r="A27" s="14" t="s">
        <v>19</v>
      </c>
      <c r="B27" s="15">
        <f>SQRT(B26)</f>
        <v>0.23557653480435664</v>
      </c>
    </row>
  </sheetData>
  <mergeCells count="2">
    <mergeCell ref="A1:C1"/>
    <mergeCell ref="B6:C6"/>
  </mergeCells>
  <phoneticPr fontId="7" type="noConversion"/>
  <printOptions headings="1" gridLines="1"/>
  <pageMargins left="0.74803149606299213" right="0.74803149606299213" top="0.98425196850393704" bottom="0.98425196850393704" header="0.51181102362204722" footer="0.51181102362204722"/>
  <pageSetup paperSize="9" orientation="portrait" horizontalDpi="1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8E10B-0796-E94E-870C-69FAE9E01520}">
  <dimension ref="A1:P34"/>
  <sheetViews>
    <sheetView workbookViewId="0">
      <selection activeCell="B19" sqref="B19"/>
    </sheetView>
  </sheetViews>
  <sheetFormatPr baseColWidth="10" defaultRowHeight="13"/>
  <cols>
    <col min="1" max="1" width="19.1640625" bestFit="1" customWidth="1"/>
    <col min="2" max="3" width="15.83203125" bestFit="1" customWidth="1"/>
  </cols>
  <sheetData>
    <row r="1" spans="1:16">
      <c r="A1" s="18"/>
      <c r="B1" s="18" t="s">
        <v>125</v>
      </c>
      <c r="C1" s="18" t="s">
        <v>126</v>
      </c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</row>
    <row r="2" spans="1:16">
      <c r="A2" s="18" t="s">
        <v>127</v>
      </c>
      <c r="B2" s="18">
        <v>0.25</v>
      </c>
      <c r="C2" s="18">
        <v>0.48</v>
      </c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</row>
    <row r="3" spans="1:16">
      <c r="A3" s="18" t="s">
        <v>128</v>
      </c>
      <c r="B3" s="18">
        <v>0.08</v>
      </c>
      <c r="C3" s="18">
        <v>0.16</v>
      </c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</row>
    <row r="4" spans="1:16">
      <c r="A4" s="18" t="s">
        <v>129</v>
      </c>
      <c r="B4" s="57">
        <v>0.2828</v>
      </c>
      <c r="C4" s="58">
        <v>0.4</v>
      </c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</row>
    <row r="5" spans="1:16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</row>
    <row r="6" spans="1:16">
      <c r="A6" s="18" t="s">
        <v>130</v>
      </c>
      <c r="B6" s="18">
        <v>3.5000000000000001E-3</v>
      </c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</row>
    <row r="7" spans="1:16">
      <c r="A7" s="18" t="s">
        <v>131</v>
      </c>
      <c r="B7" s="18">
        <f>B6/(B4*C4)</f>
        <v>3.094059405940594E-2</v>
      </c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</row>
    <row r="8" spans="1:16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</row>
    <row r="9" spans="1:16">
      <c r="A9" s="18" t="s">
        <v>132</v>
      </c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</row>
    <row r="10" spans="1:16">
      <c r="A10" s="18" t="s">
        <v>133</v>
      </c>
      <c r="B10" s="18">
        <v>0.9</v>
      </c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</row>
    <row r="11" spans="1:16">
      <c r="A11" s="18" t="s">
        <v>134</v>
      </c>
      <c r="B11" s="18">
        <f>1-B10</f>
        <v>9.9999999999999978E-2</v>
      </c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</row>
    <row r="12" spans="1:16">
      <c r="A12" s="18" t="s">
        <v>135</v>
      </c>
      <c r="B12" s="18">
        <f>B10*B2+C2*B11</f>
        <v>0.27300000000000002</v>
      </c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</row>
    <row r="13" spans="1:16">
      <c r="A13" s="18" t="s">
        <v>136</v>
      </c>
      <c r="B13" s="18">
        <f>SQRT(B10^2*B3+B11^2*C3+2*B10*B11*B6)</f>
        <v>0.25890152568109759</v>
      </c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</row>
    <row r="14" spans="1:16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</row>
    <row r="15" spans="1:16">
      <c r="A15" s="18" t="s">
        <v>116</v>
      </c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</row>
    <row r="16" spans="1:16">
      <c r="A16" s="18" t="s">
        <v>133</v>
      </c>
      <c r="B16" s="18">
        <v>0.44334865519114125</v>
      </c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</row>
    <row r="17" spans="1:16">
      <c r="A17" s="18" t="s">
        <v>134</v>
      </c>
      <c r="B17" s="18">
        <f>1-B16</f>
        <v>0.55665134480885881</v>
      </c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</row>
    <row r="18" spans="1:16">
      <c r="A18" s="18" t="s">
        <v>135</v>
      </c>
      <c r="B18" s="18">
        <f>B16*B2+C2*B17</f>
        <v>0.37802980930603752</v>
      </c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</row>
    <row r="19" spans="1:16">
      <c r="A19" s="18" t="s">
        <v>136</v>
      </c>
      <c r="B19" s="18">
        <f>SQRT(B16^2*B3+B17^2*C3+2*B16*B17*B6)</f>
        <v>0.2589013169705876</v>
      </c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</row>
    <row r="20" spans="1:16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</row>
    <row r="21" spans="1:16">
      <c r="A21" s="18" t="s">
        <v>117</v>
      </c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</row>
    <row r="22" spans="1:16">
      <c r="A22" s="18" t="s">
        <v>133</v>
      </c>
      <c r="B22" s="18">
        <v>0.67167381970668882</v>
      </c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</row>
    <row r="23" spans="1:16">
      <c r="A23" s="18" t="s">
        <v>134</v>
      </c>
      <c r="B23" s="18">
        <f>1-B22</f>
        <v>0.32832618029331118</v>
      </c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</row>
    <row r="24" spans="1:16">
      <c r="A24" s="18" t="s">
        <v>135</v>
      </c>
      <c r="B24" s="18">
        <f>B22*B2+C2*B23</f>
        <v>0.32551502146746158</v>
      </c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</row>
    <row r="25" spans="1:16">
      <c r="A25" s="18" t="s">
        <v>136</v>
      </c>
      <c r="B25" s="18">
        <f>SQRT(B22^2*B3+B23^2*C3+2*B22*B23*B6)</f>
        <v>0.234271311112352</v>
      </c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</row>
    <row r="26" spans="1:16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</row>
    <row r="27" spans="1:16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</row>
    <row r="28" spans="1:16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</row>
    <row r="29" spans="1:16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</row>
    <row r="30" spans="1:16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</row>
    <row r="31" spans="1:16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</row>
    <row r="32" spans="1:16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</row>
    <row r="33" spans="1:16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</row>
    <row r="34" spans="1:16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</sheetData>
  <phoneticPr fontId="7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A1:H26"/>
  <sheetViews>
    <sheetView workbookViewId="0">
      <selection activeCell="J33" sqref="J33"/>
    </sheetView>
  </sheetViews>
  <sheetFormatPr baseColWidth="10" defaultColWidth="8.83203125" defaultRowHeight="13"/>
  <cols>
    <col min="1" max="1" width="33" style="19" customWidth="1"/>
    <col min="2" max="3" width="8.6640625" style="19"/>
    <col min="4" max="4" width="26.33203125" style="19" customWidth="1"/>
    <col min="5" max="5" width="8.6640625" style="19"/>
    <col min="6" max="6" width="27.1640625" style="19" bestFit="1" customWidth="1"/>
    <col min="7" max="7" width="15.33203125" style="19" customWidth="1"/>
    <col min="8" max="8" width="35.6640625" style="19" bestFit="1" customWidth="1"/>
    <col min="9" max="256" width="8.6640625" style="19"/>
    <col min="257" max="257" width="32.83203125" style="19" customWidth="1"/>
    <col min="258" max="259" width="8.6640625" style="19"/>
    <col min="260" max="260" width="26.33203125" style="19" customWidth="1"/>
    <col min="261" max="512" width="8.6640625" style="19"/>
    <col min="513" max="513" width="32.83203125" style="19" customWidth="1"/>
    <col min="514" max="515" width="8.6640625" style="19"/>
    <col min="516" max="516" width="26.33203125" style="19" customWidth="1"/>
    <col min="517" max="768" width="8.6640625" style="19"/>
    <col min="769" max="769" width="32.83203125" style="19" customWidth="1"/>
    <col min="770" max="771" width="8.6640625" style="19"/>
    <col min="772" max="772" width="26.33203125" style="19" customWidth="1"/>
    <col min="773" max="1024" width="8.6640625" style="19"/>
    <col min="1025" max="1025" width="32.83203125" style="19" customWidth="1"/>
    <col min="1026" max="1027" width="8.6640625" style="19"/>
    <col min="1028" max="1028" width="26.33203125" style="19" customWidth="1"/>
    <col min="1029" max="1280" width="8.6640625" style="19"/>
    <col min="1281" max="1281" width="32.83203125" style="19" customWidth="1"/>
    <col min="1282" max="1283" width="8.6640625" style="19"/>
    <col min="1284" max="1284" width="26.33203125" style="19" customWidth="1"/>
    <col min="1285" max="1536" width="8.6640625" style="19"/>
    <col min="1537" max="1537" width="32.83203125" style="19" customWidth="1"/>
    <col min="1538" max="1539" width="8.6640625" style="19"/>
    <col min="1540" max="1540" width="26.33203125" style="19" customWidth="1"/>
    <col min="1541" max="1792" width="8.6640625" style="19"/>
    <col min="1793" max="1793" width="32.83203125" style="19" customWidth="1"/>
    <col min="1794" max="1795" width="8.6640625" style="19"/>
    <col min="1796" max="1796" width="26.33203125" style="19" customWidth="1"/>
    <col min="1797" max="2048" width="8.6640625" style="19"/>
    <col min="2049" max="2049" width="32.83203125" style="19" customWidth="1"/>
    <col min="2050" max="2051" width="8.6640625" style="19"/>
    <col min="2052" max="2052" width="26.33203125" style="19" customWidth="1"/>
    <col min="2053" max="2304" width="8.6640625" style="19"/>
    <col min="2305" max="2305" width="32.83203125" style="19" customWidth="1"/>
    <col min="2306" max="2307" width="8.6640625" style="19"/>
    <col min="2308" max="2308" width="26.33203125" style="19" customWidth="1"/>
    <col min="2309" max="2560" width="8.6640625" style="19"/>
    <col min="2561" max="2561" width="32.83203125" style="19" customWidth="1"/>
    <col min="2562" max="2563" width="8.6640625" style="19"/>
    <col min="2564" max="2564" width="26.33203125" style="19" customWidth="1"/>
    <col min="2565" max="2816" width="8.6640625" style="19"/>
    <col min="2817" max="2817" width="32.83203125" style="19" customWidth="1"/>
    <col min="2818" max="2819" width="8.6640625" style="19"/>
    <col min="2820" max="2820" width="26.33203125" style="19" customWidth="1"/>
    <col min="2821" max="3072" width="8.6640625" style="19"/>
    <col min="3073" max="3073" width="32.83203125" style="19" customWidth="1"/>
    <col min="3074" max="3075" width="8.6640625" style="19"/>
    <col min="3076" max="3076" width="26.33203125" style="19" customWidth="1"/>
    <col min="3077" max="3328" width="8.6640625" style="19"/>
    <col min="3329" max="3329" width="32.83203125" style="19" customWidth="1"/>
    <col min="3330" max="3331" width="8.6640625" style="19"/>
    <col min="3332" max="3332" width="26.33203125" style="19" customWidth="1"/>
    <col min="3333" max="3584" width="8.6640625" style="19"/>
    <col min="3585" max="3585" width="32.83203125" style="19" customWidth="1"/>
    <col min="3586" max="3587" width="8.6640625" style="19"/>
    <col min="3588" max="3588" width="26.33203125" style="19" customWidth="1"/>
    <col min="3589" max="3840" width="8.6640625" style="19"/>
    <col min="3841" max="3841" width="32.83203125" style="19" customWidth="1"/>
    <col min="3842" max="3843" width="8.6640625" style="19"/>
    <col min="3844" max="3844" width="26.33203125" style="19" customWidth="1"/>
    <col min="3845" max="4096" width="8.6640625" style="19"/>
    <col min="4097" max="4097" width="32.83203125" style="19" customWidth="1"/>
    <col min="4098" max="4099" width="8.6640625" style="19"/>
    <col min="4100" max="4100" width="26.33203125" style="19" customWidth="1"/>
    <col min="4101" max="4352" width="8.6640625" style="19"/>
    <col min="4353" max="4353" width="32.83203125" style="19" customWidth="1"/>
    <col min="4354" max="4355" width="8.6640625" style="19"/>
    <col min="4356" max="4356" width="26.33203125" style="19" customWidth="1"/>
    <col min="4357" max="4608" width="8.6640625" style="19"/>
    <col min="4609" max="4609" width="32.83203125" style="19" customWidth="1"/>
    <col min="4610" max="4611" width="8.6640625" style="19"/>
    <col min="4612" max="4612" width="26.33203125" style="19" customWidth="1"/>
    <col min="4613" max="4864" width="8.6640625" style="19"/>
    <col min="4865" max="4865" width="32.83203125" style="19" customWidth="1"/>
    <col min="4866" max="4867" width="8.6640625" style="19"/>
    <col min="4868" max="4868" width="26.33203125" style="19" customWidth="1"/>
    <col min="4869" max="5120" width="8.6640625" style="19"/>
    <col min="5121" max="5121" width="32.83203125" style="19" customWidth="1"/>
    <col min="5122" max="5123" width="8.6640625" style="19"/>
    <col min="5124" max="5124" width="26.33203125" style="19" customWidth="1"/>
    <col min="5125" max="5376" width="8.6640625" style="19"/>
    <col min="5377" max="5377" width="32.83203125" style="19" customWidth="1"/>
    <col min="5378" max="5379" width="8.6640625" style="19"/>
    <col min="5380" max="5380" width="26.33203125" style="19" customWidth="1"/>
    <col min="5381" max="5632" width="8.6640625" style="19"/>
    <col min="5633" max="5633" width="32.83203125" style="19" customWidth="1"/>
    <col min="5634" max="5635" width="8.6640625" style="19"/>
    <col min="5636" max="5636" width="26.33203125" style="19" customWidth="1"/>
    <col min="5637" max="5888" width="8.6640625" style="19"/>
    <col min="5889" max="5889" width="32.83203125" style="19" customWidth="1"/>
    <col min="5890" max="5891" width="8.6640625" style="19"/>
    <col min="5892" max="5892" width="26.33203125" style="19" customWidth="1"/>
    <col min="5893" max="6144" width="8.6640625" style="19"/>
    <col min="6145" max="6145" width="32.83203125" style="19" customWidth="1"/>
    <col min="6146" max="6147" width="8.6640625" style="19"/>
    <col min="6148" max="6148" width="26.33203125" style="19" customWidth="1"/>
    <col min="6149" max="6400" width="8.6640625" style="19"/>
    <col min="6401" max="6401" width="32.83203125" style="19" customWidth="1"/>
    <col min="6402" max="6403" width="8.6640625" style="19"/>
    <col min="6404" max="6404" width="26.33203125" style="19" customWidth="1"/>
    <col min="6405" max="6656" width="8.6640625" style="19"/>
    <col min="6657" max="6657" width="32.83203125" style="19" customWidth="1"/>
    <col min="6658" max="6659" width="8.6640625" style="19"/>
    <col min="6660" max="6660" width="26.33203125" style="19" customWidth="1"/>
    <col min="6661" max="6912" width="8.6640625" style="19"/>
    <col min="6913" max="6913" width="32.83203125" style="19" customWidth="1"/>
    <col min="6914" max="6915" width="8.6640625" style="19"/>
    <col min="6916" max="6916" width="26.33203125" style="19" customWidth="1"/>
    <col min="6917" max="7168" width="8.6640625" style="19"/>
    <col min="7169" max="7169" width="32.83203125" style="19" customWidth="1"/>
    <col min="7170" max="7171" width="8.6640625" style="19"/>
    <col min="7172" max="7172" width="26.33203125" style="19" customWidth="1"/>
    <col min="7173" max="7424" width="8.6640625" style="19"/>
    <col min="7425" max="7425" width="32.83203125" style="19" customWidth="1"/>
    <col min="7426" max="7427" width="8.6640625" style="19"/>
    <col min="7428" max="7428" width="26.33203125" style="19" customWidth="1"/>
    <col min="7429" max="7680" width="8.6640625" style="19"/>
    <col min="7681" max="7681" width="32.83203125" style="19" customWidth="1"/>
    <col min="7682" max="7683" width="8.6640625" style="19"/>
    <col min="7684" max="7684" width="26.33203125" style="19" customWidth="1"/>
    <col min="7685" max="7936" width="8.6640625" style="19"/>
    <col min="7937" max="7937" width="32.83203125" style="19" customWidth="1"/>
    <col min="7938" max="7939" width="8.6640625" style="19"/>
    <col min="7940" max="7940" width="26.33203125" style="19" customWidth="1"/>
    <col min="7941" max="8192" width="8.6640625" style="19"/>
    <col min="8193" max="8193" width="32.83203125" style="19" customWidth="1"/>
    <col min="8194" max="8195" width="8.6640625" style="19"/>
    <col min="8196" max="8196" width="26.33203125" style="19" customWidth="1"/>
    <col min="8197" max="8448" width="8.6640625" style="19"/>
    <col min="8449" max="8449" width="32.83203125" style="19" customWidth="1"/>
    <col min="8450" max="8451" width="8.6640625" style="19"/>
    <col min="8452" max="8452" width="26.33203125" style="19" customWidth="1"/>
    <col min="8453" max="8704" width="8.6640625" style="19"/>
    <col min="8705" max="8705" width="32.83203125" style="19" customWidth="1"/>
    <col min="8706" max="8707" width="8.6640625" style="19"/>
    <col min="8708" max="8708" width="26.33203125" style="19" customWidth="1"/>
    <col min="8709" max="8960" width="8.6640625" style="19"/>
    <col min="8961" max="8961" width="32.83203125" style="19" customWidth="1"/>
    <col min="8962" max="8963" width="8.6640625" style="19"/>
    <col min="8964" max="8964" width="26.33203125" style="19" customWidth="1"/>
    <col min="8965" max="9216" width="8.6640625" style="19"/>
    <col min="9217" max="9217" width="32.83203125" style="19" customWidth="1"/>
    <col min="9218" max="9219" width="8.6640625" style="19"/>
    <col min="9220" max="9220" width="26.33203125" style="19" customWidth="1"/>
    <col min="9221" max="9472" width="8.6640625" style="19"/>
    <col min="9473" max="9473" width="32.83203125" style="19" customWidth="1"/>
    <col min="9474" max="9475" width="8.6640625" style="19"/>
    <col min="9476" max="9476" width="26.33203125" style="19" customWidth="1"/>
    <col min="9477" max="9728" width="8.6640625" style="19"/>
    <col min="9729" max="9729" width="32.83203125" style="19" customWidth="1"/>
    <col min="9730" max="9731" width="8.6640625" style="19"/>
    <col min="9732" max="9732" width="26.33203125" style="19" customWidth="1"/>
    <col min="9733" max="9984" width="8.6640625" style="19"/>
    <col min="9985" max="9985" width="32.83203125" style="19" customWidth="1"/>
    <col min="9986" max="9987" width="8.6640625" style="19"/>
    <col min="9988" max="9988" width="26.33203125" style="19" customWidth="1"/>
    <col min="9989" max="10240" width="8.6640625" style="19"/>
    <col min="10241" max="10241" width="32.83203125" style="19" customWidth="1"/>
    <col min="10242" max="10243" width="8.6640625" style="19"/>
    <col min="10244" max="10244" width="26.33203125" style="19" customWidth="1"/>
    <col min="10245" max="10496" width="8.6640625" style="19"/>
    <col min="10497" max="10497" width="32.83203125" style="19" customWidth="1"/>
    <col min="10498" max="10499" width="8.6640625" style="19"/>
    <col min="10500" max="10500" width="26.33203125" style="19" customWidth="1"/>
    <col min="10501" max="10752" width="8.6640625" style="19"/>
    <col min="10753" max="10753" width="32.83203125" style="19" customWidth="1"/>
    <col min="10754" max="10755" width="8.6640625" style="19"/>
    <col min="10756" max="10756" width="26.33203125" style="19" customWidth="1"/>
    <col min="10757" max="11008" width="8.6640625" style="19"/>
    <col min="11009" max="11009" width="32.83203125" style="19" customWidth="1"/>
    <col min="11010" max="11011" width="8.6640625" style="19"/>
    <col min="11012" max="11012" width="26.33203125" style="19" customWidth="1"/>
    <col min="11013" max="11264" width="8.6640625" style="19"/>
    <col min="11265" max="11265" width="32.83203125" style="19" customWidth="1"/>
    <col min="11266" max="11267" width="8.6640625" style="19"/>
    <col min="11268" max="11268" width="26.33203125" style="19" customWidth="1"/>
    <col min="11269" max="11520" width="8.6640625" style="19"/>
    <col min="11521" max="11521" width="32.83203125" style="19" customWidth="1"/>
    <col min="11522" max="11523" width="8.6640625" style="19"/>
    <col min="11524" max="11524" width="26.33203125" style="19" customWidth="1"/>
    <col min="11525" max="11776" width="8.6640625" style="19"/>
    <col min="11777" max="11777" width="32.83203125" style="19" customWidth="1"/>
    <col min="11778" max="11779" width="8.6640625" style="19"/>
    <col min="11780" max="11780" width="26.33203125" style="19" customWidth="1"/>
    <col min="11781" max="12032" width="8.6640625" style="19"/>
    <col min="12033" max="12033" width="32.83203125" style="19" customWidth="1"/>
    <col min="12034" max="12035" width="8.6640625" style="19"/>
    <col min="12036" max="12036" width="26.33203125" style="19" customWidth="1"/>
    <col min="12037" max="12288" width="8.6640625" style="19"/>
    <col min="12289" max="12289" width="32.83203125" style="19" customWidth="1"/>
    <col min="12290" max="12291" width="8.6640625" style="19"/>
    <col min="12292" max="12292" width="26.33203125" style="19" customWidth="1"/>
    <col min="12293" max="12544" width="8.6640625" style="19"/>
    <col min="12545" max="12545" width="32.83203125" style="19" customWidth="1"/>
    <col min="12546" max="12547" width="8.6640625" style="19"/>
    <col min="12548" max="12548" width="26.33203125" style="19" customWidth="1"/>
    <col min="12549" max="12800" width="8.6640625" style="19"/>
    <col min="12801" max="12801" width="32.83203125" style="19" customWidth="1"/>
    <col min="12802" max="12803" width="8.6640625" style="19"/>
    <col min="12804" max="12804" width="26.33203125" style="19" customWidth="1"/>
    <col min="12805" max="13056" width="8.6640625" style="19"/>
    <col min="13057" max="13057" width="32.83203125" style="19" customWidth="1"/>
    <col min="13058" max="13059" width="8.6640625" style="19"/>
    <col min="13060" max="13060" width="26.33203125" style="19" customWidth="1"/>
    <col min="13061" max="13312" width="8.6640625" style="19"/>
    <col min="13313" max="13313" width="32.83203125" style="19" customWidth="1"/>
    <col min="13314" max="13315" width="8.6640625" style="19"/>
    <col min="13316" max="13316" width="26.33203125" style="19" customWidth="1"/>
    <col min="13317" max="13568" width="8.6640625" style="19"/>
    <col min="13569" max="13569" width="32.83203125" style="19" customWidth="1"/>
    <col min="13570" max="13571" width="8.6640625" style="19"/>
    <col min="13572" max="13572" width="26.33203125" style="19" customWidth="1"/>
    <col min="13573" max="13824" width="8.6640625" style="19"/>
    <col min="13825" max="13825" width="32.83203125" style="19" customWidth="1"/>
    <col min="13826" max="13827" width="8.6640625" style="19"/>
    <col min="13828" max="13828" width="26.33203125" style="19" customWidth="1"/>
    <col min="13829" max="14080" width="8.6640625" style="19"/>
    <col min="14081" max="14081" width="32.83203125" style="19" customWidth="1"/>
    <col min="14082" max="14083" width="8.6640625" style="19"/>
    <col min="14084" max="14084" width="26.33203125" style="19" customWidth="1"/>
    <col min="14085" max="14336" width="8.6640625" style="19"/>
    <col min="14337" max="14337" width="32.83203125" style="19" customWidth="1"/>
    <col min="14338" max="14339" width="8.6640625" style="19"/>
    <col min="14340" max="14340" width="26.33203125" style="19" customWidth="1"/>
    <col min="14341" max="14592" width="8.6640625" style="19"/>
    <col min="14593" max="14593" width="32.83203125" style="19" customWidth="1"/>
    <col min="14594" max="14595" width="8.6640625" style="19"/>
    <col min="14596" max="14596" width="26.33203125" style="19" customWidth="1"/>
    <col min="14597" max="14848" width="8.6640625" style="19"/>
    <col min="14849" max="14849" width="32.83203125" style="19" customWidth="1"/>
    <col min="14850" max="14851" width="8.6640625" style="19"/>
    <col min="14852" max="14852" width="26.33203125" style="19" customWidth="1"/>
    <col min="14853" max="15104" width="8.6640625" style="19"/>
    <col min="15105" max="15105" width="32.83203125" style="19" customWidth="1"/>
    <col min="15106" max="15107" width="8.6640625" style="19"/>
    <col min="15108" max="15108" width="26.33203125" style="19" customWidth="1"/>
    <col min="15109" max="15360" width="8.6640625" style="19"/>
    <col min="15361" max="15361" width="32.83203125" style="19" customWidth="1"/>
    <col min="15362" max="15363" width="8.6640625" style="19"/>
    <col min="15364" max="15364" width="26.33203125" style="19" customWidth="1"/>
    <col min="15365" max="15616" width="8.6640625" style="19"/>
    <col min="15617" max="15617" width="32.83203125" style="19" customWidth="1"/>
    <col min="15618" max="15619" width="8.6640625" style="19"/>
    <col min="15620" max="15620" width="26.33203125" style="19" customWidth="1"/>
    <col min="15621" max="15872" width="8.6640625" style="19"/>
    <col min="15873" max="15873" width="32.83203125" style="19" customWidth="1"/>
    <col min="15874" max="15875" width="8.6640625" style="19"/>
    <col min="15876" max="15876" width="26.33203125" style="19" customWidth="1"/>
    <col min="15877" max="16128" width="8.6640625" style="19"/>
    <col min="16129" max="16129" width="32.83203125" style="19" customWidth="1"/>
    <col min="16130" max="16131" width="8.6640625" style="19"/>
    <col min="16132" max="16132" width="26.33203125" style="19" customWidth="1"/>
    <col min="16133" max="16384" width="8.6640625" style="19"/>
  </cols>
  <sheetData>
    <row r="1" spans="1:8" ht="35.25" customHeight="1">
      <c r="A1" s="76" t="s">
        <v>80</v>
      </c>
      <c r="B1" s="76"/>
      <c r="C1" s="76"/>
      <c r="D1" s="30"/>
    </row>
    <row r="2" spans="1:8" ht="28">
      <c r="A2" s="20" t="s">
        <v>0</v>
      </c>
      <c r="B2" s="21" t="s">
        <v>73</v>
      </c>
      <c r="C2" s="21" t="s">
        <v>63</v>
      </c>
    </row>
    <row r="3" spans="1:8">
      <c r="A3" s="22">
        <v>38717</v>
      </c>
      <c r="B3" s="2">
        <v>1.1291866028708135</v>
      </c>
      <c r="C3" s="23">
        <v>-9.3283582089553896E-3</v>
      </c>
      <c r="D3" s="24"/>
      <c r="F3" s="77" t="s">
        <v>64</v>
      </c>
      <c r="G3" s="77"/>
      <c r="H3" s="77"/>
    </row>
    <row r="4" spans="1:8">
      <c r="A4" s="22">
        <v>39082</v>
      </c>
      <c r="B4" s="2">
        <v>-0.52921348314606731</v>
      </c>
      <c r="C4" s="23">
        <v>0.15819209039548032</v>
      </c>
      <c r="D4" s="24"/>
      <c r="F4" s="19" t="s">
        <v>79</v>
      </c>
      <c r="G4" s="7">
        <v>0.25959028194788558</v>
      </c>
    </row>
    <row r="5" spans="1:8">
      <c r="A5" s="22">
        <v>39447</v>
      </c>
      <c r="B5" s="2">
        <v>-0.43436754176610981</v>
      </c>
      <c r="C5" s="23">
        <v>0.20853658536585362</v>
      </c>
      <c r="D5" s="24"/>
      <c r="F5" s="19" t="s">
        <v>65</v>
      </c>
      <c r="G5" s="7">
        <f>1-G4</f>
        <v>0.74040971805211442</v>
      </c>
    </row>
    <row r="6" spans="1:8">
      <c r="A6" s="22">
        <v>39813</v>
      </c>
      <c r="B6" s="2">
        <v>-5.9071729957805963E-2</v>
      </c>
      <c r="C6" s="23">
        <v>-0.44365960309451735</v>
      </c>
      <c r="D6" s="24"/>
      <c r="F6" s="19" t="s">
        <v>21</v>
      </c>
      <c r="G6" s="7">
        <f>G4*B14+G5*C14</f>
        <v>8.000000000000014E-2</v>
      </c>
    </row>
    <row r="7" spans="1:8">
      <c r="A7" s="22">
        <v>40178</v>
      </c>
      <c r="B7" s="2">
        <v>-5.8295964125560484E-2</v>
      </c>
      <c r="C7" s="23">
        <v>0.60399032648125761</v>
      </c>
      <c r="D7" s="24"/>
      <c r="F7" s="19" t="s">
        <v>3</v>
      </c>
      <c r="G7" s="24">
        <f>G4^2*B15+G5^2*C15+2*G4*G5*B17</f>
        <v>5.4241621951427135E-2</v>
      </c>
    </row>
    <row r="8" spans="1:8">
      <c r="A8" s="22">
        <v>40543</v>
      </c>
      <c r="B8" s="2">
        <v>0.53333333333333344</v>
      </c>
      <c r="C8" s="23">
        <v>-6.5209197135318475E-2</v>
      </c>
      <c r="D8" s="24"/>
      <c r="F8" s="19" t="s">
        <v>8</v>
      </c>
      <c r="G8" s="7">
        <f>SQRT(G7)</f>
        <v>0.23289830817639517</v>
      </c>
    </row>
    <row r="9" spans="1:8">
      <c r="A9" s="22">
        <v>40908</v>
      </c>
      <c r="B9" s="2">
        <v>-0.48136645962732927</v>
      </c>
      <c r="C9" s="23">
        <v>-4.5161290322580649E-2</v>
      </c>
      <c r="D9" s="24"/>
    </row>
    <row r="10" spans="1:8">
      <c r="A10" s="22">
        <v>41274</v>
      </c>
      <c r="B10" s="2">
        <v>-0.11377245508982037</v>
      </c>
      <c r="C10" s="23">
        <v>5.8277027027026973E-2</v>
      </c>
      <c r="D10" s="24"/>
      <c r="F10" s="19" t="s">
        <v>40</v>
      </c>
      <c r="G10" s="59">
        <v>5.4081332873282803E-2</v>
      </c>
    </row>
    <row r="11" spans="1:8">
      <c r="A11" s="22">
        <v>41639</v>
      </c>
      <c r="B11" s="2">
        <v>4.7297297297297369E-2</v>
      </c>
      <c r="C11" s="23">
        <v>0.44293695131683952</v>
      </c>
      <c r="D11" s="24"/>
    </row>
    <row r="12" spans="1:8">
      <c r="A12" s="22">
        <v>42004</v>
      </c>
      <c r="B12" s="2">
        <v>-0.32903225806451608</v>
      </c>
      <c r="C12" s="23">
        <v>0.27544247787610621</v>
      </c>
      <c r="D12" s="24"/>
      <c r="F12" s="19" t="s">
        <v>66</v>
      </c>
      <c r="G12" s="29">
        <v>0.08</v>
      </c>
    </row>
    <row r="13" spans="1:8">
      <c r="F13" s="19" t="s">
        <v>67</v>
      </c>
      <c r="G13" s="61">
        <f>G12-G6</f>
        <v>-1.3877787807814457E-16</v>
      </c>
    </row>
    <row r="14" spans="1:8" ht="15">
      <c r="A14" s="19" t="s">
        <v>74</v>
      </c>
      <c r="B14" s="25">
        <f>AVERAGE(B3:B12)</f>
        <v>-2.9530265827576497E-2</v>
      </c>
      <c r="C14" s="25">
        <f>AVERAGE(C3:C12)</f>
        <v>0.11840170097011923</v>
      </c>
      <c r="D14" s="24"/>
    </row>
    <row r="15" spans="1:8" ht="15">
      <c r="A15" s="19" t="s">
        <v>75</v>
      </c>
      <c r="B15" s="26">
        <f>_xlfn.VAR.S(B3:B12)</f>
        <v>0.26461928050177108</v>
      </c>
      <c r="C15" s="26">
        <f>_xlfn.VAR.S(C3:C12)</f>
        <v>8.5755276446165513E-2</v>
      </c>
      <c r="D15" s="24"/>
    </row>
    <row r="16" spans="1:8" ht="15">
      <c r="A16" s="19" t="s">
        <v>76</v>
      </c>
      <c r="B16" s="25">
        <f>_xlfn.STDEV.S(B3:B12)</f>
        <v>0.51441158667138431</v>
      </c>
      <c r="C16" s="25">
        <f>_xlfn.STDEV.S(C3:C12)</f>
        <v>0.29284001851892699</v>
      </c>
      <c r="D16" s="24"/>
    </row>
    <row r="17" spans="1:2" ht="15">
      <c r="A17" s="19" t="s">
        <v>77</v>
      </c>
      <c r="B17" s="24">
        <f>_xlfn.COVARIANCE.S(B3:B12,C3:C12)</f>
        <v>-2.7579961955633975E-2</v>
      </c>
    </row>
    <row r="18" spans="1:2" ht="15">
      <c r="A18" s="19" t="s">
        <v>78</v>
      </c>
      <c r="B18" s="27">
        <f>CORREL(B3:B12,C3:C12)</f>
        <v>-0.18308488643449483</v>
      </c>
    </row>
    <row r="20" spans="1:2">
      <c r="A20" s="28"/>
    </row>
    <row r="24" spans="1:2">
      <c r="B24" s="24"/>
    </row>
    <row r="25" spans="1:2">
      <c r="B25" s="24"/>
    </row>
    <row r="26" spans="1:2">
      <c r="B26" s="24"/>
    </row>
  </sheetData>
  <mergeCells count="2">
    <mergeCell ref="A1:C1"/>
    <mergeCell ref="F3:H3"/>
  </mergeCells>
  <phoneticPr fontId="7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23"/>
  <sheetViews>
    <sheetView zoomScaleNormal="100" workbookViewId="0">
      <selection activeCell="B23" sqref="B23"/>
    </sheetView>
  </sheetViews>
  <sheetFormatPr baseColWidth="10" defaultColWidth="8.83203125" defaultRowHeight="13"/>
  <cols>
    <col min="1" max="1" width="27.33203125" bestFit="1" customWidth="1"/>
    <col min="2" max="3" width="11.83203125" customWidth="1"/>
  </cols>
  <sheetData>
    <row r="1" spans="1:3" ht="18">
      <c r="A1" s="74" t="s">
        <v>81</v>
      </c>
      <c r="B1" s="74"/>
      <c r="C1" s="74"/>
    </row>
    <row r="2" spans="1:3">
      <c r="B2" s="4" t="s">
        <v>60</v>
      </c>
      <c r="C2" s="4" t="s">
        <v>61</v>
      </c>
    </row>
    <row r="3" spans="1:3">
      <c r="A3" t="s">
        <v>7</v>
      </c>
      <c r="B3" s="11">
        <v>0.15</v>
      </c>
      <c r="C3" s="11">
        <v>0.1</v>
      </c>
    </row>
    <row r="4" spans="1:3">
      <c r="A4" t="s">
        <v>3</v>
      </c>
      <c r="B4">
        <v>0.12</v>
      </c>
      <c r="C4">
        <v>7.0000000000000007E-2</v>
      </c>
    </row>
    <row r="5" spans="1:3">
      <c r="A5" t="s">
        <v>4</v>
      </c>
      <c r="B5" s="2">
        <f>SQRT(B4)</f>
        <v>0.34641016151377546</v>
      </c>
      <c r="C5" s="2">
        <f>SQRT(C4)</f>
        <v>0.26457513110645908</v>
      </c>
    </row>
    <row r="7" spans="1:3" ht="15">
      <c r="A7" t="s">
        <v>59</v>
      </c>
      <c r="B7" s="10">
        <v>1.6E-2</v>
      </c>
    </row>
    <row r="8" spans="1:3">
      <c r="A8" t="s">
        <v>24</v>
      </c>
      <c r="B8" s="10">
        <f>B7/(B5*C5)</f>
        <v>0.17457431218879388</v>
      </c>
      <c r="C8" t="str">
        <f ca="1">getformula(B8)</f>
        <v>&lt;-- =B7/(B5*C5)</v>
      </c>
    </row>
    <row r="10" spans="1:3">
      <c r="A10" s="12" t="s">
        <v>68</v>
      </c>
    </row>
    <row r="11" spans="1:3">
      <c r="A11" t="s">
        <v>20</v>
      </c>
      <c r="B11" s="11">
        <v>0.3</v>
      </c>
    </row>
    <row r="12" spans="1:3">
      <c r="A12" t="s">
        <v>25</v>
      </c>
      <c r="B12" s="11">
        <f>1-B11</f>
        <v>0.7</v>
      </c>
      <c r="C12" t="str">
        <f ca="1">getformula(B12)</f>
        <v>&lt;-- =1-B11</v>
      </c>
    </row>
    <row r="14" spans="1:3">
      <c r="A14" t="s">
        <v>7</v>
      </c>
      <c r="B14" s="35">
        <f>B11*B3+B12*C3</f>
        <v>0.11499999999999999</v>
      </c>
    </row>
    <row r="15" spans="1:3">
      <c r="A15" t="s">
        <v>26</v>
      </c>
      <c r="B15" s="62">
        <f>SQRT(B11^2*B4+B12^2*C4+2*B11*B12*B7)</f>
        <v>0.22764006677208648</v>
      </c>
    </row>
    <row r="18" spans="1:3">
      <c r="A18" s="12" t="s">
        <v>69</v>
      </c>
    </row>
    <row r="19" spans="1:3">
      <c r="A19" t="s">
        <v>20</v>
      </c>
      <c r="B19" s="11">
        <v>0.5</v>
      </c>
    </row>
    <row r="20" spans="1:3">
      <c r="A20" t="s">
        <v>25</v>
      </c>
      <c r="B20" s="11">
        <f>1-B19</f>
        <v>0.5</v>
      </c>
      <c r="C20" t="str">
        <f ca="1">getformula(B20)</f>
        <v>&lt;-- =1-B19</v>
      </c>
    </row>
    <row r="22" spans="1:3">
      <c r="A22" t="s">
        <v>7</v>
      </c>
      <c r="B22" s="35">
        <f>B19*B3+B20*C3</f>
        <v>0.125</v>
      </c>
    </row>
    <row r="23" spans="1:3">
      <c r="A23" t="s">
        <v>26</v>
      </c>
      <c r="B23" s="36">
        <f>SQRT(B19^2*B4+B20^2*C4+2*B19*B20*B7)</f>
        <v>0.23558437978779492</v>
      </c>
    </row>
  </sheetData>
  <mergeCells count="1">
    <mergeCell ref="A1:C1"/>
  </mergeCells>
  <phoneticPr fontId="7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F1069-B87F-0143-8D9A-0ACB0EA1E9CE}">
  <dimension ref="A1:C14"/>
  <sheetViews>
    <sheetView zoomScaleNormal="100" workbookViewId="0">
      <selection activeCell="B25" sqref="A14:B25"/>
    </sheetView>
  </sheetViews>
  <sheetFormatPr baseColWidth="10" defaultRowHeight="13"/>
  <cols>
    <col min="1" max="1" width="28.1640625" bestFit="1" customWidth="1"/>
    <col min="2" max="2" width="20.33203125" bestFit="1" customWidth="1"/>
    <col min="3" max="3" width="8" bestFit="1" customWidth="1"/>
  </cols>
  <sheetData>
    <row r="1" spans="1:3">
      <c r="A1" s="73" t="s">
        <v>137</v>
      </c>
      <c r="B1" s="73"/>
      <c r="C1" s="73"/>
    </row>
    <row r="2" spans="1:3">
      <c r="B2" s="18" t="s">
        <v>138</v>
      </c>
      <c r="C2" s="18" t="s">
        <v>139</v>
      </c>
    </row>
    <row r="3" spans="1:3">
      <c r="A3" s="18" t="s">
        <v>127</v>
      </c>
      <c r="B3" s="11">
        <v>0.25</v>
      </c>
      <c r="C3" s="11">
        <v>0.15</v>
      </c>
    </row>
    <row r="4" spans="1:3">
      <c r="A4" s="18" t="s">
        <v>128</v>
      </c>
      <c r="B4">
        <v>0.16</v>
      </c>
      <c r="C4">
        <v>4.8399999999999999E-2</v>
      </c>
    </row>
    <row r="5" spans="1:3">
      <c r="A5" s="18" t="s">
        <v>140</v>
      </c>
      <c r="B5" s="11">
        <v>0.4</v>
      </c>
      <c r="C5" s="11">
        <v>0.22</v>
      </c>
    </row>
    <row r="7" spans="1:3">
      <c r="A7" s="18" t="s">
        <v>141</v>
      </c>
      <c r="B7" s="10">
        <v>-8.7999999999999995E-2</v>
      </c>
    </row>
    <row r="9" spans="1:3">
      <c r="A9" s="18" t="s">
        <v>143</v>
      </c>
      <c r="B9">
        <v>0.35483870723601307</v>
      </c>
    </row>
    <row r="10" spans="1:3">
      <c r="A10" s="18" t="s">
        <v>144</v>
      </c>
      <c r="B10">
        <f>1-B9</f>
        <v>0.64516129276398693</v>
      </c>
    </row>
    <row r="12" spans="1:3">
      <c r="A12" s="18" t="s">
        <v>142</v>
      </c>
      <c r="B12" s="63">
        <f>B9^2*B4+B10^2*C4+2*B9*B10*B7</f>
        <v>0</v>
      </c>
    </row>
    <row r="14" spans="1:3">
      <c r="B14" s="63"/>
    </row>
  </sheetData>
  <mergeCells count="1">
    <mergeCell ref="A1:C1"/>
  </mergeCells>
  <phoneticPr fontId="7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33"/>
  <sheetViews>
    <sheetView topLeftCell="A3" zoomScaleNormal="100" workbookViewId="0">
      <selection activeCell="B33" sqref="B33"/>
    </sheetView>
  </sheetViews>
  <sheetFormatPr baseColWidth="10" defaultColWidth="8.83203125" defaultRowHeight="13"/>
  <cols>
    <col min="1" max="1" width="18.83203125" bestFit="1" customWidth="1"/>
    <col min="2" max="2" width="10.83203125" customWidth="1"/>
    <col min="3" max="3" width="16" customWidth="1"/>
  </cols>
  <sheetData>
    <row r="1" spans="1:3" s="12" customFormat="1" ht="42.75" customHeight="1">
      <c r="B1" s="1" t="s">
        <v>33</v>
      </c>
      <c r="C1" s="1" t="s">
        <v>82</v>
      </c>
    </row>
    <row r="2" spans="1:3">
      <c r="A2" t="s">
        <v>27</v>
      </c>
      <c r="B2" s="11">
        <v>0.15</v>
      </c>
      <c r="C2" s="11">
        <v>0.33</v>
      </c>
    </row>
    <row r="3" spans="1:3">
      <c r="A3" t="s">
        <v>28</v>
      </c>
      <c r="B3" s="11">
        <v>0.25</v>
      </c>
      <c r="C3" s="11">
        <v>0.46</v>
      </c>
    </row>
    <row r="4" spans="1:3">
      <c r="A4" t="s">
        <v>29</v>
      </c>
      <c r="B4" s="10">
        <v>8.6499999999999994E-2</v>
      </c>
    </row>
    <row r="5" spans="1:3">
      <c r="A5" t="s">
        <v>30</v>
      </c>
      <c r="B5" s="10">
        <f>B4/(C2*C3)</f>
        <v>0.5698287220026349</v>
      </c>
      <c r="C5" t="str">
        <f ca="1">getformula(B5)</f>
        <v>&lt;-- =B4/(C2*C3)</v>
      </c>
    </row>
    <row r="7" spans="1:3">
      <c r="A7" t="s">
        <v>71</v>
      </c>
    </row>
    <row r="8" spans="1:3">
      <c r="A8" t="s">
        <v>86</v>
      </c>
    </row>
    <row r="9" spans="1:3">
      <c r="A9" t="s">
        <v>31</v>
      </c>
      <c r="B9" s="9">
        <v>0.25</v>
      </c>
    </row>
    <row r="10" spans="1:3">
      <c r="A10" t="s">
        <v>32</v>
      </c>
      <c r="B10" s="7">
        <f>1-B9</f>
        <v>0.75</v>
      </c>
      <c r="C10" t="str">
        <f ca="1">getformula(B10)</f>
        <v>&lt;-- =1-B9</v>
      </c>
    </row>
    <row r="12" spans="1:3">
      <c r="A12" t="s">
        <v>33</v>
      </c>
      <c r="B12" s="35">
        <f>B9*B2+B10*B3</f>
        <v>0.22500000000000001</v>
      </c>
    </row>
    <row r="13" spans="1:3">
      <c r="A13" t="s">
        <v>4</v>
      </c>
      <c r="B13" s="33">
        <f>SQRT(B9^2*C2^2+B10^2*C3^2+2*B9*B10*B4)</f>
        <v>0.39783005165522628</v>
      </c>
    </row>
    <row r="15" spans="1:3">
      <c r="A15" s="18" t="s">
        <v>69</v>
      </c>
    </row>
    <row r="16" spans="1:3">
      <c r="A16" s="4" t="s">
        <v>34</v>
      </c>
      <c r="B16" s="64">
        <f>B12</f>
        <v>0.22500000000000001</v>
      </c>
      <c r="C16" s="64">
        <f>B13</f>
        <v>0.39783005165522628</v>
      </c>
    </row>
    <row r="17" spans="1:3">
      <c r="A17" s="17">
        <v>0</v>
      </c>
      <c r="B17" s="7">
        <f t="dataTable" ref="B17:C27" dt2D="0" dtr="0" r1="B9"/>
        <v>0.25</v>
      </c>
      <c r="C17" s="7">
        <v>0.46</v>
      </c>
    </row>
    <row r="18" spans="1:3">
      <c r="A18" s="17">
        <v>0.1</v>
      </c>
      <c r="B18" s="7">
        <v>0.24</v>
      </c>
      <c r="C18" s="7">
        <v>0.43365308715608153</v>
      </c>
    </row>
    <row r="19" spans="1:3">
      <c r="A19" s="17">
        <v>0.2</v>
      </c>
      <c r="B19" s="7">
        <v>0.23</v>
      </c>
      <c r="C19" s="7">
        <v>0.40921876789805234</v>
      </c>
    </row>
    <row r="20" spans="1:3">
      <c r="A20" s="17">
        <v>0.3</v>
      </c>
      <c r="B20" s="7">
        <v>0.21999999999999997</v>
      </c>
      <c r="C20" s="7">
        <v>0.38705942696180384</v>
      </c>
    </row>
    <row r="21" spans="1:3">
      <c r="A21" s="17">
        <v>0.4</v>
      </c>
      <c r="B21" s="7">
        <v>0.21</v>
      </c>
      <c r="C21" s="7">
        <v>0.36758672446104473</v>
      </c>
    </row>
    <row r="22" spans="1:3">
      <c r="A22" s="17">
        <v>0.5</v>
      </c>
      <c r="B22" s="7">
        <v>0.2</v>
      </c>
      <c r="C22" s="60">
        <v>0.35124777579366961</v>
      </c>
    </row>
    <row r="23" spans="1:3">
      <c r="A23" s="17">
        <v>0.6</v>
      </c>
      <c r="B23" s="7">
        <v>0.19</v>
      </c>
      <c r="C23" s="7">
        <v>0.33849667649771692</v>
      </c>
    </row>
    <row r="24" spans="1:3">
      <c r="A24" s="17">
        <v>0.7</v>
      </c>
      <c r="B24" s="7">
        <v>0.18</v>
      </c>
      <c r="C24" s="7">
        <v>0.32974990523122216</v>
      </c>
    </row>
    <row r="25" spans="1:3">
      <c r="A25" s="17">
        <v>0.8</v>
      </c>
      <c r="B25" s="7">
        <v>0.16999999999999998</v>
      </c>
      <c r="C25" s="7">
        <v>0.32533060108142303</v>
      </c>
    </row>
    <row r="26" spans="1:3">
      <c r="A26" s="17">
        <v>0.9</v>
      </c>
      <c r="B26" s="7">
        <v>0.16</v>
      </c>
      <c r="C26" s="7">
        <v>0.32541511950123031</v>
      </c>
    </row>
    <row r="27" spans="1:3">
      <c r="A27" s="17">
        <v>1</v>
      </c>
      <c r="B27" s="7">
        <v>0.15</v>
      </c>
      <c r="C27" s="7">
        <v>0.33</v>
      </c>
    </row>
    <row r="29" spans="1:3">
      <c r="A29" t="s">
        <v>83</v>
      </c>
      <c r="B29" t="s">
        <v>40</v>
      </c>
    </row>
    <row r="30" spans="1:3" ht="14">
      <c r="A30" s="13" t="s">
        <v>84</v>
      </c>
      <c r="B30" s="37">
        <v>0.84813558604677064</v>
      </c>
    </row>
    <row r="31" spans="1:3">
      <c r="A31" t="s">
        <v>85</v>
      </c>
      <c r="B31" s="37">
        <f>1-B30</f>
        <v>0.15186441395322936</v>
      </c>
    </row>
    <row r="32" spans="1:3">
      <c r="A32" t="s">
        <v>33</v>
      </c>
      <c r="B32" s="51">
        <f>SUMPRODUCT(B2:B3,B30:B31)</f>
        <v>0.16518644139532293</v>
      </c>
    </row>
    <row r="33" spans="1:2">
      <c r="A33" t="s">
        <v>4</v>
      </c>
      <c r="B33" s="54">
        <f>SQRT(B30^2*C2^2+B31^2*C3^2+2*B30*B31*B4)</f>
        <v>0.32480492189641397</v>
      </c>
    </row>
  </sheetData>
  <phoneticPr fontId="7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BC928-E6C4-394E-8C96-2C077902AA2B}">
  <dimension ref="A1:F20"/>
  <sheetViews>
    <sheetView zoomScaleNormal="100" workbookViewId="0">
      <selection activeCell="B1" sqref="B1"/>
    </sheetView>
  </sheetViews>
  <sheetFormatPr baseColWidth="10" defaultRowHeight="13"/>
  <cols>
    <col min="1" max="1" width="25" bestFit="1" customWidth="1"/>
    <col min="2" max="2" width="9.33203125" bestFit="1" customWidth="1"/>
    <col min="3" max="3" width="9.1640625" bestFit="1" customWidth="1"/>
  </cols>
  <sheetData>
    <row r="1" spans="1:6" ht="42">
      <c r="B1" s="65" t="s">
        <v>145</v>
      </c>
      <c r="C1" s="65" t="s">
        <v>146</v>
      </c>
    </row>
    <row r="2" spans="1:6">
      <c r="A2" s="18" t="s">
        <v>147</v>
      </c>
      <c r="B2" s="11">
        <v>0.15</v>
      </c>
      <c r="C2" s="11">
        <v>0.33</v>
      </c>
    </row>
    <row r="3" spans="1:6">
      <c r="A3" s="18" t="s">
        <v>148</v>
      </c>
      <c r="B3" s="11">
        <v>0.25</v>
      </c>
      <c r="C3" s="11">
        <v>0.46</v>
      </c>
    </row>
    <row r="4" spans="1:6">
      <c r="A4" s="18" t="s">
        <v>149</v>
      </c>
      <c r="B4">
        <v>8.6499999999999994E-2</v>
      </c>
    </row>
    <row r="5" spans="1:6">
      <c r="A5" s="18" t="s">
        <v>150</v>
      </c>
      <c r="B5">
        <v>0.56979999999999997</v>
      </c>
    </row>
    <row r="7" spans="1:6">
      <c r="A7" s="18" t="s">
        <v>151</v>
      </c>
      <c r="B7">
        <v>0.59999999999999987</v>
      </c>
    </row>
    <row r="8" spans="1:6">
      <c r="A8" s="18" t="s">
        <v>152</v>
      </c>
      <c r="B8">
        <f>1-B7</f>
        <v>0.40000000000000013</v>
      </c>
    </row>
    <row r="9" spans="1:6">
      <c r="E9" s="52"/>
      <c r="F9" s="9"/>
    </row>
    <row r="10" spans="1:6">
      <c r="A10" s="18" t="s">
        <v>153</v>
      </c>
      <c r="B10" s="2">
        <f>SUMPRODUCT(B7:B8,B2:B3)</f>
        <v>0.19</v>
      </c>
      <c r="D10" s="11"/>
    </row>
    <row r="11" spans="1:6" ht="14">
      <c r="A11" s="65" t="s">
        <v>154</v>
      </c>
      <c r="B11" s="54">
        <f>SQRT(B7^2*C2^2+B8^2*C3^2+2*B7*B8*B4)</f>
        <v>0.33849667649771692</v>
      </c>
      <c r="D11" s="11"/>
    </row>
    <row r="12" spans="1:6">
      <c r="D12" s="11"/>
    </row>
    <row r="13" spans="1:6">
      <c r="D13" s="11"/>
    </row>
    <row r="14" spans="1:6">
      <c r="D14" s="11"/>
    </row>
    <row r="15" spans="1:6">
      <c r="D15" s="11"/>
    </row>
    <row r="16" spans="1:6">
      <c r="D16" s="11"/>
    </row>
    <row r="17" spans="4:4">
      <c r="D17" s="11"/>
    </row>
    <row r="18" spans="4:4">
      <c r="D18" s="11"/>
    </row>
    <row r="19" spans="4:4">
      <c r="D19" s="11"/>
    </row>
    <row r="20" spans="4:4">
      <c r="D20" s="11"/>
    </row>
  </sheetData>
  <phoneticPr fontId="7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FB4A2-5C68-F247-9FBE-7B641E2D5F31}">
  <dimension ref="A1:D13"/>
  <sheetViews>
    <sheetView zoomScaleNormal="100" workbookViewId="0">
      <selection activeCell="C13" sqref="C13"/>
    </sheetView>
  </sheetViews>
  <sheetFormatPr baseColWidth="10" defaultRowHeight="13"/>
  <cols>
    <col min="3" max="3" width="16.83203125" bestFit="1" customWidth="1"/>
  </cols>
  <sheetData>
    <row r="1" spans="1:4">
      <c r="B1" s="18" t="s">
        <v>114</v>
      </c>
      <c r="C1" s="18" t="s">
        <v>157</v>
      </c>
      <c r="D1" s="18" t="s">
        <v>156</v>
      </c>
    </row>
    <row r="2" spans="1:4">
      <c r="A2" s="50" t="s">
        <v>155</v>
      </c>
      <c r="B2" s="11">
        <v>0.13</v>
      </c>
      <c r="C2" s="11">
        <v>0.2</v>
      </c>
      <c r="D2" s="11">
        <v>0.6</v>
      </c>
    </row>
    <row r="3" spans="1:4">
      <c r="A3" s="50" t="s">
        <v>159</v>
      </c>
      <c r="B3" s="58">
        <v>0.15</v>
      </c>
      <c r="C3" s="11">
        <v>0.25</v>
      </c>
      <c r="D3" s="11"/>
    </row>
    <row r="5" spans="1:4">
      <c r="A5" s="18" t="s">
        <v>116</v>
      </c>
    </row>
    <row r="6" spans="1:4">
      <c r="A6" s="50" t="s">
        <v>158</v>
      </c>
      <c r="B6">
        <v>0</v>
      </c>
    </row>
    <row r="7" spans="1:4">
      <c r="A7" s="50" t="s">
        <v>160</v>
      </c>
      <c r="B7" s="2">
        <v>0.18</v>
      </c>
      <c r="C7" s="66">
        <v>0.5481510367249578</v>
      </c>
      <c r="D7" s="11">
        <v>0.4</v>
      </c>
    </row>
    <row r="8" spans="1:4">
      <c r="A8" s="50" t="s">
        <v>159</v>
      </c>
      <c r="B8" s="52">
        <f>$B$2*$D$2+B7*D7</f>
        <v>0.15</v>
      </c>
      <c r="C8" s="2">
        <f>SQRT($D$2^2*$C$2^2+D7^2*C7^2)</f>
        <v>0.24995025395070794</v>
      </c>
    </row>
    <row r="10" spans="1:4">
      <c r="A10" s="50" t="s">
        <v>117</v>
      </c>
    </row>
    <row r="11" spans="1:4">
      <c r="A11" s="50" t="s">
        <v>105</v>
      </c>
      <c r="B11">
        <v>0.01</v>
      </c>
    </row>
    <row r="12" spans="1:4">
      <c r="A12" s="50" t="s">
        <v>160</v>
      </c>
      <c r="B12" s="2">
        <v>0.18</v>
      </c>
      <c r="C12" s="66">
        <v>0.52038719018356072</v>
      </c>
      <c r="D12" s="11">
        <v>0.4</v>
      </c>
    </row>
    <row r="13" spans="1:4">
      <c r="A13" s="50" t="s">
        <v>159</v>
      </c>
      <c r="B13" s="52">
        <f>$B$2*$D$2+B12*D12</f>
        <v>0.15</v>
      </c>
      <c r="C13" s="2">
        <f>SQRT($D$2^2*$C$2^2+D12^2*C12^2+2*D2*D12*B11)</f>
        <v>0.25005689839143136</v>
      </c>
    </row>
  </sheetData>
  <phoneticPr fontId="7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E16"/>
  <sheetViews>
    <sheetView workbookViewId="0">
      <selection sqref="A1:E16"/>
    </sheetView>
  </sheetViews>
  <sheetFormatPr baseColWidth="10" defaultColWidth="8.83203125" defaultRowHeight="13"/>
  <cols>
    <col min="1" max="1" width="21.83203125" customWidth="1"/>
    <col min="2" max="2" width="12.5" customWidth="1"/>
    <col min="3" max="3" width="10.5" customWidth="1"/>
  </cols>
  <sheetData>
    <row r="1" spans="1:5" ht="18">
      <c r="A1" s="78" t="s">
        <v>96</v>
      </c>
      <c r="B1" s="78"/>
      <c r="C1" s="78"/>
      <c r="D1" s="78"/>
      <c r="E1" s="78"/>
    </row>
    <row r="2" spans="1:5">
      <c r="B2" s="4" t="s">
        <v>37</v>
      </c>
      <c r="C2" s="4" t="s">
        <v>38</v>
      </c>
    </row>
    <row r="3" spans="1:5">
      <c r="A3" t="s">
        <v>39</v>
      </c>
      <c r="B3" s="9">
        <v>0.21</v>
      </c>
      <c r="C3" s="9">
        <v>0.14000000000000001</v>
      </c>
    </row>
    <row r="4" spans="1:5">
      <c r="A4" t="s">
        <v>3</v>
      </c>
      <c r="B4">
        <v>0.11</v>
      </c>
      <c r="C4">
        <v>4.4999999999999998E-2</v>
      </c>
    </row>
    <row r="5" spans="1:5">
      <c r="A5" t="s">
        <v>8</v>
      </c>
      <c r="B5" s="2">
        <f>SQRT(B4)</f>
        <v>0.33166247903553997</v>
      </c>
      <c r="C5" s="2">
        <f>SQRT(C4)</f>
        <v>0.21213203435596426</v>
      </c>
    </row>
    <row r="7" spans="1:5">
      <c r="A7" t="s">
        <v>17</v>
      </c>
      <c r="B7" s="10">
        <f>-0.002</f>
        <v>-2E-3</v>
      </c>
    </row>
    <row r="8" spans="1:5">
      <c r="A8" t="s">
        <v>58</v>
      </c>
      <c r="B8" s="10">
        <f>B7/(B5*C5)</f>
        <v>-2.8426762180748057E-2</v>
      </c>
      <c r="C8" t="str">
        <f ca="1">getformula(B8)</f>
        <v>&lt;-- =B7/(B5*C5)</v>
      </c>
    </row>
    <row r="10" spans="1:5">
      <c r="A10" s="12" t="s">
        <v>40</v>
      </c>
    </row>
    <row r="11" spans="1:5">
      <c r="A11" t="s">
        <v>41</v>
      </c>
      <c r="B11" s="36">
        <v>0.2955974836599532</v>
      </c>
    </row>
    <row r="12" spans="1:5">
      <c r="A12" t="s">
        <v>42</v>
      </c>
      <c r="B12" s="36">
        <f>1-B11</f>
        <v>0.7044025163400468</v>
      </c>
    </row>
    <row r="14" spans="1:5">
      <c r="A14" t="s">
        <v>35</v>
      </c>
      <c r="B14" s="35">
        <f>B11*B3+B12*C3</f>
        <v>0.16069182385619674</v>
      </c>
    </row>
    <row r="15" spans="1:5">
      <c r="A15" t="s">
        <v>43</v>
      </c>
      <c r="B15" s="32">
        <f>B11^2*B4+B12^2*C4+2*B11*B12*B7</f>
        <v>3.1106918238993708E-2</v>
      </c>
    </row>
    <row r="16" spans="1:5">
      <c r="A16" t="s">
        <v>44</v>
      </c>
      <c r="B16" s="35">
        <f>SQRT(B15)</f>
        <v>0.17637153466189975</v>
      </c>
    </row>
  </sheetData>
  <mergeCells count="1">
    <mergeCell ref="A1:E1"/>
  </mergeCells>
  <phoneticPr fontId="7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FF380-C7FC-1F4A-8D27-F1CBC06A4F01}">
  <dimension ref="A1:J22"/>
  <sheetViews>
    <sheetView workbookViewId="0">
      <selection activeCell="A11" sqref="A11:A12"/>
    </sheetView>
  </sheetViews>
  <sheetFormatPr baseColWidth="10" defaultRowHeight="13"/>
  <cols>
    <col min="1" max="1" width="25.5" bestFit="1" customWidth="1"/>
    <col min="2" max="2" width="8.5" bestFit="1" customWidth="1"/>
    <col min="3" max="3" width="14.33203125" bestFit="1" customWidth="1"/>
    <col min="5" max="6" width="16" bestFit="1" customWidth="1"/>
    <col min="7" max="8" width="8" bestFit="1" customWidth="1"/>
  </cols>
  <sheetData>
    <row r="1" spans="1:10" ht="18">
      <c r="A1" s="78" t="s">
        <v>96</v>
      </c>
      <c r="B1" s="78"/>
      <c r="C1" s="78"/>
      <c r="D1" s="78"/>
      <c r="E1" s="78"/>
      <c r="F1" s="18" t="s">
        <v>161</v>
      </c>
      <c r="G1" s="9">
        <f>B14</f>
        <v>0.16069182385619674</v>
      </c>
      <c r="H1" s="9">
        <f>B16</f>
        <v>0.17637153466189975</v>
      </c>
    </row>
    <row r="2" spans="1:10">
      <c r="B2" s="4" t="s">
        <v>37</v>
      </c>
      <c r="C2" s="4" t="s">
        <v>38</v>
      </c>
      <c r="F2" s="11">
        <v>0</v>
      </c>
      <c r="G2">
        <f t="dataTable" ref="G2:H22" dt2D="0" dtr="0" r1="B11"/>
        <v>0.14000000000000001</v>
      </c>
      <c r="H2">
        <v>0.21213203435596426</v>
      </c>
    </row>
    <row r="3" spans="1:10">
      <c r="A3" t="s">
        <v>39</v>
      </c>
      <c r="B3" s="9">
        <v>0.21</v>
      </c>
      <c r="C3" s="9">
        <v>0.14000000000000001</v>
      </c>
      <c r="F3" s="11">
        <v>0.05</v>
      </c>
      <c r="G3">
        <v>0.14350000000000002</v>
      </c>
      <c r="H3">
        <v>0.20173621390320576</v>
      </c>
    </row>
    <row r="4" spans="1:10">
      <c r="A4" t="s">
        <v>3</v>
      </c>
      <c r="B4">
        <v>0.11</v>
      </c>
      <c r="C4">
        <v>4.4999999999999998E-2</v>
      </c>
      <c r="F4" s="11">
        <v>0.1</v>
      </c>
      <c r="G4">
        <v>0.14700000000000002</v>
      </c>
      <c r="H4">
        <v>0.19284708968506628</v>
      </c>
    </row>
    <row r="5" spans="1:10">
      <c r="A5" t="s">
        <v>8</v>
      </c>
      <c r="B5" s="2">
        <f>SQRT(B4)</f>
        <v>0.33166247903553997</v>
      </c>
      <c r="C5" s="2">
        <f>SQRT(C4)</f>
        <v>0.21213203435596426</v>
      </c>
      <c r="F5" s="11">
        <v>0.15</v>
      </c>
      <c r="G5">
        <v>0.15050000000000002</v>
      </c>
      <c r="H5">
        <v>0.18568117836765252</v>
      </c>
    </row>
    <row r="6" spans="1:10">
      <c r="F6" s="11">
        <v>0.2</v>
      </c>
      <c r="G6">
        <v>0.15400000000000003</v>
      </c>
      <c r="H6">
        <v>0.18044389709823938</v>
      </c>
    </row>
    <row r="7" spans="1:10">
      <c r="A7" t="s">
        <v>17</v>
      </c>
      <c r="B7" s="10">
        <f>-0.002</f>
        <v>-2E-3</v>
      </c>
      <c r="F7" s="11">
        <v>0.25</v>
      </c>
      <c r="G7">
        <v>0.1575</v>
      </c>
      <c r="H7">
        <v>0.17730623226497144</v>
      </c>
      <c r="I7" s="9">
        <f>B14</f>
        <v>0.16069182385619674</v>
      </c>
      <c r="J7" s="9">
        <f>B16</f>
        <v>0.17637153466189975</v>
      </c>
    </row>
    <row r="8" spans="1:10">
      <c r="A8" t="s">
        <v>58</v>
      </c>
      <c r="B8" s="10">
        <f>B7/(B5*C5)</f>
        <v>-2.8426762180748057E-2</v>
      </c>
      <c r="C8" t="str">
        <f ca="1">getformula(B8)</f>
        <v>&lt;-- =B7/(B5*C5)</v>
      </c>
      <c r="F8" s="11">
        <v>0.3</v>
      </c>
      <c r="G8">
        <v>0.161</v>
      </c>
      <c r="H8">
        <v>0.17638027100557474</v>
      </c>
      <c r="I8">
        <v>0.161</v>
      </c>
      <c r="J8">
        <v>0.17638027100557474</v>
      </c>
    </row>
    <row r="9" spans="1:10">
      <c r="F9" s="11">
        <v>0.35</v>
      </c>
      <c r="G9">
        <v>0.16450000000000001</v>
      </c>
      <c r="H9">
        <v>0.17770059088252915</v>
      </c>
      <c r="I9">
        <v>0.16450000000000001</v>
      </c>
      <c r="J9">
        <v>0.17770059088252915</v>
      </c>
    </row>
    <row r="10" spans="1:10">
      <c r="A10" s="12" t="s">
        <v>40</v>
      </c>
      <c r="F10" s="11">
        <v>0.4</v>
      </c>
      <c r="G10">
        <v>0.16800000000000001</v>
      </c>
      <c r="H10">
        <v>0.18121810064118871</v>
      </c>
      <c r="I10">
        <v>0.16800000000000001</v>
      </c>
      <c r="J10">
        <v>0.18121810064118871</v>
      </c>
    </row>
    <row r="11" spans="1:10">
      <c r="A11" t="s">
        <v>41</v>
      </c>
      <c r="B11" s="36">
        <v>0.2955974836599532</v>
      </c>
      <c r="F11" s="11">
        <v>0.45</v>
      </c>
      <c r="G11">
        <v>0.17150000000000001</v>
      </c>
      <c r="H11">
        <v>0.18680872570626889</v>
      </c>
      <c r="I11">
        <v>0.17150000000000001</v>
      </c>
      <c r="J11">
        <v>0.18680872570626889</v>
      </c>
    </row>
    <row r="12" spans="1:10">
      <c r="A12" t="s">
        <v>42</v>
      </c>
      <c r="B12" s="36">
        <f>1-B11</f>
        <v>0.7044025163400468</v>
      </c>
      <c r="F12" s="11">
        <v>0.5</v>
      </c>
      <c r="G12">
        <v>0.17499999999999999</v>
      </c>
      <c r="H12">
        <v>0.19429359227725448</v>
      </c>
      <c r="I12">
        <v>0.17499999999999999</v>
      </c>
      <c r="J12">
        <v>0.19429359227725448</v>
      </c>
    </row>
    <row r="13" spans="1:10">
      <c r="F13" s="11">
        <v>0.55000000000000004</v>
      </c>
      <c r="G13">
        <v>0.17849999999999999</v>
      </c>
      <c r="H13">
        <v>0.20346375598617067</v>
      </c>
      <c r="I13">
        <v>0.17849999999999999</v>
      </c>
      <c r="J13">
        <v>0.20346375598617067</v>
      </c>
    </row>
    <row r="14" spans="1:10">
      <c r="A14" t="s">
        <v>35</v>
      </c>
      <c r="B14" s="35">
        <f>B11*B3+B12*C3</f>
        <v>0.16069182385619674</v>
      </c>
      <c r="F14" s="11">
        <v>0.6</v>
      </c>
      <c r="G14">
        <v>0.182</v>
      </c>
      <c r="H14">
        <v>0.21410277905716216</v>
      </c>
      <c r="I14">
        <v>0.182</v>
      </c>
      <c r="J14">
        <v>0.21410277905716216</v>
      </c>
    </row>
    <row r="15" spans="1:10">
      <c r="A15" t="s">
        <v>43</v>
      </c>
      <c r="B15" s="32">
        <f>B11^2*B4+B12^2*C4+2*B11*B12*B7</f>
        <v>3.1106918238993708E-2</v>
      </c>
      <c r="F15" s="11">
        <v>0.65</v>
      </c>
      <c r="G15">
        <v>0.1855</v>
      </c>
      <c r="H15">
        <v>0.2260033185597061</v>
      </c>
      <c r="I15">
        <v>0.1855</v>
      </c>
      <c r="J15">
        <v>0.2260033185597061</v>
      </c>
    </row>
    <row r="16" spans="1:10">
      <c r="A16" t="s">
        <v>44</v>
      </c>
      <c r="B16" s="35">
        <f>SQRT(B15)</f>
        <v>0.17637153466189975</v>
      </c>
      <c r="F16" s="11">
        <v>0.7</v>
      </c>
      <c r="G16">
        <v>0.189</v>
      </c>
      <c r="H16">
        <v>0.2389769863396892</v>
      </c>
      <c r="I16">
        <v>0.189</v>
      </c>
      <c r="J16">
        <v>0.2389769863396892</v>
      </c>
    </row>
    <row r="17" spans="6:10">
      <c r="F17" s="11">
        <v>0.75</v>
      </c>
      <c r="G17">
        <v>0.1925</v>
      </c>
      <c r="H17">
        <v>0.25285865616980563</v>
      </c>
      <c r="I17">
        <v>0.1925</v>
      </c>
      <c r="J17">
        <v>0.25285865616980563</v>
      </c>
    </row>
    <row r="18" spans="6:10">
      <c r="F18" s="11">
        <v>0.8</v>
      </c>
      <c r="G18">
        <v>0.19600000000000001</v>
      </c>
      <c r="H18">
        <v>0.26750700925396331</v>
      </c>
      <c r="I18">
        <v>0.19600000000000001</v>
      </c>
      <c r="J18">
        <v>0.26750700925396331</v>
      </c>
    </row>
    <row r="19" spans="6:10">
      <c r="F19" s="11">
        <v>0.85</v>
      </c>
      <c r="G19">
        <v>0.19950000000000001</v>
      </c>
      <c r="H19">
        <v>0.28280293492112135</v>
      </c>
      <c r="I19">
        <v>0.19950000000000001</v>
      </c>
      <c r="J19">
        <v>0.28280293492112135</v>
      </c>
    </row>
    <row r="20" spans="6:10">
      <c r="F20" s="11">
        <v>0.9</v>
      </c>
      <c r="G20">
        <v>0.20300000000000001</v>
      </c>
      <c r="H20">
        <v>0.29864694875387565</v>
      </c>
      <c r="I20">
        <v>0.20300000000000001</v>
      </c>
      <c r="J20">
        <v>0.29864694875387565</v>
      </c>
    </row>
    <row r="21" spans="6:10">
      <c r="F21" s="11">
        <v>0.95</v>
      </c>
      <c r="G21">
        <v>0.20649999999999999</v>
      </c>
      <c r="H21">
        <v>0.31495634618149865</v>
      </c>
      <c r="I21">
        <v>0.20649999999999999</v>
      </c>
      <c r="J21">
        <v>0.31495634618149865</v>
      </c>
    </row>
    <row r="22" spans="6:10">
      <c r="F22" s="11">
        <v>1</v>
      </c>
      <c r="G22">
        <v>0.21</v>
      </c>
      <c r="H22">
        <v>0.33166247903553997</v>
      </c>
      <c r="I22">
        <v>0.21</v>
      </c>
      <c r="J22">
        <v>0.33166247903553997</v>
      </c>
    </row>
  </sheetData>
  <mergeCells count="1">
    <mergeCell ref="A1:E1"/>
  </mergeCells>
  <phoneticPr fontId="7" type="noConversion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I22"/>
  <sheetViews>
    <sheetView workbookViewId="0">
      <selection activeCell="A10" sqref="A10:A11"/>
    </sheetView>
  </sheetViews>
  <sheetFormatPr baseColWidth="10" defaultColWidth="8.83203125" defaultRowHeight="13"/>
  <cols>
    <col min="1" max="1" width="13.83203125" bestFit="1" customWidth="1"/>
    <col min="2" max="2" width="13" bestFit="1" customWidth="1"/>
    <col min="3" max="3" width="8" bestFit="1" customWidth="1"/>
    <col min="4" max="4" width="10" customWidth="1"/>
    <col min="5" max="5" width="13.83203125" bestFit="1" customWidth="1"/>
    <col min="6" max="6" width="13" bestFit="1" customWidth="1"/>
    <col min="7" max="7" width="9" bestFit="1" customWidth="1"/>
    <col min="8" max="8" width="13.1640625" bestFit="1" customWidth="1"/>
  </cols>
  <sheetData>
    <row r="1" spans="1:9" ht="43.25" customHeight="1">
      <c r="A1" s="74" t="s">
        <v>96</v>
      </c>
      <c r="B1" s="74"/>
      <c r="C1" s="74"/>
      <c r="D1" s="3"/>
      <c r="E1" s="58" t="s">
        <v>163</v>
      </c>
      <c r="F1" s="52">
        <f>B14</f>
        <v>2.2660056241967601E-8</v>
      </c>
      <c r="G1" s="52">
        <f>B13</f>
        <v>0.1673067131778723</v>
      </c>
    </row>
    <row r="2" spans="1:9">
      <c r="B2" s="4" t="s">
        <v>37</v>
      </c>
      <c r="C2" s="4" t="s">
        <v>38</v>
      </c>
      <c r="E2" s="11">
        <v>0</v>
      </c>
      <c r="F2">
        <f t="dataTable" ref="F2:G22" dt2D="0" dtr="0" r1="B10"/>
        <v>0.21213203435596426</v>
      </c>
      <c r="G2">
        <v>0.14000000000000001</v>
      </c>
    </row>
    <row r="3" spans="1:9">
      <c r="A3" t="s">
        <v>39</v>
      </c>
      <c r="B3" s="9">
        <v>0.21</v>
      </c>
      <c r="C3" s="9">
        <v>0.14000000000000001</v>
      </c>
      <c r="E3" s="58">
        <v>0.05</v>
      </c>
      <c r="F3">
        <v>0.18494230868638903</v>
      </c>
      <c r="G3">
        <v>0.14350000000000002</v>
      </c>
    </row>
    <row r="4" spans="1:9">
      <c r="A4" t="s">
        <v>3</v>
      </c>
      <c r="B4">
        <v>0.11</v>
      </c>
      <c r="C4">
        <v>4.4999999999999998E-2</v>
      </c>
      <c r="E4" s="11">
        <v>0.1</v>
      </c>
      <c r="F4">
        <v>0.15775258301681383</v>
      </c>
      <c r="G4">
        <v>0.14700000000000002</v>
      </c>
    </row>
    <row r="5" spans="1:9">
      <c r="A5" t="s">
        <v>8</v>
      </c>
      <c r="B5" s="2">
        <f>SQRT(B4)</f>
        <v>0.33166247903553997</v>
      </c>
      <c r="C5" s="2">
        <f>SQRT(C4)</f>
        <v>0.21213203435596426</v>
      </c>
      <c r="E5" s="58">
        <v>0.15</v>
      </c>
      <c r="F5">
        <v>0.13056285734723858</v>
      </c>
      <c r="G5">
        <v>0.15050000000000002</v>
      </c>
    </row>
    <row r="6" spans="1:9">
      <c r="E6" s="11">
        <v>0.2</v>
      </c>
      <c r="F6">
        <v>0.10337313167766343</v>
      </c>
      <c r="G6">
        <v>0.15400000000000003</v>
      </c>
    </row>
    <row r="7" spans="1:9">
      <c r="A7" t="s">
        <v>6</v>
      </c>
      <c r="B7" s="10">
        <v>-1</v>
      </c>
      <c r="E7" s="58">
        <v>0.25</v>
      </c>
      <c r="F7" s="12">
        <v>7.6183406008088192E-2</v>
      </c>
      <c r="G7">
        <v>0.1575</v>
      </c>
    </row>
    <row r="8" spans="1:9">
      <c r="A8" t="s">
        <v>5</v>
      </c>
      <c r="B8" s="46">
        <f>B7*B5*C5</f>
        <v>-7.0356236397351446E-2</v>
      </c>
      <c r="E8" s="11">
        <v>0.3</v>
      </c>
      <c r="F8" s="12">
        <v>4.8993680338512903E-2</v>
      </c>
      <c r="G8">
        <v>0.161</v>
      </c>
    </row>
    <row r="9" spans="1:9">
      <c r="E9" s="58">
        <v>0.35</v>
      </c>
      <c r="F9">
        <v>2.1803954668937867E-2</v>
      </c>
      <c r="G9">
        <v>0.16450000000000001</v>
      </c>
      <c r="H9">
        <f>B14</f>
        <v>2.2660056241967601E-8</v>
      </c>
      <c r="I9" s="52">
        <f>B13</f>
        <v>0.1673067131778723</v>
      </c>
    </row>
    <row r="10" spans="1:9">
      <c r="A10" s="18" t="s">
        <v>163</v>
      </c>
      <c r="B10" s="11">
        <v>0.39009590254103277</v>
      </c>
      <c r="E10" s="11">
        <v>0.4</v>
      </c>
      <c r="F10">
        <v>5.3857710006379187E-3</v>
      </c>
      <c r="G10">
        <v>0.16800000000000001</v>
      </c>
      <c r="H10">
        <v>5.3857710006379187E-3</v>
      </c>
      <c r="I10">
        <v>0.16800000000000001</v>
      </c>
    </row>
    <row r="11" spans="1:9">
      <c r="A11" s="18" t="s">
        <v>164</v>
      </c>
      <c r="B11" s="11">
        <f>1-B10</f>
        <v>0.60990409745896723</v>
      </c>
      <c r="E11" s="58">
        <v>0.45</v>
      </c>
      <c r="F11">
        <v>3.2575496670212631E-2</v>
      </c>
      <c r="G11">
        <v>0.17150000000000001</v>
      </c>
      <c r="H11">
        <v>3.2575496670212631E-2</v>
      </c>
      <c r="I11">
        <v>0.17150000000000001</v>
      </c>
    </row>
    <row r="12" spans="1:9">
      <c r="E12" s="11">
        <v>0.5</v>
      </c>
      <c r="F12">
        <v>5.976522233978785E-2</v>
      </c>
      <c r="G12">
        <v>0.17499999999999999</v>
      </c>
      <c r="H12">
        <v>5.976522233978785E-2</v>
      </c>
      <c r="I12">
        <v>0.17499999999999999</v>
      </c>
    </row>
    <row r="13" spans="1:9">
      <c r="A13" s="18" t="s">
        <v>114</v>
      </c>
      <c r="B13" s="52">
        <f>B10*B3+B11*C3</f>
        <v>0.1673067131778723</v>
      </c>
      <c r="E13" s="58">
        <v>0.55000000000000004</v>
      </c>
      <c r="F13">
        <v>8.6954948009363056E-2</v>
      </c>
      <c r="G13">
        <v>0.17849999999999999</v>
      </c>
      <c r="H13">
        <v>8.6954948009363056E-2</v>
      </c>
      <c r="I13">
        <v>0.17849999999999999</v>
      </c>
    </row>
    <row r="14" spans="1:9">
      <c r="A14" s="18" t="s">
        <v>162</v>
      </c>
      <c r="B14">
        <f>SQRT(B10^2*B4+B11^2*C4+2*B10*B11*B8)</f>
        <v>2.2660056241967601E-8</v>
      </c>
      <c r="E14" s="11">
        <v>0.6</v>
      </c>
      <c r="F14">
        <v>0.11414467367893827</v>
      </c>
      <c r="G14">
        <v>0.182</v>
      </c>
      <c r="H14">
        <v>0.11414467367893827</v>
      </c>
      <c r="I14">
        <v>0.182</v>
      </c>
    </row>
    <row r="15" spans="1:9">
      <c r="E15" s="58">
        <v>0.65</v>
      </c>
      <c r="F15">
        <v>0.1413343993485135</v>
      </c>
      <c r="G15">
        <v>0.1855</v>
      </c>
      <c r="H15">
        <v>0.1413343993485135</v>
      </c>
      <c r="I15">
        <v>0.1855</v>
      </c>
    </row>
    <row r="16" spans="1:9">
      <c r="E16" s="11">
        <v>0.7</v>
      </c>
      <c r="F16">
        <v>0.16852412501808869</v>
      </c>
      <c r="G16">
        <v>0.189</v>
      </c>
      <c r="H16">
        <v>0.16852412501808869</v>
      </c>
      <c r="I16">
        <v>0.189</v>
      </c>
    </row>
    <row r="17" spans="5:9">
      <c r="E17" s="58">
        <v>0.75</v>
      </c>
      <c r="F17">
        <v>0.19571385068766392</v>
      </c>
      <c r="G17">
        <v>0.1925</v>
      </c>
      <c r="H17">
        <v>0.19571385068766392</v>
      </c>
      <c r="I17">
        <v>0.1925</v>
      </c>
    </row>
    <row r="18" spans="5:9">
      <c r="E18" s="11">
        <v>0.8</v>
      </c>
      <c r="F18">
        <v>0.22290357635723917</v>
      </c>
      <c r="G18">
        <v>0.19600000000000001</v>
      </c>
      <c r="H18">
        <v>0.22290357635723917</v>
      </c>
      <c r="I18">
        <v>0.19600000000000001</v>
      </c>
    </row>
    <row r="19" spans="5:9">
      <c r="E19" s="58">
        <v>0.85</v>
      </c>
      <c r="F19">
        <v>0.25009330202681435</v>
      </c>
      <c r="G19">
        <v>0.19950000000000001</v>
      </c>
      <c r="H19">
        <v>0.25009330202681435</v>
      </c>
      <c r="I19">
        <v>0.19950000000000001</v>
      </c>
    </row>
    <row r="20" spans="5:9">
      <c r="E20" s="11">
        <v>0.9</v>
      </c>
      <c r="F20">
        <v>0.27728302769638957</v>
      </c>
      <c r="G20">
        <v>0.20300000000000001</v>
      </c>
      <c r="H20">
        <v>0.27728302769638957</v>
      </c>
      <c r="I20">
        <v>0.20300000000000001</v>
      </c>
    </row>
    <row r="21" spans="5:9">
      <c r="E21" s="58">
        <v>0.95</v>
      </c>
      <c r="F21">
        <v>0.3044727533659648</v>
      </c>
      <c r="G21">
        <v>0.20649999999999999</v>
      </c>
      <c r="H21">
        <v>0.3044727533659648</v>
      </c>
      <c r="I21">
        <v>0.20649999999999999</v>
      </c>
    </row>
    <row r="22" spans="5:9">
      <c r="E22" s="11">
        <v>1</v>
      </c>
      <c r="F22">
        <v>0.33166247903553997</v>
      </c>
      <c r="G22">
        <v>0.21</v>
      </c>
      <c r="H22">
        <v>0.33166247903553997</v>
      </c>
      <c r="I22">
        <v>0.21</v>
      </c>
    </row>
  </sheetData>
  <mergeCells count="1">
    <mergeCell ref="A1:C1"/>
  </mergeCells>
  <phoneticPr fontId="7" type="noConversion"/>
  <printOptions headings="1" gridLines="1"/>
  <pageMargins left="0.75" right="0.75" top="1" bottom="1" header="0.5" footer="0.5"/>
  <pageSetup orientation="portrait" verticalDpi="4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C7FFB-8E82-A64C-B08C-3449395C6FB2}">
  <dimension ref="A1:K22"/>
  <sheetViews>
    <sheetView workbookViewId="0">
      <selection sqref="A1:C11"/>
    </sheetView>
  </sheetViews>
  <sheetFormatPr baseColWidth="10" defaultRowHeight="13"/>
  <cols>
    <col min="1" max="1" width="19.1640625" bestFit="1" customWidth="1"/>
    <col min="2" max="2" width="9" bestFit="1" customWidth="1"/>
    <col min="3" max="3" width="8" bestFit="1" customWidth="1"/>
    <col min="5" max="5" width="13.83203125" bestFit="1" customWidth="1"/>
  </cols>
  <sheetData>
    <row r="1" spans="1:11">
      <c r="B1" s="18" t="s">
        <v>138</v>
      </c>
      <c r="C1" s="18" t="s">
        <v>139</v>
      </c>
      <c r="E1" s="18" t="s">
        <v>133</v>
      </c>
      <c r="F1" s="52">
        <f>B11</f>
        <v>0.2078109500009806</v>
      </c>
      <c r="G1" s="52">
        <f>B10</f>
        <v>0.10883529940959093</v>
      </c>
    </row>
    <row r="2" spans="1:11">
      <c r="A2" s="18" t="s">
        <v>165</v>
      </c>
      <c r="B2" s="11">
        <v>7.0000000000000007E-2</v>
      </c>
      <c r="C2" s="11">
        <v>0.13</v>
      </c>
      <c r="E2" s="11">
        <v>0</v>
      </c>
      <c r="F2">
        <f t="dataTable" ref="F2:G22" dt2D="0" dtr="0" r1="B7"/>
        <v>0.37986839826445157</v>
      </c>
      <c r="G2">
        <v>0.13</v>
      </c>
      <c r="H2">
        <v>0.20781000938357133</v>
      </c>
      <c r="I2">
        <v>7.6000000000000012E-2</v>
      </c>
      <c r="J2" s="52">
        <f>B11</f>
        <v>0.2078109500009806</v>
      </c>
      <c r="K2" s="52">
        <f>B10</f>
        <v>0.10883529940959093</v>
      </c>
    </row>
    <row r="3" spans="1:11">
      <c r="A3" s="18" t="s">
        <v>128</v>
      </c>
      <c r="B3">
        <v>6.3799999999999996E-2</v>
      </c>
      <c r="C3">
        <v>0.14430000000000001</v>
      </c>
      <c r="E3" s="11">
        <v>0.05</v>
      </c>
      <c r="F3">
        <v>0.35376015886473144</v>
      </c>
      <c r="G3">
        <v>0.127</v>
      </c>
    </row>
    <row r="4" spans="1:11">
      <c r="A4" s="18" t="s">
        <v>129</v>
      </c>
      <c r="B4" s="9">
        <v>0.2525</v>
      </c>
      <c r="C4" s="9">
        <v>0.37990000000000002</v>
      </c>
      <c r="E4" s="11">
        <v>0.1</v>
      </c>
      <c r="F4">
        <v>0.3280015243867016</v>
      </c>
      <c r="G4">
        <v>0.12400000000000001</v>
      </c>
    </row>
    <row r="5" spans="1:11">
      <c r="A5" s="18" t="s">
        <v>130</v>
      </c>
      <c r="B5">
        <v>-5.5199999999999999E-2</v>
      </c>
      <c r="E5" s="11">
        <v>0.15</v>
      </c>
      <c r="F5">
        <v>0.30268176357355919</v>
      </c>
      <c r="G5">
        <v>0.121</v>
      </c>
    </row>
    <row r="6" spans="1:11">
      <c r="E6" s="11">
        <v>0.2</v>
      </c>
      <c r="F6">
        <v>0.27792085204244754</v>
      </c>
      <c r="G6">
        <v>0.11800000000000001</v>
      </c>
    </row>
    <row r="7" spans="1:11">
      <c r="A7" s="18" t="s">
        <v>133</v>
      </c>
      <c r="B7" s="11">
        <v>0.35274500984015117</v>
      </c>
      <c r="E7" s="11">
        <v>0.25</v>
      </c>
      <c r="F7">
        <v>0.25388235464482367</v>
      </c>
      <c r="G7">
        <v>0.115</v>
      </c>
    </row>
    <row r="8" spans="1:11">
      <c r="A8" s="18" t="s">
        <v>134</v>
      </c>
      <c r="B8" s="11">
        <f>1-B7</f>
        <v>0.64725499015984878</v>
      </c>
      <c r="E8" s="11">
        <v>0.3</v>
      </c>
      <c r="F8">
        <v>0.23079211425003238</v>
      </c>
      <c r="G8">
        <v>0.112</v>
      </c>
    </row>
    <row r="9" spans="1:11">
      <c r="E9" s="11">
        <v>0.35</v>
      </c>
      <c r="F9">
        <v>0.20896470993926228</v>
      </c>
      <c r="G9">
        <v>0.10900000000000001</v>
      </c>
    </row>
    <row r="10" spans="1:11">
      <c r="A10" s="18" t="s">
        <v>114</v>
      </c>
      <c r="B10" s="52">
        <f>B7*B2+B8*C2</f>
        <v>0.10883529940959093</v>
      </c>
      <c r="E10" s="11">
        <v>0.4</v>
      </c>
      <c r="F10">
        <v>0.18883855538528144</v>
      </c>
      <c r="G10">
        <v>0.10600000000000001</v>
      </c>
    </row>
    <row r="11" spans="1:11">
      <c r="A11" s="18" t="s">
        <v>162</v>
      </c>
      <c r="B11" s="54">
        <f>SQRT(B7^2*B3+B8^2*C3+2*B7*B8*B5)</f>
        <v>0.2078109500009806</v>
      </c>
      <c r="E11" s="11">
        <v>0.45</v>
      </c>
      <c r="F11">
        <v>0.17101535018822142</v>
      </c>
      <c r="G11">
        <v>0.10300000000000001</v>
      </c>
    </row>
    <row r="12" spans="1:11">
      <c r="E12" s="11">
        <v>0.5</v>
      </c>
      <c r="F12">
        <v>0.15628499608087784</v>
      </c>
      <c r="G12">
        <v>0.1</v>
      </c>
    </row>
    <row r="13" spans="1:11">
      <c r="E13" s="11">
        <v>0.55000000000000004</v>
      </c>
      <c r="F13">
        <v>0.14558931966322256</v>
      </c>
      <c r="G13">
        <v>9.7000000000000003E-2</v>
      </c>
    </row>
    <row r="14" spans="1:11">
      <c r="E14" s="11">
        <v>0.6</v>
      </c>
      <c r="F14">
        <v>0.13985706989637672</v>
      </c>
      <c r="G14">
        <v>9.4E-2</v>
      </c>
    </row>
    <row r="15" spans="1:11">
      <c r="E15" s="11">
        <v>0.65</v>
      </c>
      <c r="F15">
        <v>0.13970057265451707</v>
      </c>
      <c r="G15">
        <v>9.0999999999999998E-2</v>
      </c>
    </row>
    <row r="16" spans="1:11">
      <c r="E16" s="11">
        <v>0.7</v>
      </c>
      <c r="F16">
        <v>0.14513786549346794</v>
      </c>
      <c r="G16">
        <v>8.8000000000000009E-2</v>
      </c>
    </row>
    <row r="17" spans="5:7">
      <c r="E17" s="11">
        <v>0.75</v>
      </c>
      <c r="F17">
        <v>0.15558357882501608</v>
      </c>
      <c r="G17">
        <v>8.5000000000000006E-2</v>
      </c>
    </row>
    <row r="18" spans="5:7">
      <c r="E18" s="11">
        <v>0.8</v>
      </c>
      <c r="F18">
        <v>0.1701176063786462</v>
      </c>
      <c r="G18">
        <v>8.2000000000000003E-2</v>
      </c>
    </row>
    <row r="19" spans="5:7">
      <c r="E19" s="11">
        <v>0.85</v>
      </c>
      <c r="F19">
        <v>0.18779310423974568</v>
      </c>
      <c r="G19">
        <v>7.9000000000000015E-2</v>
      </c>
    </row>
    <row r="20" spans="5:7">
      <c r="E20" s="11">
        <v>0.9</v>
      </c>
      <c r="F20">
        <v>0.20781000938357133</v>
      </c>
      <c r="G20">
        <v>7.6000000000000012E-2</v>
      </c>
    </row>
    <row r="21" spans="5:7">
      <c r="E21" s="11">
        <v>0.95</v>
      </c>
      <c r="F21">
        <v>0.22955663789139269</v>
      </c>
      <c r="G21">
        <v>7.3000000000000009E-2</v>
      </c>
    </row>
    <row r="22" spans="5:7">
      <c r="E22" s="11">
        <v>1</v>
      </c>
      <c r="F22">
        <v>0.25258661880630179</v>
      </c>
      <c r="G22">
        <v>7.0000000000000007E-2</v>
      </c>
    </row>
  </sheetData>
  <phoneticPr fontId="7" type="noConversion"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D7853-52F0-8142-B8D8-74BAC9E63E29}">
  <dimension ref="A1:D18"/>
  <sheetViews>
    <sheetView workbookViewId="0">
      <selection activeCell="B18" sqref="B18"/>
    </sheetView>
  </sheetViews>
  <sheetFormatPr baseColWidth="10" defaultRowHeight="13"/>
  <sheetData>
    <row r="1" spans="1:4">
      <c r="A1" s="73" t="s">
        <v>166</v>
      </c>
      <c r="B1" s="73"/>
      <c r="C1" s="73" t="s">
        <v>167</v>
      </c>
      <c r="D1" s="73"/>
    </row>
    <row r="2" spans="1:4">
      <c r="A2" s="18" t="s">
        <v>122</v>
      </c>
      <c r="B2" s="18" t="s">
        <v>114</v>
      </c>
      <c r="C2" s="18" t="s">
        <v>122</v>
      </c>
      <c r="D2" s="18" t="s">
        <v>114</v>
      </c>
    </row>
    <row r="3" spans="1:4">
      <c r="A3" s="11">
        <v>0.5</v>
      </c>
      <c r="B3" s="11">
        <v>0.35</v>
      </c>
      <c r="C3" s="11">
        <v>0.5</v>
      </c>
      <c r="D3" s="11">
        <v>0.35</v>
      </c>
    </row>
    <row r="4" spans="1:4">
      <c r="A4" s="11">
        <v>0.5</v>
      </c>
      <c r="B4" s="11">
        <v>0.1</v>
      </c>
      <c r="C4" s="11">
        <v>0.5</v>
      </c>
      <c r="D4" s="11">
        <v>0.1</v>
      </c>
    </row>
    <row r="5" spans="1:4">
      <c r="A5" s="11"/>
      <c r="B5" s="11"/>
      <c r="C5" s="11"/>
      <c r="D5" s="11"/>
    </row>
    <row r="6" spans="1:4">
      <c r="A6" s="18" t="s">
        <v>116</v>
      </c>
    </row>
    <row r="7" spans="1:4">
      <c r="A7" s="18" t="s">
        <v>165</v>
      </c>
      <c r="B7" s="11">
        <f>SUMPRODUCT(A3:A4,B3:B4)</f>
        <v>0.22499999999999998</v>
      </c>
      <c r="C7" s="11"/>
    </row>
    <row r="8" spans="1:4">
      <c r="A8" s="18" t="s">
        <v>128</v>
      </c>
      <c r="B8">
        <f>_xlfn.VAR.P(B3:B4)</f>
        <v>1.5625E-2</v>
      </c>
    </row>
    <row r="9" spans="1:4">
      <c r="A9" s="18" t="s">
        <v>129</v>
      </c>
      <c r="B9" s="9">
        <f>_xlfn.STDEV.P(B3:B4)</f>
        <v>0.125</v>
      </c>
      <c r="C9" s="9"/>
    </row>
    <row r="10" spans="1:4">
      <c r="A10" s="18"/>
    </row>
    <row r="11" spans="1:4">
      <c r="A11" s="18" t="s">
        <v>117</v>
      </c>
    </row>
    <row r="12" spans="1:4">
      <c r="A12" s="18">
        <v>0</v>
      </c>
      <c r="B12" s="11"/>
    </row>
    <row r="13" spans="1:4">
      <c r="A13" s="18"/>
      <c r="B13" s="11"/>
    </row>
    <row r="14" spans="1:4">
      <c r="A14" s="18" t="s">
        <v>118</v>
      </c>
    </row>
    <row r="15" spans="1:4">
      <c r="A15" s="50" t="s">
        <v>168</v>
      </c>
      <c r="B15" s="52"/>
    </row>
    <row r="16" spans="1:4">
      <c r="A16" s="18"/>
      <c r="B16" s="54"/>
    </row>
    <row r="17" spans="1:2">
      <c r="A17" s="50" t="s">
        <v>169</v>
      </c>
      <c r="B17" s="9">
        <f>B9</f>
        <v>0.125</v>
      </c>
    </row>
    <row r="18" spans="1:2">
      <c r="A18" s="50" t="s">
        <v>170</v>
      </c>
      <c r="B18" s="55">
        <f>SQRT(50%^2*B8+50%^2*B8)</f>
        <v>8.8388347648318447E-2</v>
      </c>
    </row>
  </sheetData>
  <mergeCells count="2">
    <mergeCell ref="A1:B1"/>
    <mergeCell ref="C1:D1"/>
  </mergeCells>
  <phoneticPr fontId="7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G33"/>
  <sheetViews>
    <sheetView workbookViewId="0">
      <selection activeCell="F2" sqref="F2:G22"/>
    </sheetView>
  </sheetViews>
  <sheetFormatPr baseColWidth="10" defaultColWidth="8.83203125" defaultRowHeight="13"/>
  <cols>
    <col min="1" max="1" width="32.1640625" bestFit="1" customWidth="1"/>
    <col min="2" max="3" width="11.1640625" customWidth="1"/>
    <col min="4" max="4" width="21.1640625" bestFit="1" customWidth="1"/>
    <col min="5" max="5" width="17.5" bestFit="1" customWidth="1"/>
    <col min="6" max="6" width="11.5" customWidth="1"/>
    <col min="7" max="7" width="17.5" customWidth="1"/>
    <col min="8" max="8" width="22.6640625" bestFit="1" customWidth="1"/>
    <col min="9" max="9" width="38.83203125" customWidth="1"/>
  </cols>
  <sheetData>
    <row r="1" spans="1:7" ht="18">
      <c r="A1" s="76" t="s">
        <v>80</v>
      </c>
      <c r="B1" s="76"/>
      <c r="C1" s="76"/>
      <c r="D1" s="76"/>
      <c r="E1" t="s">
        <v>87</v>
      </c>
      <c r="F1" s="9">
        <f>B33</f>
        <v>0.28201326338393429</v>
      </c>
      <c r="G1" s="9">
        <f>B32</f>
        <v>4.0000000000000022E-2</v>
      </c>
    </row>
    <row r="2" spans="1:7" ht="28">
      <c r="A2" s="20" t="s">
        <v>0</v>
      </c>
      <c r="B2" s="21" t="s">
        <v>73</v>
      </c>
      <c r="C2" s="21" t="s">
        <v>63</v>
      </c>
      <c r="D2" s="19"/>
      <c r="E2" s="11">
        <v>0</v>
      </c>
      <c r="F2">
        <f t="dataTable" ref="F2:G22" dt2D="0" dtr="0" r1="B30"/>
        <v>0.29284001851892699</v>
      </c>
      <c r="G2">
        <v>0.11840170097011923</v>
      </c>
    </row>
    <row r="3" spans="1:7">
      <c r="A3" s="22">
        <v>38717</v>
      </c>
      <c r="B3" s="2">
        <v>1.1291866028708135</v>
      </c>
      <c r="C3" s="23">
        <v>-9.3283582089553896E-3</v>
      </c>
      <c r="D3" s="24"/>
      <c r="E3" s="11">
        <v>0.05</v>
      </c>
      <c r="F3">
        <v>0.27465540010735923</v>
      </c>
      <c r="G3">
        <v>0.11100510263023444</v>
      </c>
    </row>
    <row r="4" spans="1:7">
      <c r="A4" s="22">
        <v>39082</v>
      </c>
      <c r="B4" s="2">
        <v>-0.52921348314606731</v>
      </c>
      <c r="C4" s="23">
        <v>0.15819209039548032</v>
      </c>
      <c r="D4" s="24"/>
      <c r="E4" s="11">
        <v>0.1</v>
      </c>
      <c r="F4">
        <v>0.25912077024892788</v>
      </c>
      <c r="G4">
        <v>0.10360850429034967</v>
      </c>
    </row>
    <row r="5" spans="1:7">
      <c r="A5" s="22">
        <v>39447</v>
      </c>
      <c r="B5" s="2">
        <v>-0.43436754176610981</v>
      </c>
      <c r="C5" s="23">
        <v>0.20853658536585362</v>
      </c>
      <c r="D5" s="24"/>
      <c r="E5" s="11">
        <v>0.15</v>
      </c>
      <c r="F5">
        <v>0.24673716936237589</v>
      </c>
      <c r="G5">
        <v>9.621190595046486E-2</v>
      </c>
    </row>
    <row r="6" spans="1:7">
      <c r="A6" s="22">
        <v>39813</v>
      </c>
      <c r="B6" s="2">
        <v>-5.9071729957805963E-2</v>
      </c>
      <c r="C6" s="23">
        <v>-0.44365960309451735</v>
      </c>
      <c r="D6" s="24"/>
      <c r="E6" s="11">
        <v>0.2</v>
      </c>
      <c r="F6">
        <v>0.23799697544257556</v>
      </c>
      <c r="G6">
        <v>8.8815307610580083E-2</v>
      </c>
    </row>
    <row r="7" spans="1:7">
      <c r="A7" s="22">
        <v>40178</v>
      </c>
      <c r="B7" s="2">
        <v>-5.8295964125560484E-2</v>
      </c>
      <c r="C7" s="23">
        <v>0.60399032648125761</v>
      </c>
      <c r="D7" s="24"/>
      <c r="E7" s="11">
        <v>0.25</v>
      </c>
      <c r="F7">
        <v>0.23331001328482678</v>
      </c>
      <c r="G7">
        <v>8.1418709270695291E-2</v>
      </c>
    </row>
    <row r="8" spans="1:7">
      <c r="A8" s="22">
        <v>40543</v>
      </c>
      <c r="B8" s="2">
        <v>0.53333333333333344</v>
      </c>
      <c r="C8" s="23">
        <v>-6.5209197135318475E-2</v>
      </c>
      <c r="D8" s="24"/>
      <c r="E8" s="11">
        <v>0.3</v>
      </c>
      <c r="F8">
        <v>0.23292109540016814</v>
      </c>
      <c r="G8">
        <v>7.4022110930810514E-2</v>
      </c>
    </row>
    <row r="9" spans="1:7">
      <c r="A9" s="22">
        <v>40908</v>
      </c>
      <c r="B9" s="2">
        <v>-0.48136645962732927</v>
      </c>
      <c r="C9" s="23">
        <v>-4.5161290322580649E-2</v>
      </c>
      <c r="D9" s="24"/>
      <c r="E9" s="11">
        <v>0.35</v>
      </c>
      <c r="F9">
        <v>0.23685139533082433</v>
      </c>
      <c r="G9">
        <v>6.6625512590925737E-2</v>
      </c>
    </row>
    <row r="10" spans="1:7">
      <c r="A10" s="22">
        <v>41274</v>
      </c>
      <c r="B10" s="2">
        <v>-0.11377245508982037</v>
      </c>
      <c r="C10" s="23">
        <v>5.8277027027026973E-2</v>
      </c>
      <c r="D10" s="24"/>
      <c r="E10" s="11">
        <v>0.4</v>
      </c>
      <c r="F10">
        <v>0.2448930433111538</v>
      </c>
      <c r="G10">
        <v>5.9228914251040939E-2</v>
      </c>
    </row>
    <row r="11" spans="1:7">
      <c r="A11" s="22">
        <v>41639</v>
      </c>
      <c r="B11" s="2">
        <v>4.7297297297297369E-2</v>
      </c>
      <c r="C11" s="23">
        <v>0.44293695131683952</v>
      </c>
      <c r="D11" s="24"/>
      <c r="E11" s="11">
        <v>0.45</v>
      </c>
      <c r="F11">
        <v>0.25665988050050775</v>
      </c>
      <c r="G11">
        <v>5.1832315911156161E-2</v>
      </c>
    </row>
    <row r="12" spans="1:7">
      <c r="A12" s="22">
        <v>42004</v>
      </c>
      <c r="B12" s="2">
        <v>-0.32903225806451608</v>
      </c>
      <c r="C12" s="23">
        <v>0.27544247787610621</v>
      </c>
      <c r="D12" s="24"/>
      <c r="E12" s="11">
        <v>0.5</v>
      </c>
      <c r="F12">
        <v>0.27166828717972802</v>
      </c>
      <c r="G12">
        <v>4.443571757127137E-2</v>
      </c>
    </row>
    <row r="13" spans="1:7">
      <c r="A13" s="19"/>
      <c r="B13" s="19"/>
      <c r="C13" s="19"/>
      <c r="D13" s="19"/>
      <c r="E13" s="11">
        <v>0.55000000000000004</v>
      </c>
      <c r="F13">
        <v>0.28941439954517723</v>
      </c>
      <c r="G13">
        <v>3.7039119231386572E-2</v>
      </c>
    </row>
    <row r="14" spans="1:7" ht="15">
      <c r="A14" s="19" t="s">
        <v>74</v>
      </c>
      <c r="B14" s="23">
        <f>AVERAGE(B3:B12)</f>
        <v>-2.9530265827576497E-2</v>
      </c>
      <c r="C14" s="23">
        <f>AVERAGE(C3:C12)</f>
        <v>0.11840170097011923</v>
      </c>
      <c r="D14" s="24" t="str">
        <f ca="1">getformula(C14)</f>
        <v>&lt;-- =AVERAGE(C3:C12)</v>
      </c>
      <c r="E14" s="11">
        <v>0.6</v>
      </c>
      <c r="F14">
        <v>0.30942754155588631</v>
      </c>
      <c r="G14">
        <v>2.9642520891501795E-2</v>
      </c>
    </row>
    <row r="15" spans="1:7" ht="15">
      <c r="A15" s="19" t="s">
        <v>75</v>
      </c>
      <c r="B15" s="40">
        <f>_xlfn.VAR.S(B3:B12)</f>
        <v>0.26461928050177108</v>
      </c>
      <c r="C15" s="40">
        <f>_xlfn.VAR.S(C3:C12)</f>
        <v>8.5755276446165513E-2</v>
      </c>
      <c r="D15" s="24" t="str">
        <f ca="1">getformula(C15)</f>
        <v>&lt;-- =VAR.S(C3:C12)</v>
      </c>
      <c r="E15" s="11">
        <v>0.65</v>
      </c>
      <c r="F15">
        <v>0.33129712447716797</v>
      </c>
      <c r="G15">
        <v>2.2245922551617007E-2</v>
      </c>
    </row>
    <row r="16" spans="1:7" ht="15">
      <c r="A16" s="19" t="s">
        <v>76</v>
      </c>
      <c r="B16" s="23">
        <f>_xlfn.STDEV.S(B3:B12)</f>
        <v>0.51441158667138431</v>
      </c>
      <c r="C16" s="23">
        <f>_xlfn.STDEV.S(C3:C12)</f>
        <v>0.29284001851892699</v>
      </c>
      <c r="D16" s="24" t="str">
        <f ca="1">getformula(C16)</f>
        <v>&lt;-- =STDEV.S(C3:C12)</v>
      </c>
      <c r="E16" s="11">
        <v>0.7</v>
      </c>
      <c r="F16">
        <v>0.35467990964340851</v>
      </c>
      <c r="G16">
        <v>1.484932421173223E-2</v>
      </c>
    </row>
    <row r="17" spans="1:7" ht="15">
      <c r="A17" s="19" t="s">
        <v>77</v>
      </c>
      <c r="B17" s="24">
        <f>_xlfn.COVARIANCE.S(B3:B12,C3:C12)</f>
        <v>-2.7579961955633975E-2</v>
      </c>
      <c r="C17" s="19" t="str">
        <f ca="1">getformula(B17)</f>
        <v>&lt;-- =COVARIANCE.S(B3:B12,C3:C12)</v>
      </c>
      <c r="D17" s="19"/>
      <c r="E17" s="11">
        <v>0.75</v>
      </c>
      <c r="F17">
        <v>0.37929614330595141</v>
      </c>
      <c r="G17">
        <v>7.4527258718474348E-3</v>
      </c>
    </row>
    <row r="18" spans="1:7" ht="15">
      <c r="A18" s="19" t="s">
        <v>78</v>
      </c>
      <c r="B18" s="24">
        <f>B17/(B16*C16)</f>
        <v>-0.18308488643449475</v>
      </c>
      <c r="C18" s="19" t="str">
        <f ca="1">getformula(B18)</f>
        <v>&lt;-- =B17/(B16*C16)</v>
      </c>
      <c r="D18" s="19"/>
      <c r="E18" s="11">
        <v>0.8</v>
      </c>
      <c r="F18">
        <v>0.40492093395276224</v>
      </c>
      <c r="G18">
        <v>5.612753196264017E-5</v>
      </c>
    </row>
    <row r="19" spans="1:7">
      <c r="E19" s="11">
        <v>0.85</v>
      </c>
      <c r="F19">
        <v>0.4313745861590384</v>
      </c>
      <c r="G19">
        <v>-7.3404708079221337E-3</v>
      </c>
    </row>
    <row r="20" spans="1:7">
      <c r="A20" s="12" t="s">
        <v>71</v>
      </c>
      <c r="E20" s="11">
        <v>0.9</v>
      </c>
      <c r="F20">
        <v>0.45851366044959024</v>
      </c>
      <c r="G20">
        <v>-1.4737069147806928E-2</v>
      </c>
    </row>
    <row r="21" spans="1:7">
      <c r="A21" t="s">
        <v>40</v>
      </c>
      <c r="E21" s="11">
        <v>0.95</v>
      </c>
      <c r="F21">
        <v>0.48622339768688483</v>
      </c>
      <c r="G21">
        <v>-2.2133667487691702E-2</v>
      </c>
    </row>
    <row r="22" spans="1:7">
      <c r="A22" s="41" t="s">
        <v>87</v>
      </c>
      <c r="B22" s="67">
        <v>0.27947127471660971</v>
      </c>
      <c r="E22" s="11">
        <v>1</v>
      </c>
      <c r="F22">
        <v>0.51441158667138431</v>
      </c>
      <c r="G22">
        <v>-2.9530265827576497E-2</v>
      </c>
    </row>
    <row r="23" spans="1:7">
      <c r="A23" s="41" t="s">
        <v>88</v>
      </c>
      <c r="B23" s="67">
        <f>1-B22</f>
        <v>0.72052872528339029</v>
      </c>
    </row>
    <row r="24" spans="1:7">
      <c r="A24" s="41" t="s">
        <v>7</v>
      </c>
      <c r="B24" s="35">
        <f>B22*B14+B23*C14</f>
        <v>7.7058965637832016E-2</v>
      </c>
    </row>
    <row r="25" spans="1:7">
      <c r="A25" s="41" t="s">
        <v>82</v>
      </c>
      <c r="B25" s="35">
        <f>SQRT(B22^2*B15+B23^2*C15+2*B22*B23*B17)</f>
        <v>0.23255393540699931</v>
      </c>
    </row>
    <row r="27" spans="1:7">
      <c r="A27" s="44" t="s">
        <v>72</v>
      </c>
    </row>
    <row r="28" spans="1:7">
      <c r="A28" s="43" t="s">
        <v>89</v>
      </c>
    </row>
    <row r="29" spans="1:7">
      <c r="A29" s="41" t="s">
        <v>7</v>
      </c>
      <c r="B29" s="11">
        <v>0.04</v>
      </c>
    </row>
    <row r="30" spans="1:7">
      <c r="A30" s="68" t="s">
        <v>171</v>
      </c>
      <c r="B30" s="67">
        <v>0.52998484821970504</v>
      </c>
    </row>
    <row r="31" spans="1:7">
      <c r="A31" s="41" t="s">
        <v>88</v>
      </c>
      <c r="B31" s="67">
        <f>1-B30</f>
        <v>0.47001515178029496</v>
      </c>
    </row>
    <row r="32" spans="1:7">
      <c r="A32" s="41" t="s">
        <v>90</v>
      </c>
      <c r="B32" s="9">
        <f>B30*B14+B31*C14</f>
        <v>4.0000000000000022E-2</v>
      </c>
      <c r="C32" t="str">
        <f ca="1">getformula(B32)</f>
        <v>&lt;-- =B30*B14+B31*C14</v>
      </c>
    </row>
    <row r="33" spans="1:2">
      <c r="A33" s="41" t="s">
        <v>82</v>
      </c>
      <c r="B33" s="35">
        <f>SQRT(B30^2*B15+B31^2*C15+2*B30*B31*B17)</f>
        <v>0.28201326338393429</v>
      </c>
    </row>
  </sheetData>
  <mergeCells count="1">
    <mergeCell ref="A1:D1"/>
  </mergeCells>
  <phoneticPr fontId="7" type="noConversion"/>
  <printOptions headings="1" gridLines="1"/>
  <pageMargins left="0.74803149606299213" right="0.74803149606299213" top="0.98425196850393704" bottom="0.98425196850393704" header="0.51181102362204722" footer="0.51181102362204722"/>
  <pageSetup paperSize="9" orientation="portrait" horizontalDpi="12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G76"/>
  <sheetViews>
    <sheetView tabSelected="1" topLeftCell="A19" workbookViewId="0">
      <selection activeCell="B47" sqref="B47"/>
    </sheetView>
  </sheetViews>
  <sheetFormatPr baseColWidth="10" defaultColWidth="8.83203125" defaultRowHeight="13"/>
  <cols>
    <col min="1" max="1" width="23.83203125" customWidth="1"/>
    <col min="2" max="2" width="11" bestFit="1" customWidth="1"/>
    <col min="3" max="3" width="14.5" bestFit="1" customWidth="1"/>
    <col min="4" max="4" width="8" bestFit="1" customWidth="1"/>
    <col min="6" max="6" width="9" bestFit="1" customWidth="1"/>
  </cols>
  <sheetData>
    <row r="1" spans="1:4" ht="18">
      <c r="A1" s="78" t="s">
        <v>62</v>
      </c>
      <c r="B1" s="78"/>
      <c r="C1" s="78"/>
      <c r="D1" s="78"/>
    </row>
    <row r="2" spans="1:4">
      <c r="B2" s="4" t="s">
        <v>27</v>
      </c>
      <c r="C2" s="4" t="s">
        <v>45</v>
      </c>
      <c r="D2" s="4" t="s">
        <v>28</v>
      </c>
    </row>
    <row r="3" spans="1:4">
      <c r="A3" t="s">
        <v>7</v>
      </c>
      <c r="B3" s="9">
        <v>0.22</v>
      </c>
      <c r="C3" s="9">
        <v>0.17499999999999999</v>
      </c>
      <c r="D3" s="9">
        <v>0.3</v>
      </c>
    </row>
    <row r="4" spans="1:4">
      <c r="A4" t="s">
        <v>3</v>
      </c>
      <c r="B4">
        <v>0.2</v>
      </c>
      <c r="C4">
        <v>0.05</v>
      </c>
      <c r="D4">
        <v>0.17</v>
      </c>
    </row>
    <row r="5" spans="1:4">
      <c r="A5" t="s">
        <v>4</v>
      </c>
      <c r="B5" s="2">
        <f>SQRT(B4)</f>
        <v>0.44721359549995793</v>
      </c>
      <c r="C5" s="2">
        <f>SQRT(C4)</f>
        <v>0.22360679774997896</v>
      </c>
      <c r="D5" s="2">
        <f>SQRT(D4)</f>
        <v>0.41231056256176607</v>
      </c>
    </row>
    <row r="7" spans="1:4">
      <c r="A7" t="s">
        <v>46</v>
      </c>
    </row>
    <row r="8" spans="1:4">
      <c r="A8" t="s">
        <v>47</v>
      </c>
      <c r="B8">
        <v>0.05</v>
      </c>
    </row>
    <row r="9" spans="1:4">
      <c r="A9" t="s">
        <v>48</v>
      </c>
      <c r="B9">
        <v>-0.1</v>
      </c>
    </row>
    <row r="10" spans="1:4">
      <c r="A10" t="s">
        <v>49</v>
      </c>
      <c r="B10">
        <v>0.5</v>
      </c>
    </row>
    <row r="11" spans="1:4">
      <c r="D11" s="10"/>
    </row>
    <row r="12" spans="1:4">
      <c r="A12" t="s">
        <v>55</v>
      </c>
      <c r="B12" s="10">
        <f>B8*B5*C5</f>
        <v>5.0000000000000001E-3</v>
      </c>
      <c r="C12" t="str">
        <f ca="1">getformula(B12)</f>
        <v>&lt;-- =B8*B5*C5</v>
      </c>
      <c r="D12" s="10"/>
    </row>
    <row r="13" spans="1:4">
      <c r="A13" t="s">
        <v>56</v>
      </c>
      <c r="B13" s="10">
        <f>B9*B4*D4</f>
        <v>-3.4000000000000011E-3</v>
      </c>
      <c r="C13" t="str">
        <f ca="1">getformula(B13)</f>
        <v>&lt;-- =B9*B4*D4</v>
      </c>
      <c r="D13" s="10"/>
    </row>
    <row r="14" spans="1:4">
      <c r="A14" t="s">
        <v>57</v>
      </c>
      <c r="B14" s="10">
        <f>B10*C5*D5</f>
        <v>4.6097722286464436E-2</v>
      </c>
      <c r="C14" t="str">
        <f ca="1">getformula(B14)</f>
        <v>&lt;-- =B10*C5*D5</v>
      </c>
      <c r="D14" s="10"/>
    </row>
    <row r="16" spans="1:4">
      <c r="A16" s="12" t="s">
        <v>71</v>
      </c>
    </row>
    <row r="17" spans="1:3">
      <c r="A17" s="18" t="s">
        <v>91</v>
      </c>
    </row>
    <row r="18" spans="1:3">
      <c r="A18" t="s">
        <v>50</v>
      </c>
      <c r="B18" s="11">
        <v>0.5</v>
      </c>
    </row>
    <row r="19" spans="1:3">
      <c r="A19" t="s">
        <v>51</v>
      </c>
      <c r="B19" s="11">
        <v>0.2</v>
      </c>
    </row>
    <row r="20" spans="1:3">
      <c r="A20" t="s">
        <v>52</v>
      </c>
      <c r="B20" s="11">
        <f>1-B19-B18</f>
        <v>0.30000000000000004</v>
      </c>
      <c r="C20" t="str">
        <f ca="1">getformula(B20)</f>
        <v>&lt;-- =1-B19-B18</v>
      </c>
    </row>
    <row r="22" spans="1:3">
      <c r="A22" t="s">
        <v>53</v>
      </c>
    </row>
    <row r="23" spans="1:3">
      <c r="A23" t="s">
        <v>35</v>
      </c>
      <c r="B23" s="45">
        <f>B18*B3+B19*C3+B20*D3</f>
        <v>0.23499999999999999</v>
      </c>
    </row>
    <row r="24" spans="1:3">
      <c r="A24" t="s">
        <v>54</v>
      </c>
      <c r="B24" s="46">
        <f>B18^2*B4+B19^2*C4+B20^2*D4+2*B18*B19*B12+2*B19*B20*B14+2*B18*B20*B13</f>
        <v>7.2811726674375743E-2</v>
      </c>
    </row>
    <row r="25" spans="1:3">
      <c r="A25" t="s">
        <v>36</v>
      </c>
      <c r="B25" s="71">
        <f>SQRT(B24)</f>
        <v>0.26983648136302057</v>
      </c>
    </row>
    <row r="27" spans="1:3">
      <c r="A27" s="12" t="s">
        <v>72</v>
      </c>
    </row>
    <row r="28" spans="1:3">
      <c r="A28" s="18" t="s">
        <v>40</v>
      </c>
    </row>
    <row r="29" spans="1:3">
      <c r="A29" t="s">
        <v>50</v>
      </c>
      <c r="B29" s="69">
        <v>0.18819632495720753</v>
      </c>
    </row>
    <row r="30" spans="1:3">
      <c r="A30" t="s">
        <v>51</v>
      </c>
      <c r="B30" s="42">
        <v>0.77464746690073272</v>
      </c>
    </row>
    <row r="31" spans="1:3">
      <c r="A31" t="s">
        <v>52</v>
      </c>
      <c r="B31" s="69">
        <f>1-SUM(B29:B30)</f>
        <v>3.7156208142059777E-2</v>
      </c>
    </row>
    <row r="33" spans="1:2">
      <c r="A33" t="s">
        <v>53</v>
      </c>
    </row>
    <row r="34" spans="1:2">
      <c r="A34" t="s">
        <v>35</v>
      </c>
      <c r="B34" s="45">
        <f>B29*$B$3+B30*$C$3+B31*$D$3</f>
        <v>0.18811336064083181</v>
      </c>
    </row>
    <row r="35" spans="1:2">
      <c r="A35" t="s">
        <v>54</v>
      </c>
      <c r="B35" s="46">
        <f>B29^2*$B$4+B30^2*$C$4+B31^2*$D$4+2*B29*B30*$B$12+2*B29*B31*$B$13+2*B30*B31*$B$14</f>
        <v>4.1386171479924024E-2</v>
      </c>
    </row>
    <row r="36" spans="1:2">
      <c r="A36" t="s">
        <v>36</v>
      </c>
      <c r="B36" s="70">
        <f>SQRT(B35)</f>
        <v>0.20343591492144159</v>
      </c>
    </row>
    <row r="38" spans="1:2">
      <c r="A38" s="12" t="s">
        <v>70</v>
      </c>
    </row>
    <row r="39" spans="1:2">
      <c r="A39" s="12" t="s">
        <v>92</v>
      </c>
    </row>
    <row r="40" spans="1:2">
      <c r="A40" t="s">
        <v>50</v>
      </c>
      <c r="B40" s="42">
        <v>0.3127749625748647</v>
      </c>
    </row>
    <row r="41" spans="1:2">
      <c r="A41" t="s">
        <v>51</v>
      </c>
      <c r="B41" s="42">
        <v>5.3019369810845068E-2</v>
      </c>
    </row>
    <row r="42" spans="1:2">
      <c r="A42" t="s">
        <v>52</v>
      </c>
      <c r="B42" s="42">
        <f>1-SUM(B40:B41)</f>
        <v>0.6342056676142902</v>
      </c>
    </row>
    <row r="44" spans="1:2">
      <c r="A44" t="s">
        <v>53</v>
      </c>
    </row>
    <row r="45" spans="1:2">
      <c r="A45" t="s">
        <v>35</v>
      </c>
      <c r="B45" s="45">
        <f>B40*$B$3+B41*$C$3+B42*$D$3</f>
        <v>0.26835058176765514</v>
      </c>
    </row>
    <row r="46" spans="1:2">
      <c r="A46" t="s">
        <v>54</v>
      </c>
      <c r="B46" s="79">
        <f>B40^2*$B$4+B41^2*$C$4+B42^2*$D$4+2*B40*B41*$B$12+2*B40*B42*$B$13+2*B41*B42*$B$14</f>
        <v>9.0000096354504358E-2</v>
      </c>
    </row>
    <row r="47" spans="1:2">
      <c r="A47" t="s">
        <v>93</v>
      </c>
      <c r="B47" s="70">
        <f>SQRT(B46)</f>
        <v>0.30000016059079759</v>
      </c>
    </row>
    <row r="50" spans="1:7">
      <c r="A50" s="18"/>
      <c r="B50" s="18"/>
      <c r="C50" s="18"/>
      <c r="D50" s="18"/>
      <c r="E50" s="18"/>
      <c r="F50" s="18"/>
      <c r="G50" s="18"/>
    </row>
    <row r="51" spans="1:7">
      <c r="A51" s="39">
        <f>B36</f>
        <v>0.20343591492144159</v>
      </c>
      <c r="B51" s="39">
        <v>0.18822325342197219</v>
      </c>
      <c r="C51" s="39"/>
      <c r="D51" s="2"/>
      <c r="E51" s="2"/>
      <c r="F51" s="2"/>
      <c r="G51" s="9"/>
    </row>
    <row r="52" spans="1:7">
      <c r="A52" s="39">
        <f>A51+0.01</f>
        <v>0.21343591492144159</v>
      </c>
      <c r="B52" s="39">
        <v>0.21160986348101302</v>
      </c>
      <c r="C52" s="39"/>
      <c r="D52" s="2"/>
      <c r="E52" s="2"/>
      <c r="F52" s="2"/>
      <c r="G52" s="9"/>
    </row>
    <row r="53" spans="1:7">
      <c r="A53" s="39">
        <f t="shared" ref="A53:A75" si="0">A52+0.01</f>
        <v>0.2234359149214416</v>
      </c>
      <c r="B53" s="39">
        <v>0.22173825455182861</v>
      </c>
      <c r="C53" s="39"/>
      <c r="D53" s="2"/>
      <c r="E53" s="2"/>
      <c r="F53" s="2"/>
      <c r="G53" s="9"/>
    </row>
    <row r="54" spans="1:7">
      <c r="A54" s="39">
        <f t="shared" si="0"/>
        <v>0.23343591492144161</v>
      </c>
      <c r="B54" s="39">
        <v>0.22977471055060461</v>
      </c>
      <c r="C54" s="39"/>
      <c r="D54" s="2"/>
      <c r="E54" s="2"/>
      <c r="F54" s="2"/>
      <c r="G54" s="9"/>
    </row>
    <row r="55" spans="1:7">
      <c r="A55" s="39">
        <f t="shared" si="0"/>
        <v>0.24343591492144162</v>
      </c>
      <c r="B55" s="39">
        <v>0.23676732577420695</v>
      </c>
      <c r="C55" s="39"/>
      <c r="D55" s="2"/>
      <c r="E55" s="2"/>
      <c r="F55" s="2"/>
      <c r="G55" s="9"/>
    </row>
    <row r="56" spans="1:7">
      <c r="A56" s="39">
        <f t="shared" si="0"/>
        <v>0.25343591492144163</v>
      </c>
      <c r="B56" s="39">
        <v>0.24311538629627627</v>
      </c>
      <c r="C56" s="39"/>
      <c r="D56" s="2"/>
      <c r="E56" s="2"/>
      <c r="F56" s="2"/>
      <c r="G56" s="9"/>
    </row>
    <row r="57" spans="1:7">
      <c r="A57" s="39">
        <f t="shared" si="0"/>
        <v>0.26343591492144164</v>
      </c>
      <c r="B57" s="39">
        <v>0.24902087193616274</v>
      </c>
      <c r="C57" s="39"/>
      <c r="D57" s="2"/>
      <c r="E57" s="2"/>
      <c r="F57" s="2"/>
      <c r="G57" s="9"/>
    </row>
    <row r="58" spans="1:7">
      <c r="A58" s="39">
        <f t="shared" si="0"/>
        <v>0.27343591492144165</v>
      </c>
      <c r="B58" s="39">
        <v>0.25460182898669537</v>
      </c>
      <c r="C58" s="39"/>
      <c r="D58" s="2"/>
      <c r="E58" s="2"/>
      <c r="F58" s="2"/>
      <c r="G58" s="9"/>
    </row>
    <row r="59" spans="1:7">
      <c r="A59" s="39">
        <f t="shared" si="0"/>
        <v>0.28343591492144166</v>
      </c>
      <c r="B59" s="39">
        <v>0.25993390528547355</v>
      </c>
      <c r="C59" s="39"/>
      <c r="D59" s="2"/>
      <c r="E59" s="2"/>
      <c r="F59" s="2"/>
      <c r="G59" s="9"/>
    </row>
    <row r="60" spans="1:7">
      <c r="A60" s="39">
        <f t="shared" si="0"/>
        <v>0.29343591492144167</v>
      </c>
      <c r="B60" s="39">
        <v>0.26506887982008431</v>
      </c>
      <c r="C60" s="39"/>
      <c r="D60" s="2"/>
      <c r="E60" s="2"/>
      <c r="F60" s="2"/>
      <c r="G60" s="9"/>
    </row>
    <row r="61" spans="1:7">
      <c r="A61" s="39">
        <f t="shared" si="0"/>
        <v>0.30343591492144167</v>
      </c>
      <c r="B61" s="39">
        <v>0.27004382159911167</v>
      </c>
      <c r="C61" s="39"/>
      <c r="D61" s="2"/>
      <c r="E61" s="2"/>
      <c r="F61" s="2"/>
      <c r="G61" s="9"/>
    </row>
    <row r="62" spans="1:7">
      <c r="A62" s="39">
        <f t="shared" si="0"/>
        <v>0.31343591492144168</v>
      </c>
      <c r="B62" s="39">
        <v>0.27487008485058873</v>
      </c>
      <c r="C62" s="39"/>
      <c r="D62" s="2"/>
      <c r="E62" s="2"/>
      <c r="F62" s="2"/>
      <c r="G62" s="9"/>
    </row>
    <row r="63" spans="1:7">
      <c r="A63" s="39">
        <f t="shared" si="0"/>
        <v>0.32343591492144169</v>
      </c>
      <c r="B63" s="39">
        <v>0.27882836088064289</v>
      </c>
      <c r="C63" s="39"/>
      <c r="D63" s="2"/>
      <c r="E63" s="2"/>
      <c r="F63" s="2"/>
      <c r="G63" s="9"/>
    </row>
    <row r="64" spans="1:7">
      <c r="A64" s="39">
        <f t="shared" si="0"/>
        <v>0.3334359149214417</v>
      </c>
      <c r="B64" s="39">
        <v>0.28206037008146451</v>
      </c>
      <c r="C64" s="39"/>
      <c r="D64" s="2"/>
      <c r="E64" s="2"/>
      <c r="F64" s="2"/>
      <c r="G64" s="9"/>
    </row>
    <row r="65" spans="1:7">
      <c r="A65" s="39">
        <f t="shared" si="0"/>
        <v>0.34343591492144171</v>
      </c>
      <c r="B65" s="39">
        <v>0.28489323113087861</v>
      </c>
      <c r="C65" s="39"/>
      <c r="D65" s="2"/>
      <c r="E65" s="2"/>
      <c r="F65" s="2"/>
      <c r="G65" s="9"/>
    </row>
    <row r="66" spans="1:7">
      <c r="A66" s="39"/>
      <c r="B66" s="39"/>
      <c r="C66" s="39"/>
      <c r="D66" s="2"/>
      <c r="E66" s="2"/>
      <c r="F66" s="2"/>
      <c r="G66" s="9"/>
    </row>
    <row r="67" spans="1:7">
      <c r="A67" s="39"/>
      <c r="B67" s="39"/>
      <c r="C67" s="39"/>
      <c r="D67" s="2"/>
      <c r="E67" s="2"/>
      <c r="F67" s="2"/>
      <c r="G67" s="9"/>
    </row>
    <row r="68" spans="1:7">
      <c r="A68" s="39"/>
      <c r="B68" s="39"/>
      <c r="C68" s="39"/>
      <c r="D68" s="2"/>
      <c r="E68" s="2"/>
      <c r="F68" s="2"/>
      <c r="G68" s="9"/>
    </row>
    <row r="69" spans="1:7">
      <c r="A69" s="39"/>
      <c r="B69" s="39"/>
      <c r="C69" s="39"/>
      <c r="D69" s="2"/>
      <c r="E69" s="2"/>
      <c r="F69" s="2"/>
      <c r="G69" s="9"/>
    </row>
    <row r="70" spans="1:7">
      <c r="A70" s="39"/>
      <c r="B70" s="39"/>
      <c r="C70" s="39"/>
      <c r="D70" s="2"/>
      <c r="E70" s="2"/>
      <c r="F70" s="2"/>
      <c r="G70" s="9"/>
    </row>
    <row r="71" spans="1:7">
      <c r="A71" s="39"/>
      <c r="B71" s="39"/>
      <c r="C71" s="39"/>
      <c r="D71" s="2"/>
      <c r="E71" s="2"/>
      <c r="F71" s="2"/>
      <c r="G71" s="9"/>
    </row>
    <row r="72" spans="1:7">
      <c r="A72" s="39"/>
      <c r="B72" s="39"/>
      <c r="C72" s="39"/>
      <c r="D72" s="2"/>
      <c r="E72" s="2"/>
      <c r="F72" s="2"/>
      <c r="G72" s="9"/>
    </row>
    <row r="73" spans="1:7">
      <c r="A73" s="39"/>
      <c r="B73" s="39"/>
      <c r="C73" s="39"/>
      <c r="D73" s="2"/>
      <c r="E73" s="2"/>
      <c r="F73" s="2"/>
      <c r="G73" s="9"/>
    </row>
    <row r="74" spans="1:7">
      <c r="A74" s="39"/>
      <c r="B74" s="39"/>
      <c r="C74" s="39"/>
      <c r="D74" s="2"/>
      <c r="E74" s="2"/>
      <c r="F74" s="2"/>
      <c r="G74" s="9"/>
    </row>
    <row r="75" spans="1:7">
      <c r="A75" s="39"/>
      <c r="B75" s="39"/>
      <c r="C75" s="39"/>
      <c r="D75" s="2"/>
      <c r="E75" s="2"/>
      <c r="F75" s="2"/>
      <c r="G75" s="9"/>
    </row>
    <row r="76" spans="1:7">
      <c r="D76" s="38"/>
      <c r="G76" s="9"/>
    </row>
  </sheetData>
  <mergeCells count="1">
    <mergeCell ref="A1:D1"/>
  </mergeCells>
  <phoneticPr fontId="7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Exercise 1 template</vt:lpstr>
      <vt:lpstr>Exercise 2 template</vt:lpstr>
      <vt:lpstr>Exercise 3 template</vt:lpstr>
      <vt:lpstr>Exercise 4 template</vt:lpstr>
      <vt:lpstr>Exercise 5 template</vt:lpstr>
      <vt:lpstr>Exercise 6 template</vt:lpstr>
      <vt:lpstr>Exercise 7 template</vt:lpstr>
      <vt:lpstr>Exercise 8 template</vt:lpstr>
      <vt:lpstr>Exercise 9 template</vt:lpstr>
      <vt:lpstr>Exercise 10 template</vt:lpstr>
      <vt:lpstr>Exercise 11 template</vt:lpstr>
      <vt:lpstr>Exercise 12 template</vt:lpstr>
      <vt:lpstr>Exercise 13 template</vt:lpstr>
      <vt:lpstr>Exercise 14 template</vt:lpstr>
      <vt:lpstr>Exercise 15 template</vt:lpstr>
      <vt:lpstr>Exercise 16 template</vt:lpstr>
      <vt:lpstr>Exercise 17 template</vt:lpstr>
      <vt:lpstr>Exercise 18 template</vt:lpstr>
      <vt:lpstr>Exercise Appendix template</vt:lpstr>
    </vt:vector>
  </TitlesOfParts>
  <Company>Tel-Aviv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天强 帅</cp:lastModifiedBy>
  <dcterms:created xsi:type="dcterms:W3CDTF">2003-08-05T13:37:14Z</dcterms:created>
  <dcterms:modified xsi:type="dcterms:W3CDTF">2023-11-13T17:33:06Z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 Ch10_IM_exercises.xlsm</vt:lpwstr>
  </property>
</Properties>
</file>