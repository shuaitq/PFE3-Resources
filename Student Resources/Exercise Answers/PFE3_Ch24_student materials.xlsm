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6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FFE8ACA7-0D62-3F49-BE95-3F1C215BB11A}" xr6:coauthVersionLast="47" xr6:coauthVersionMax="47" xr10:uidLastSave="{00000000-0000-0000-0000-000000000000}"/>
  <bookViews>
    <workbookView xWindow="0" yWindow="500" windowWidth="28800" windowHeight="16060" activeTab="5" xr2:uid="{00000000-000D-0000-FFFF-FFFF00000000}"/>
  </bookViews>
  <sheets>
    <sheet name="Exercise 1 template" sheetId="12" r:id="rId1"/>
    <sheet name="Exercise 2 template" sheetId="11" r:id="rId2"/>
    <sheet name="Ex3 Hiding data table headers" sheetId="17" r:id="rId3"/>
    <sheet name="Exercise 3 template" sheetId="18" r:id="rId4"/>
    <sheet name="Exercise 4 template" sheetId="13" r:id="rId5"/>
    <sheet name="Exercise 5 template" sheetId="8" r:id="rId6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8" l="1"/>
  <c r="B17" i="18"/>
  <c r="C16" i="18"/>
  <c r="C20" i="18" s="1"/>
  <c r="B16" i="18"/>
  <c r="B20" i="18" s="1"/>
  <c r="B8" i="8"/>
  <c r="B9" i="8" s="1"/>
  <c r="B12" i="8" s="1"/>
  <c r="B4" i="13"/>
  <c r="A8" i="13" s="1"/>
  <c r="B2" i="12"/>
  <c r="B6" i="12" s="1"/>
  <c r="B7" i="11"/>
  <c r="B8" i="11" s="1"/>
  <c r="B6" i="11"/>
  <c r="C19" i="11"/>
  <c r="C18" i="11"/>
  <c r="C6" i="11"/>
  <c r="C9" i="11"/>
  <c r="C8" i="11"/>
  <c r="C6" i="12"/>
  <c r="C4" i="13"/>
  <c r="C2" i="12"/>
  <c r="D16" i="18" l="1"/>
  <c r="B11" i="8"/>
  <c r="B14" i="8" s="1"/>
  <c r="B38" i="8" s="1"/>
  <c r="B9" i="11"/>
  <c r="B10" i="11" s="1"/>
  <c r="B11" i="11" s="1"/>
  <c r="B12" i="11" s="1"/>
  <c r="B13" i="11" s="1"/>
  <c r="B14" i="11" s="1"/>
  <c r="B15" i="11" s="1"/>
  <c r="B16" i="11" s="1"/>
  <c r="B15" i="8" l="1"/>
  <c r="B19" i="8"/>
  <c r="B18" i="11"/>
  <c r="B19" i="11"/>
  <c r="C22" i="11" s="1"/>
  <c r="C19" i="8" l="1"/>
  <c r="C38" i="8"/>
  <c r="B22" i="11"/>
  <c r="A32" i="11"/>
</calcChain>
</file>

<file path=xl/sharedStrings.xml><?xml version="1.0" encoding="utf-8"?>
<sst xmlns="http://schemas.openxmlformats.org/spreadsheetml/2006/main" count="59" uniqueCount="55">
  <si>
    <t>x</t>
  </si>
  <si>
    <t>f(x)</t>
  </si>
  <si>
    <t>Data table</t>
  </si>
  <si>
    <t>Discount rate</t>
  </si>
  <si>
    <t>Cost</t>
  </si>
  <si>
    <t>Cash flow growth</t>
  </si>
  <si>
    <t>Year</t>
  </si>
  <si>
    <t>Cash flow</t>
  </si>
  <si>
    <t>NPV</t>
  </si>
  <si>
    <t>IRR</t>
  </si>
  <si>
    <t>ANNUITY TABLE</t>
  </si>
  <si>
    <t>r</t>
  </si>
  <si>
    <t>T</t>
  </si>
  <si>
    <t>Number of
periods</t>
  </si>
  <si>
    <t>PRESENT VALUE OF AN ANNUITY OF $1 FOR N PERIODS</t>
  </si>
  <si>
    <t>PV factor</t>
  </si>
  <si>
    <t>The Black-Scholes Option-Pricing Formula</t>
  </si>
  <si>
    <t>S</t>
  </si>
  <si>
    <t>Current stock price</t>
  </si>
  <si>
    <t>X</t>
  </si>
  <si>
    <t>Exercise price</t>
  </si>
  <si>
    <t>Time to maturity of option (in years)</t>
  </si>
  <si>
    <t>Risk-free rate of interest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</si>
  <si>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</si>
  <si>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</si>
  <si>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</si>
  <si>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</si>
  <si>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</si>
  <si>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</si>
  <si>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</si>
  <si>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</si>
  <si>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</si>
  <si>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</si>
  <si>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</si>
  <si>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)-X*exp(-r*T)*N(d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</si>
  <si>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Put price</t>
  </si>
  <si>
    <t>&lt;-- call price - S + X*Exp(-r*T):  by Put-Call parity</t>
  </si>
  <si>
    <t>r, interest</t>
  </si>
  <si>
    <t>N, number of periods</t>
  </si>
  <si>
    <t>To hide the headers:</t>
  </si>
  <si>
    <t>1.  Mark them (they're already marked in the example to the left)</t>
  </si>
  <si>
    <t>2.  Go to Home|Format|Number|Custom and put in a semicolon (";").</t>
  </si>
  <si>
    <t>Section a.</t>
    <phoneticPr fontId="0" type="noConversion"/>
  </si>
  <si>
    <t>Section b.</t>
    <phoneticPr fontId="0" type="noConversion"/>
  </si>
  <si>
    <t>Before hiding the data table headers in the previous exercise, the Data Table looks like this:</t>
    <phoneticPr fontId="6" type="noConversion"/>
  </si>
  <si>
    <t>DR</t>
    <phoneticPr fontId="6" type="noConversion"/>
  </si>
  <si>
    <t>Year</t>
    <phoneticPr fontId="6" type="noConversion"/>
  </si>
  <si>
    <t>Project A</t>
    <phoneticPr fontId="6" type="noConversion"/>
  </si>
  <si>
    <t>Project B</t>
    <phoneticPr fontId="6" type="noConversion"/>
  </si>
  <si>
    <t>NPV</t>
    <phoneticPr fontId="6" type="noConversion"/>
  </si>
  <si>
    <t>IRR</t>
    <phoneticPr fontId="6" type="noConversion"/>
  </si>
  <si>
    <t>NPV A</t>
    <phoneticPr fontId="6" type="noConversion"/>
  </si>
  <si>
    <t>NPV B</t>
    <phoneticPr fontId="6" type="noConversion"/>
  </si>
  <si>
    <t>call</t>
    <phoneticPr fontId="0" type="noConversion"/>
  </si>
  <si>
    <t>put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</si>
</sst>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76" formatCode="0.0000_);[Red]\(0.0000\)"/>
    <numFmt numFmtId="177" formatCode=";;"/>
    <numFmt numFmtId="178" formatCode="0.0000"/>
    <numFmt numFmtId="179" formatCode="0.00000"/>
    <numFmt numFmtId="182" formatCode="0.0000%"/>
  </numFmts>
  <fonts count="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vertAlign val="subscript"/>
      <sz val="10"/>
      <name val="Arial"/>
      <family val="2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/>
    <xf numFmtId="43" fontId="0" fillId="0" borderId="0" xfId="1" applyFont="1"/>
    <xf numFmtId="3" fontId="0" fillId="0" borderId="0" xfId="0" applyNumberFormat="1"/>
    <xf numFmtId="176" fontId="0" fillId="0" borderId="0" xfId="0" applyNumberFormat="1"/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177" fontId="0" fillId="0" borderId="0" xfId="0" applyNumberFormat="1" applyAlignment="1">
      <alignment wrapText="1"/>
    </xf>
    <xf numFmtId="9" fontId="2" fillId="0" borderId="0" xfId="0" applyNumberFormat="1" applyFont="1"/>
    <xf numFmtId="178" fontId="0" fillId="0" borderId="0" xfId="0" applyNumberFormat="1"/>
    <xf numFmtId="0" fontId="3" fillId="0" borderId="0" xfId="0" applyFont="1" applyAlignment="1">
      <alignment horizontal="left"/>
    </xf>
    <xf numFmtId="9" fontId="1" fillId="0" borderId="0" xfId="2"/>
    <xf numFmtId="9" fontId="1" fillId="0" borderId="0" xfId="2" applyFont="1"/>
    <xf numFmtId="178" fontId="1" fillId="0" borderId="0" xfId="2" quotePrefix="1" applyNumberFormat="1"/>
    <xf numFmtId="178" fontId="1" fillId="0" borderId="0" xfId="2" applyNumberFormat="1"/>
    <xf numFmtId="2" fontId="1" fillId="0" borderId="0" xfId="2" applyNumberFormat="1"/>
    <xf numFmtId="9" fontId="1" fillId="2" borderId="0" xfId="2" applyFill="1"/>
    <xf numFmtId="0" fontId="1" fillId="2" borderId="0" xfId="2" applyNumberFormat="1" applyFill="1"/>
    <xf numFmtId="179" fontId="1" fillId="2" borderId="0" xfId="2" applyNumberFormat="1" applyFont="1" applyFill="1"/>
    <xf numFmtId="10" fontId="1" fillId="2" borderId="0" xfId="2" applyNumberFormat="1" applyFill="1"/>
    <xf numFmtId="9" fontId="1" fillId="2" borderId="0" xfId="2" applyFont="1" applyFill="1"/>
    <xf numFmtId="2" fontId="1" fillId="2" borderId="0" xfId="2" applyNumberFormat="1" applyFill="1"/>
    <xf numFmtId="2" fontId="1" fillId="2" borderId="0" xfId="2" quotePrefix="1" applyNumberFormat="1" applyFont="1" applyFill="1"/>
    <xf numFmtId="0" fontId="1" fillId="0" borderId="0" xfId="0" applyFont="1"/>
    <xf numFmtId="0" fontId="3" fillId="0" borderId="0" xfId="0" applyFont="1" applyAlignment="1">
      <alignment horizontal="center"/>
    </xf>
    <xf numFmtId="9" fontId="3" fillId="0" borderId="0" xfId="2" applyFont="1" applyAlignment="1">
      <alignment horizontal="center"/>
    </xf>
    <xf numFmtId="43" fontId="0" fillId="0" borderId="0" xfId="0" applyNumberFormat="1"/>
    <xf numFmtId="182" fontId="0" fillId="0" borderId="0" xfId="2" applyNumberFormat="1" applyFont="1"/>
    <xf numFmtId="0" fontId="0" fillId="0" borderId="0" xfId="0" applyNumberFormat="1"/>
    <xf numFmtId="177" fontId="0" fillId="0" borderId="0" xfId="0" applyNumberFormat="1"/>
    <xf numFmtId="2" fontId="0" fillId="0" borderId="0" xfId="0" applyNumberForma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 template'!$A$7:$A$19</c:f>
              <c:numCache>
                <c:formatCode>General</c:formatCode>
                <c:ptCount val="13"/>
                <c:pt idx="0">
                  <c:v>-10</c:v>
                </c:pt>
                <c:pt idx="1">
                  <c:v>-8</c:v>
                </c:pt>
                <c:pt idx="2">
                  <c:v>-6</c:v>
                </c:pt>
                <c:pt idx="3">
                  <c:v>-4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  <c:pt idx="11">
                  <c:v>12</c:v>
                </c:pt>
                <c:pt idx="12">
                  <c:v>14</c:v>
                </c:pt>
              </c:numCache>
            </c:numRef>
          </c:xVal>
          <c:yVal>
            <c:numRef>
              <c:f>'Exercise 1 template'!$B$7:$B$19</c:f>
              <c:numCache>
                <c:formatCode>General</c:formatCode>
                <c:ptCount val="13"/>
                <c:pt idx="0">
                  <c:v>54</c:v>
                </c:pt>
                <c:pt idx="1">
                  <c:v>24</c:v>
                </c:pt>
                <c:pt idx="2">
                  <c:v>2</c:v>
                </c:pt>
                <c:pt idx="3">
                  <c:v>-12</c:v>
                </c:pt>
                <c:pt idx="4">
                  <c:v>-18</c:v>
                </c:pt>
                <c:pt idx="5">
                  <c:v>-16</c:v>
                </c:pt>
                <c:pt idx="6">
                  <c:v>-6</c:v>
                </c:pt>
                <c:pt idx="7">
                  <c:v>12</c:v>
                </c:pt>
                <c:pt idx="8">
                  <c:v>38</c:v>
                </c:pt>
                <c:pt idx="9">
                  <c:v>72</c:v>
                </c:pt>
                <c:pt idx="10">
                  <c:v>114</c:v>
                </c:pt>
                <c:pt idx="11">
                  <c:v>164</c:v>
                </c:pt>
                <c:pt idx="12">
                  <c:v>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A7-964B-9BBD-ED3416D1D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39808"/>
        <c:axId val="1628485791"/>
      </c:scatterChart>
      <c:valAx>
        <c:axId val="12970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28485791"/>
        <c:crosses val="autoZero"/>
        <c:crossBetween val="midCat"/>
      </c:valAx>
      <c:valAx>
        <c:axId val="162848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703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'Exercise 3 template'!$B$19:$B$20</c:f>
              <c:strCache>
                <c:ptCount val="2"/>
                <c:pt idx="0">
                  <c:v>NPV 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3 template'!$A$21:$A$36</c:f>
              <c:numCache>
                <c:formatCode>0%</c:formatCode>
                <c:ptCount val="1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</c:numCache>
            </c:numRef>
          </c:xVal>
          <c:yVal>
            <c:numRef>
              <c:f>'Exercise 3 template'!$B$21:$B$36</c:f>
              <c:numCache>
                <c:formatCode>General</c:formatCode>
                <c:ptCount val="16"/>
                <c:pt idx="0">
                  <c:v>1200</c:v>
                </c:pt>
                <c:pt idx="1">
                  <c:v>976.16870137329192</c:v>
                </c:pt>
                <c:pt idx="2">
                  <c:v>784.39707145810598</c:v>
                </c:pt>
                <c:pt idx="3">
                  <c:v>619.21915131123296</c:v>
                </c:pt>
                <c:pt idx="4">
                  <c:v>476.21790776711737</c:v>
                </c:pt>
                <c:pt idx="5">
                  <c:v>351.80476325502946</c:v>
                </c:pt>
                <c:pt idx="6">
                  <c:v>243.04906625039007</c:v>
                </c:pt>
                <c:pt idx="7">
                  <c:v>147.5454421845875</c:v>
                </c:pt>
                <c:pt idx="8">
                  <c:v>63.310045260644301</c:v>
                </c:pt>
                <c:pt idx="9">
                  <c:v>-11.301015116629173</c:v>
                </c:pt>
                <c:pt idx="10">
                  <c:v>-77.656141178830239</c:v>
                </c:pt>
                <c:pt idx="11">
                  <c:v>-136.89944682053715</c:v>
                </c:pt>
                <c:pt idx="12">
                  <c:v>-189.99161619054848</c:v>
                </c:pt>
                <c:pt idx="13">
                  <c:v>-237.74266126353245</c:v>
                </c:pt>
                <c:pt idx="14">
                  <c:v>-280.83830299855219</c:v>
                </c:pt>
                <c:pt idx="15">
                  <c:v>-319.86131021003109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09-464A-9FE7-88920A6F18EB}"/>
            </c:ext>
          </c:extLst>
        </c:ser>
        <c:ser>
          <c:idx val="1"/>
          <c:order val="1"/>
          <c:tx>
            <c:strRef>
              <c:f>'Exercise 3 template'!$C$19:$C$20</c:f>
              <c:strCache>
                <c:ptCount val="2"/>
                <c:pt idx="0">
                  <c:v>NPV 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 3 template'!$A$21:$A$36</c:f>
              <c:numCache>
                <c:formatCode>0%</c:formatCode>
                <c:ptCount val="1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</c:numCache>
            </c:numRef>
          </c:xVal>
          <c:yVal>
            <c:numRef>
              <c:f>'Exercise 3 template'!$C$21:$C$36</c:f>
              <c:numCache>
                <c:formatCode>General</c:formatCode>
                <c:ptCount val="16"/>
                <c:pt idx="0">
                  <c:v>1000</c:v>
                </c:pt>
                <c:pt idx="1">
                  <c:v>840.95040232506472</c:v>
                </c:pt>
                <c:pt idx="2">
                  <c:v>701.45404413874348</c:v>
                </c:pt>
                <c:pt idx="3">
                  <c:v>578.4814622546121</c:v>
                </c:pt>
                <c:pt idx="4">
                  <c:v>469.55014730976086</c:v>
                </c:pt>
                <c:pt idx="5">
                  <c:v>372.61406445215744</c:v>
                </c:pt>
                <c:pt idx="6">
                  <c:v>285.97754331008719</c:v>
                </c:pt>
                <c:pt idx="7">
                  <c:v>208.22775840104964</c:v>
                </c:pt>
                <c:pt idx="8">
                  <c:v>138.18147857799477</c:v>
                </c:pt>
                <c:pt idx="9">
                  <c:v>74.842833680820604</c:v>
                </c:pt>
                <c:pt idx="10">
                  <c:v>17.369636538616305</c:v>
                </c:pt>
                <c:pt idx="11">
                  <c:v>-34.953614426998911</c:v>
                </c:pt>
                <c:pt idx="12">
                  <c:v>-82.737487786697557</c:v>
                </c:pt>
                <c:pt idx="13">
                  <c:v>-126.5052325539699</c:v>
                </c:pt>
                <c:pt idx="14">
                  <c:v>-166.7071085214659</c:v>
                </c:pt>
                <c:pt idx="15">
                  <c:v>-203.732099657405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09-464A-9FE7-88920A6F18EB}"/>
            </c:ext>
          </c:extLst>
        </c:ser>
        <c:ser>
          <c:idx val="2"/>
          <c:order val="2"/>
          <c:tx>
            <c:v>cross 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'Exercise 3 template'!$B$1</c:f>
              <c:numCache>
                <c:formatCode>0%</c:formatCode>
                <c:ptCount val="1"/>
                <c:pt idx="0">
                  <c:v>8.4471710780721132E-2</c:v>
                </c:pt>
              </c:numCache>
            </c:numRef>
          </c:xVal>
          <c:yVal>
            <c:numRef>
              <c:f>'Exercise 3 template'!$C$16</c:f>
              <c:numCache>
                <c:formatCode>General</c:formatCode>
                <c:ptCount val="1"/>
                <c:pt idx="0">
                  <c:v>446.90049711911365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9-464A-9FE7-88920A6F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121840"/>
        <c:axId val="644117744"/>
      </c:scatterChart>
      <c:valAx>
        <c:axId val="64412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4117744"/>
        <c:crosses val="autoZero"/>
        <c:crossBetween val="midCat"/>
      </c:valAx>
      <c:valAx>
        <c:axId val="64411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412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82550</xdr:colOff>
      <xdr:row>1</xdr:row>
      <xdr:rowOff>101600</xdr:rowOff>
    </xdr:from>
    <xdr:to>
      <xdr:col>20</xdr:col>
      <xdr:colOff>431800</xdr:colOff>
      <xdr:row>42</xdr:row>
      <xdr:rowOff>3810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1C00B16-495F-7E16-5E4A-BA0ACBA26E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47626</xdr:colOff>
      <xdr:row>1</xdr:row>
      <xdr:rowOff>133349</xdr:rowOff>
    </xdr:from>
    <xdr:to>
      <xdr:col>5</xdr:col>
      <xdr:colOff>396034</xdr:colOff>
      <xdr:row>27</xdr:row>
      <xdr:rowOff>161164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6" y="298449"/>
          <a:ext cx="3713908" cy="4320415"/>
        </a:xfrm>
        <a:prstGeom prst="rect">
          <a:avLst/>
        </a:prstGeom>
      </xdr:spPr>
    </xdr:pic>
    <xdr:clientData/>
  </xdr:twoCellAnchor>
  <xdr:twoCellAnchor editAs="oneCell">
    <xdr:from>
      <xdr:col>6</xdr:col>
      <xdr:colOff>95249</xdr:colOff>
      <xdr:row>5</xdr:row>
      <xdr:rowOff>38099</xdr:rowOff>
    </xdr:from>
    <xdr:to>
      <xdr:col>10</xdr:col>
      <xdr:colOff>504824</xdr:colOff>
      <xdr:row>24</xdr:row>
      <xdr:rowOff>137341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1449" y="1009649"/>
          <a:ext cx="3000375" cy="31758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298450</xdr:colOff>
      <xdr:row>19</xdr:row>
      <xdr:rowOff>69850</xdr:rowOff>
    </xdr:from>
    <xdr:to>
      <xdr:col>8</xdr:col>
      <xdr:colOff>742950</xdr:colOff>
      <xdr:row>36</xdr:row>
      <xdr:rowOff>6350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93AF221D-7640-ED50-EB11-9F847186C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9"/>
  <sheetViews>
    <sheetView workbookViewId="0">
      <selection activeCell="C27" sqref="C27"/>
    </sheetView>
  </sheetViews>
  <sheetFormatPr baseColWidth="10" defaultColWidth="8.83203125" defaultRowHeight="13"/>
  <sheetData>
    <row r="1" spans="1:3">
      <c r="A1" t="s">
        <v>0</v>
      </c>
      <c r="B1">
        <v>3</v>
      </c>
    </row>
    <row r="2" spans="1:3">
      <c r="A2" t="s">
        <v>1</v>
      </c>
      <c r="B2">
        <f>B1^2+3*B1-16</f>
        <v>2</v>
      </c>
      <c r="C2" t="str">
        <f ca="1">getformula(B2)</f>
        <v>&lt;-- =B1^2+3*B1-16</v>
      </c>
    </row>
    <row r="5" spans="1:3">
      <c r="A5" s="1" t="s">
        <v>2</v>
      </c>
    </row>
    <row r="6" spans="1:3">
      <c r="B6">
        <f>B2</f>
        <v>2</v>
      </c>
      <c r="C6" t="str">
        <f ca="1">getformula(B6)</f>
        <v>&lt;-- =B2</v>
      </c>
    </row>
    <row r="7" spans="1:3">
      <c r="A7">
        <v>-10</v>
      </c>
      <c r="B7">
        <f t="dataTable" ref="B7:B19" dt2D="0" dtr="0" r1="B1"/>
        <v>54</v>
      </c>
    </row>
    <row r="8" spans="1:3">
      <c r="A8">
        <v>-8</v>
      </c>
      <c r="B8">
        <v>24</v>
      </c>
    </row>
    <row r="9" spans="1:3">
      <c r="A9">
        <v>-6</v>
      </c>
      <c r="B9">
        <v>2</v>
      </c>
    </row>
    <row r="10" spans="1:3">
      <c r="A10">
        <v>-4</v>
      </c>
      <c r="B10">
        <v>-12</v>
      </c>
    </row>
    <row r="11" spans="1:3">
      <c r="A11">
        <v>-2</v>
      </c>
      <c r="B11">
        <v>-18</v>
      </c>
    </row>
    <row r="12" spans="1:3">
      <c r="A12">
        <v>0</v>
      </c>
      <c r="B12">
        <v>-16</v>
      </c>
    </row>
    <row r="13" spans="1:3">
      <c r="A13">
        <v>2</v>
      </c>
      <c r="B13">
        <v>-6</v>
      </c>
    </row>
    <row r="14" spans="1:3">
      <c r="A14">
        <v>4</v>
      </c>
      <c r="B14">
        <v>12</v>
      </c>
    </row>
    <row r="15" spans="1:3">
      <c r="A15">
        <v>6</v>
      </c>
      <c r="B15">
        <v>38</v>
      </c>
    </row>
    <row r="16" spans="1:3">
      <c r="A16">
        <v>8</v>
      </c>
      <c r="B16">
        <v>72</v>
      </c>
    </row>
    <row r="17" spans="1:2">
      <c r="A17">
        <v>10</v>
      </c>
      <c r="B17">
        <v>114</v>
      </c>
    </row>
    <row r="18" spans="1:2">
      <c r="A18">
        <v>12</v>
      </c>
      <c r="B18">
        <v>164</v>
      </c>
    </row>
    <row r="19" spans="1:2">
      <c r="A19">
        <v>14</v>
      </c>
      <c r="B19">
        <v>222</v>
      </c>
    </row>
  </sheetData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9"/>
  <sheetViews>
    <sheetView zoomScaleNormal="100" workbookViewId="0">
      <selection activeCell="F38" sqref="F38"/>
    </sheetView>
  </sheetViews>
  <sheetFormatPr baseColWidth="10" defaultColWidth="8.83203125" defaultRowHeight="13"/>
  <cols>
    <col min="1" max="1" width="15" customWidth="1"/>
    <col min="2" max="2" width="11.1640625" bestFit="1" customWidth="1"/>
    <col min="3" max="3" width="22.5" bestFit="1" customWidth="1"/>
  </cols>
  <sheetData>
    <row r="1" spans="1:3">
      <c r="A1" t="s">
        <v>3</v>
      </c>
      <c r="B1" s="2">
        <v>0.15</v>
      </c>
    </row>
    <row r="2" spans="1:3">
      <c r="A2" t="s">
        <v>4</v>
      </c>
      <c r="B2" s="7">
        <v>50000</v>
      </c>
    </row>
    <row r="3" spans="1:3">
      <c r="A3" t="s">
        <v>5</v>
      </c>
      <c r="B3" s="2">
        <v>0.06</v>
      </c>
    </row>
    <row r="5" spans="1:3">
      <c r="A5" s="3" t="s">
        <v>6</v>
      </c>
      <c r="B5" s="1" t="s">
        <v>7</v>
      </c>
    </row>
    <row r="6" spans="1:3">
      <c r="A6" s="4">
        <v>0</v>
      </c>
      <c r="B6" s="6">
        <f>-B2</f>
        <v>-50000</v>
      </c>
      <c r="C6" t="str">
        <f ca="1">getformula(B6)</f>
        <v>&lt;-- =-B2</v>
      </c>
    </row>
    <row r="7" spans="1:3">
      <c r="A7" s="4">
        <v>1</v>
      </c>
      <c r="B7" s="6">
        <f>10000</f>
        <v>10000</v>
      </c>
    </row>
    <row r="8" spans="1:3">
      <c r="A8" s="4">
        <v>2</v>
      </c>
      <c r="B8" s="6">
        <f>B7*(1+$B$3)</f>
        <v>10600</v>
      </c>
      <c r="C8" t="str">
        <f ca="1">getformula(B8)</f>
        <v>&lt;-- =B7*(1+$B$3)</v>
      </c>
    </row>
    <row r="9" spans="1:3">
      <c r="A9" s="4">
        <v>3</v>
      </c>
      <c r="B9" s="6">
        <f t="shared" ref="B9:B16" si="0">B8*(1+$B$3)</f>
        <v>11236</v>
      </c>
      <c r="C9" t="str">
        <f ca="1">getformula(B9)</f>
        <v>&lt;-- =B8*(1+$B$3)</v>
      </c>
    </row>
    <row r="10" spans="1:3">
      <c r="A10" s="4">
        <v>4</v>
      </c>
      <c r="B10" s="6">
        <f t="shared" si="0"/>
        <v>11910.16</v>
      </c>
    </row>
    <row r="11" spans="1:3">
      <c r="A11" s="4">
        <v>5</v>
      </c>
      <c r="B11" s="6">
        <f t="shared" si="0"/>
        <v>12624.7696</v>
      </c>
    </row>
    <row r="12" spans="1:3">
      <c r="A12" s="4">
        <v>6</v>
      </c>
      <c r="B12" s="6">
        <f t="shared" si="0"/>
        <v>13382.255776</v>
      </c>
    </row>
    <row r="13" spans="1:3">
      <c r="A13" s="4">
        <v>7</v>
      </c>
      <c r="B13" s="6">
        <f t="shared" si="0"/>
        <v>14185.191122560002</v>
      </c>
    </row>
    <row r="14" spans="1:3">
      <c r="A14" s="4">
        <v>8</v>
      </c>
      <c r="B14" s="6">
        <f t="shared" si="0"/>
        <v>15036.302589913603</v>
      </c>
    </row>
    <row r="15" spans="1:3">
      <c r="A15" s="4">
        <v>9</v>
      </c>
      <c r="B15" s="6">
        <f t="shared" si="0"/>
        <v>15938.48074530842</v>
      </c>
    </row>
    <row r="16" spans="1:3">
      <c r="A16" s="4">
        <v>10</v>
      </c>
      <c r="B16" s="6">
        <f t="shared" si="0"/>
        <v>16894.789590026925</v>
      </c>
    </row>
    <row r="17" spans="1:8">
      <c r="B17" s="6"/>
    </row>
    <row r="18" spans="1:8">
      <c r="A18" t="s">
        <v>8</v>
      </c>
      <c r="B18" s="6">
        <f>NPV(B1,B7:B16)+B6</f>
        <v>11925.537602337201</v>
      </c>
      <c r="C18" t="str">
        <f ca="1">getformula(B18)</f>
        <v>&lt;-- =NPV(B1,B7:B16)+B6</v>
      </c>
    </row>
    <row r="19" spans="1:8">
      <c r="A19" t="s">
        <v>9</v>
      </c>
      <c r="B19" s="5">
        <f>IRR(B6:B16)</f>
        <v>0.20408767824673801</v>
      </c>
      <c r="C19" t="str">
        <f ca="1">getformula(B19)</f>
        <v>&lt;-- =IRR(B6:B16)</v>
      </c>
    </row>
    <row r="21" spans="1:8">
      <c r="A21" s="27" t="s">
        <v>42</v>
      </c>
    </row>
    <row r="22" spans="1:8">
      <c r="B22" s="30">
        <f>B18</f>
        <v>11925.537602337201</v>
      </c>
      <c r="C22" s="5">
        <f>B19</f>
        <v>0.20408767824673801</v>
      </c>
    </row>
    <row r="23" spans="1:8">
      <c r="A23">
        <v>9000</v>
      </c>
      <c r="B23">
        <f t="dataTable" ref="B23:C29" dt2D="0" dtr="0" r1="B7" ca="1"/>
        <v>5732.9838421034947</v>
      </c>
      <c r="C23" s="31">
        <v>0.1766147290191864</v>
      </c>
    </row>
    <row r="24" spans="1:8">
      <c r="A24">
        <v>9500</v>
      </c>
      <c r="B24">
        <v>8829.260722220366</v>
      </c>
      <c r="C24" s="31">
        <v>0.19049964654959117</v>
      </c>
    </row>
    <row r="25" spans="1:8">
      <c r="A25">
        <v>10000</v>
      </c>
      <c r="B25">
        <v>11925.537602337201</v>
      </c>
      <c r="C25" s="31">
        <v>0.20408767824673801</v>
      </c>
    </row>
    <row r="26" spans="1:8">
      <c r="A26">
        <v>10500</v>
      </c>
      <c r="B26">
        <v>15021.814482454087</v>
      </c>
      <c r="C26" s="31">
        <v>0.21740869344120006</v>
      </c>
    </row>
    <row r="27" spans="1:8">
      <c r="A27">
        <v>11000</v>
      </c>
      <c r="B27">
        <v>18118.091362570936</v>
      </c>
      <c r="C27" s="31">
        <v>0.23048856531145168</v>
      </c>
    </row>
    <row r="28" spans="1:8">
      <c r="A28">
        <v>11500</v>
      </c>
      <c r="B28">
        <v>21214.368242687793</v>
      </c>
      <c r="C28" s="31">
        <v>0.24334985323863045</v>
      </c>
    </row>
    <row r="29" spans="1:8">
      <c r="A29">
        <v>12000</v>
      </c>
      <c r="B29">
        <v>24310.645122804664</v>
      </c>
      <c r="C29" s="31">
        <v>0.25601234432180098</v>
      </c>
    </row>
    <row r="31" spans="1:8">
      <c r="A31" s="27" t="s">
        <v>43</v>
      </c>
    </row>
    <row r="32" spans="1:8">
      <c r="A32" s="30">
        <f>B18</f>
        <v>11925.537602337201</v>
      </c>
      <c r="B32" s="2">
        <v>0.08</v>
      </c>
      <c r="C32" s="2">
        <v>0.1</v>
      </c>
      <c r="D32" s="2">
        <v>0.12</v>
      </c>
      <c r="E32" s="2">
        <v>0.14000000000000001</v>
      </c>
      <c r="F32" s="2">
        <v>0.16</v>
      </c>
      <c r="G32" s="2">
        <v>0.18</v>
      </c>
      <c r="H32" s="2">
        <v>0.2</v>
      </c>
    </row>
    <row r="33" spans="1:8">
      <c r="A33">
        <v>9000</v>
      </c>
      <c r="B33">
        <f t="dataTable" ref="B33:H39" dt2D="1" dtr="1" r1="B1" r2="B7"/>
        <v>26720.953964451866</v>
      </c>
      <c r="C33">
        <v>19648.904846702848</v>
      </c>
      <c r="D33">
        <v>13509.245635465653</v>
      </c>
      <c r="E33">
        <v>8154.6160074683939</v>
      </c>
      <c r="F33">
        <v>3463.9771830931131</v>
      </c>
      <c r="G33">
        <v>-662.55203475642338</v>
      </c>
      <c r="H33">
        <v>-4307.7650705272754</v>
      </c>
    </row>
    <row r="34" spans="1:8">
      <c r="A34">
        <v>9500</v>
      </c>
      <c r="B34">
        <v>30983.229184699201</v>
      </c>
      <c r="C34">
        <v>23518.28844929747</v>
      </c>
      <c r="D34">
        <v>17037.537059658192</v>
      </c>
      <c r="E34">
        <v>11385.428007883311</v>
      </c>
      <c r="F34">
        <v>6434.1981377094125</v>
      </c>
      <c r="G34">
        <v>2078.4172966459882</v>
      </c>
      <c r="H34">
        <v>-1769.3075744454545</v>
      </c>
    </row>
    <row r="35" spans="1:8">
      <c r="A35">
        <v>10000</v>
      </c>
      <c r="B35">
        <v>35245.504404946536</v>
      </c>
      <c r="C35">
        <v>27387.672051892048</v>
      </c>
      <c r="D35">
        <v>20565.82848385071</v>
      </c>
      <c r="E35">
        <v>14616.240008298213</v>
      </c>
      <c r="F35">
        <v>9404.4190923256756</v>
      </c>
      <c r="G35">
        <v>4819.3866280484217</v>
      </c>
      <c r="H35">
        <v>769.14992163635907</v>
      </c>
    </row>
    <row r="36" spans="1:8">
      <c r="A36">
        <v>10500</v>
      </c>
      <c r="B36">
        <v>39507.779625193856</v>
      </c>
      <c r="C36">
        <v>31257.05565448667</v>
      </c>
      <c r="D36">
        <v>24094.119908043271</v>
      </c>
      <c r="E36">
        <v>17847.05200871313</v>
      </c>
      <c r="F36">
        <v>12374.640046941975</v>
      </c>
      <c r="G36">
        <v>7560.3559594508406</v>
      </c>
      <c r="H36">
        <v>3307.6074177181654</v>
      </c>
    </row>
    <row r="37" spans="1:8">
      <c r="A37">
        <v>11000</v>
      </c>
      <c r="B37">
        <v>43770.054845441191</v>
      </c>
      <c r="C37">
        <v>35126.439257081263</v>
      </c>
      <c r="D37">
        <v>27622.411332235788</v>
      </c>
      <c r="E37">
        <v>21077.864009128025</v>
      </c>
      <c r="F37">
        <v>15344.86100155826</v>
      </c>
      <c r="G37">
        <v>10301.325290853267</v>
      </c>
      <c r="H37">
        <v>5846.0649138000008</v>
      </c>
    </row>
    <row r="38" spans="1:8">
      <c r="A38">
        <v>11500</v>
      </c>
      <c r="B38">
        <v>48032.330065688497</v>
      </c>
      <c r="C38">
        <v>38995.822859675885</v>
      </c>
      <c r="D38">
        <v>31150.702756428334</v>
      </c>
      <c r="E38">
        <v>24308.676009542964</v>
      </c>
      <c r="F38">
        <v>18315.081956174545</v>
      </c>
      <c r="G38">
        <v>13042.294622255693</v>
      </c>
      <c r="H38">
        <v>8384.5224098818217</v>
      </c>
    </row>
    <row r="39" spans="1:8">
      <c r="A39">
        <v>12000</v>
      </c>
      <c r="B39">
        <v>52294.605285935802</v>
      </c>
      <c r="C39">
        <v>42865.206462270464</v>
      </c>
      <c r="D39">
        <v>34678.994180620866</v>
      </c>
      <c r="E39">
        <v>27539.488009957859</v>
      </c>
      <c r="F39">
        <v>21285.302910790808</v>
      </c>
      <c r="G39">
        <v>15783.263953658083</v>
      </c>
      <c r="H39">
        <v>10922.979905963621</v>
      </c>
    </row>
  </sheetData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"/>
  <sheetViews>
    <sheetView workbookViewId="0">
      <selection activeCell="E33" sqref="E33"/>
    </sheetView>
  </sheetViews>
  <sheetFormatPr baseColWidth="10" defaultColWidth="8.83203125" defaultRowHeight="13"/>
  <sheetData>
    <row r="1" spans="1:7">
      <c r="A1" s="27" t="s">
        <v>44</v>
      </c>
    </row>
    <row r="3" spans="1:7">
      <c r="G3" s="27" t="s">
        <v>39</v>
      </c>
    </row>
    <row r="4" spans="1:7">
      <c r="G4" s="27" t="s">
        <v>40</v>
      </c>
    </row>
    <row r="5" spans="1:7">
      <c r="G5" s="27" t="s">
        <v>41</v>
      </c>
    </row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8582-B405-824B-8E66-CC6E5A7CA420}">
  <dimension ref="A1:D36"/>
  <sheetViews>
    <sheetView topLeftCell="A17" zoomScaleNormal="100" workbookViewId="0">
      <selection activeCell="A19" sqref="A19:C36"/>
    </sheetView>
  </sheetViews>
  <sheetFormatPr baseColWidth="10" defaultRowHeight="13"/>
  <cols>
    <col min="2" max="2" width="22" bestFit="1" customWidth="1"/>
  </cols>
  <sheetData>
    <row r="1" spans="1:4">
      <c r="A1" s="27" t="s">
        <v>45</v>
      </c>
      <c r="B1" s="2">
        <v>8.4471710780721132E-2</v>
      </c>
    </row>
    <row r="3" spans="1:4">
      <c r="A3" s="27" t="s">
        <v>46</v>
      </c>
      <c r="B3" s="27" t="s">
        <v>47</v>
      </c>
      <c r="C3" s="27" t="s">
        <v>48</v>
      </c>
    </row>
    <row r="4" spans="1:4">
      <c r="A4">
        <v>0</v>
      </c>
      <c r="B4">
        <v>-1000</v>
      </c>
      <c r="C4">
        <v>-1000</v>
      </c>
    </row>
    <row r="5" spans="1:4">
      <c r="A5">
        <v>1</v>
      </c>
      <c r="B5">
        <v>220</v>
      </c>
      <c r="C5">
        <v>300</v>
      </c>
    </row>
    <row r="6" spans="1:4">
      <c r="A6">
        <v>2</v>
      </c>
      <c r="B6">
        <v>220</v>
      </c>
      <c r="C6">
        <v>300</v>
      </c>
    </row>
    <row r="7" spans="1:4">
      <c r="A7">
        <v>3</v>
      </c>
      <c r="B7">
        <v>220</v>
      </c>
      <c r="C7">
        <v>300</v>
      </c>
    </row>
    <row r="8" spans="1:4">
      <c r="A8">
        <v>4</v>
      </c>
      <c r="B8">
        <v>220</v>
      </c>
      <c r="C8">
        <v>300</v>
      </c>
    </row>
    <row r="9" spans="1:4">
      <c r="A9">
        <v>5</v>
      </c>
      <c r="B9">
        <v>220</v>
      </c>
      <c r="C9">
        <v>300</v>
      </c>
    </row>
    <row r="10" spans="1:4">
      <c r="A10">
        <v>6</v>
      </c>
      <c r="B10">
        <v>220</v>
      </c>
      <c r="C10">
        <v>100</v>
      </c>
    </row>
    <row r="11" spans="1:4">
      <c r="A11">
        <v>7</v>
      </c>
      <c r="B11">
        <v>220</v>
      </c>
      <c r="C11">
        <v>100</v>
      </c>
    </row>
    <row r="12" spans="1:4">
      <c r="A12">
        <v>8</v>
      </c>
      <c r="B12">
        <v>220</v>
      </c>
      <c r="C12">
        <v>100</v>
      </c>
    </row>
    <row r="13" spans="1:4">
      <c r="A13">
        <v>9</v>
      </c>
      <c r="B13">
        <v>220</v>
      </c>
      <c r="C13">
        <v>100</v>
      </c>
    </row>
    <row r="14" spans="1:4">
      <c r="A14">
        <v>10</v>
      </c>
      <c r="B14">
        <v>220</v>
      </c>
      <c r="C14">
        <v>100</v>
      </c>
    </row>
    <row r="16" spans="1:4">
      <c r="A16" s="27" t="s">
        <v>49</v>
      </c>
      <c r="B16" s="32">
        <f>NPV($B$1,B5:B14)+B4</f>
        <v>446.90058505537968</v>
      </c>
      <c r="C16" s="32">
        <f>NPV($B$1,C5:C14)+C4</f>
        <v>446.90049711911365</v>
      </c>
      <c r="D16">
        <f>B16-C16</f>
        <v>8.7936266027099919E-5</v>
      </c>
    </row>
    <row r="17" spans="1:3">
      <c r="A17" s="27" t="s">
        <v>50</v>
      </c>
      <c r="B17" s="5">
        <f>IRR(B4:B14)</f>
        <v>0.17681377427677569</v>
      </c>
      <c r="C17" s="5">
        <f>IRR(C4:C14)</f>
        <v>0.20643650105845501</v>
      </c>
    </row>
    <row r="19" spans="1:3">
      <c r="B19" s="27" t="s">
        <v>51</v>
      </c>
      <c r="C19" s="27" t="s">
        <v>52</v>
      </c>
    </row>
    <row r="20" spans="1:3">
      <c r="B20" s="33">
        <f>B16</f>
        <v>446.90058505537968</v>
      </c>
      <c r="C20" s="33">
        <f>C16</f>
        <v>446.90049711911365</v>
      </c>
    </row>
    <row r="21" spans="1:3">
      <c r="A21" s="2">
        <v>0</v>
      </c>
      <c r="B21">
        <f t="dataTable" ref="B21:C36" dt2D="0" dtr="0" r1="B1"/>
        <v>1200</v>
      </c>
      <c r="C21">
        <v>1000</v>
      </c>
    </row>
    <row r="22" spans="1:3">
      <c r="A22" s="2">
        <v>0.02</v>
      </c>
      <c r="B22">
        <v>976.16870137329192</v>
      </c>
      <c r="C22">
        <v>840.95040232506472</v>
      </c>
    </row>
    <row r="23" spans="1:3">
      <c r="A23" s="2">
        <v>0.04</v>
      </c>
      <c r="B23">
        <v>784.39707145810598</v>
      </c>
      <c r="C23">
        <v>701.45404413874348</v>
      </c>
    </row>
    <row r="24" spans="1:3">
      <c r="A24" s="2">
        <v>0.06</v>
      </c>
      <c r="B24">
        <v>619.21915131123296</v>
      </c>
      <c r="C24">
        <v>578.4814622546121</v>
      </c>
    </row>
    <row r="25" spans="1:3">
      <c r="A25" s="2">
        <v>0.08</v>
      </c>
      <c r="B25">
        <v>476.21790776711737</v>
      </c>
      <c r="C25">
        <v>469.55014730976086</v>
      </c>
    </row>
    <row r="26" spans="1:3">
      <c r="A26" s="2">
        <v>0.1</v>
      </c>
      <c r="B26">
        <v>351.80476325502946</v>
      </c>
      <c r="C26">
        <v>372.61406445215744</v>
      </c>
    </row>
    <row r="27" spans="1:3">
      <c r="A27" s="2">
        <v>0.12</v>
      </c>
      <c r="B27">
        <v>243.04906625039007</v>
      </c>
      <c r="C27">
        <v>285.97754331008719</v>
      </c>
    </row>
    <row r="28" spans="1:3">
      <c r="A28" s="2">
        <v>0.14000000000000001</v>
      </c>
      <c r="B28">
        <v>147.5454421845875</v>
      </c>
      <c r="C28">
        <v>208.22775840104964</v>
      </c>
    </row>
    <row r="29" spans="1:3">
      <c r="A29" s="2">
        <v>0.16</v>
      </c>
      <c r="B29">
        <v>63.310045260644301</v>
      </c>
      <c r="C29">
        <v>138.18147857799477</v>
      </c>
    </row>
    <row r="30" spans="1:3">
      <c r="A30" s="2">
        <v>0.18</v>
      </c>
      <c r="B30">
        <v>-11.301015116629173</v>
      </c>
      <c r="C30">
        <v>74.842833680820604</v>
      </c>
    </row>
    <row r="31" spans="1:3">
      <c r="A31" s="2">
        <v>0.2</v>
      </c>
      <c r="B31">
        <v>-77.656141178830239</v>
      </c>
      <c r="C31">
        <v>17.369636538616305</v>
      </c>
    </row>
    <row r="32" spans="1:3">
      <c r="A32" s="2">
        <v>0.22</v>
      </c>
      <c r="B32">
        <v>-136.89944682053715</v>
      </c>
      <c r="C32">
        <v>-34.953614426998911</v>
      </c>
    </row>
    <row r="33" spans="1:3">
      <c r="A33" s="2">
        <v>0.24</v>
      </c>
      <c r="B33">
        <v>-189.99161619054848</v>
      </c>
      <c r="C33">
        <v>-82.737487786697557</v>
      </c>
    </row>
    <row r="34" spans="1:3">
      <c r="A34" s="2">
        <v>0.26</v>
      </c>
      <c r="B34">
        <v>-237.74266126353245</v>
      </c>
      <c r="C34">
        <v>-126.5052325539699</v>
      </c>
    </row>
    <row r="35" spans="1:3">
      <c r="A35" s="2">
        <v>0.28000000000000003</v>
      </c>
      <c r="B35">
        <v>-280.83830299855219</v>
      </c>
      <c r="C35">
        <v>-166.7071085214659</v>
      </c>
    </row>
    <row r="36" spans="1:3">
      <c r="A36" s="2">
        <v>0.3</v>
      </c>
      <c r="B36">
        <v>-319.86131021003109</v>
      </c>
      <c r="C36">
        <v>-203.732099657405</v>
      </c>
    </row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Q38"/>
  <sheetViews>
    <sheetView zoomScaleNormal="100" workbookViewId="0">
      <selection activeCell="A13" sqref="A13:XFD13"/>
    </sheetView>
  </sheetViews>
  <sheetFormatPr baseColWidth="10" defaultColWidth="8.83203125" defaultRowHeight="13"/>
  <cols>
    <col min="1" max="1" width="18.33203125" bestFit="1" customWidth="1"/>
  </cols>
  <sheetData>
    <row r="1" spans="1:17" ht="18">
      <c r="A1" s="28" t="s">
        <v>10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spans="1:17">
      <c r="A2" t="s">
        <v>37</v>
      </c>
      <c r="B2" s="2">
        <v>0.09</v>
      </c>
    </row>
    <row r="3" spans="1:17">
      <c r="A3" t="s">
        <v>38</v>
      </c>
      <c r="B3">
        <v>5</v>
      </c>
    </row>
    <row r="4" spans="1:17">
      <c r="A4" t="s">
        <v>15</v>
      </c>
      <c r="B4" s="8">
        <f>PV(B2,B3,-1)</f>
        <v>3.8896512633517193</v>
      </c>
      <c r="C4" t="str">
        <f ca="1">getformula(B4)</f>
        <v>&lt;-- =PV(B2,B3,-1)</v>
      </c>
    </row>
    <row r="5" spans="1:17">
      <c r="B5" s="8"/>
    </row>
    <row r="6" spans="1:17">
      <c r="B6" s="8"/>
    </row>
    <row r="7" spans="1:17" ht="40.5" customHeight="1">
      <c r="A7" s="9" t="s">
        <v>13</v>
      </c>
      <c r="C7" s="14" t="s">
        <v>14</v>
      </c>
      <c r="E7" s="10"/>
      <c r="F7" s="10"/>
      <c r="G7" s="10"/>
      <c r="H7" s="10"/>
      <c r="I7" s="10"/>
      <c r="J7" s="10"/>
      <c r="K7" s="10"/>
      <c r="L7" s="10"/>
      <c r="M7" s="10"/>
      <c r="N7" s="10"/>
    </row>
    <row r="8" spans="1:17">
      <c r="A8" s="11">
        <f>B4</f>
        <v>3.8896512633517193</v>
      </c>
      <c r="B8" s="12">
        <v>0.01</v>
      </c>
      <c r="C8" s="12">
        <v>0.02</v>
      </c>
      <c r="D8" s="12">
        <v>0.03</v>
      </c>
      <c r="E8" s="12">
        <v>0.04</v>
      </c>
      <c r="F8" s="12">
        <v>0.05</v>
      </c>
      <c r="G8" s="12">
        <v>0.06</v>
      </c>
      <c r="H8" s="12">
        <v>7.0000000000000007E-2</v>
      </c>
      <c r="I8" s="12">
        <v>0.08</v>
      </c>
      <c r="J8" s="12">
        <v>0.09</v>
      </c>
      <c r="K8" s="12">
        <v>0.1</v>
      </c>
      <c r="L8" s="12"/>
      <c r="M8" s="12"/>
      <c r="N8" s="12"/>
      <c r="O8" s="12"/>
      <c r="P8" s="12"/>
      <c r="Q8" s="12"/>
    </row>
    <row r="9" spans="1:17">
      <c r="A9" s="3">
        <v>1</v>
      </c>
      <c r="B9" s="13">
        <f t="dataTable" ref="B9:K18" dt2D="1" dtr="1" r1="B2" r2="B3"/>
        <v>0.99009900990099098</v>
      </c>
      <c r="C9" s="13">
        <v>0.98039215686274594</v>
      </c>
      <c r="D9" s="13">
        <v>0.97087378640776778</v>
      </c>
      <c r="E9" s="13">
        <v>0.96153846153846234</v>
      </c>
      <c r="F9" s="13">
        <v>0.95238095238095322</v>
      </c>
      <c r="G9" s="13">
        <v>0.94339622641509513</v>
      </c>
      <c r="H9" s="13">
        <v>0.93457943925233722</v>
      </c>
      <c r="I9" s="13">
        <v>0.92592592592592671</v>
      </c>
      <c r="J9" s="13">
        <v>0.91743119266055118</v>
      </c>
      <c r="K9" s="13">
        <v>0.90909090909090984</v>
      </c>
      <c r="L9" s="13"/>
      <c r="M9" s="13"/>
      <c r="N9" s="13"/>
      <c r="O9" s="13"/>
      <c r="P9" s="13"/>
      <c r="Q9" s="13"/>
    </row>
    <row r="10" spans="1:17">
      <c r="A10" s="3">
        <v>2</v>
      </c>
      <c r="B10" s="13">
        <v>1.9703950593079116</v>
      </c>
      <c r="C10" s="13">
        <v>1.9415609381007302</v>
      </c>
      <c r="D10" s="13">
        <v>1.91346969554152</v>
      </c>
      <c r="E10" s="13">
        <v>1.8860946745562153</v>
      </c>
      <c r="F10" s="13">
        <v>1.8594104308390029</v>
      </c>
      <c r="G10" s="13">
        <v>1.8333926664293365</v>
      </c>
      <c r="H10" s="13">
        <v>1.8080181675255482</v>
      </c>
      <c r="I10" s="13">
        <v>1.7832647462277103</v>
      </c>
      <c r="J10" s="13">
        <v>1.7591111859271116</v>
      </c>
      <c r="K10" s="13">
        <v>1.735537190082646</v>
      </c>
      <c r="L10" s="13"/>
      <c r="M10" s="13"/>
      <c r="N10" s="13"/>
      <c r="O10" s="13"/>
      <c r="P10" s="13"/>
      <c r="Q10" s="13"/>
    </row>
    <row r="11" spans="1:17">
      <c r="A11" s="3">
        <v>3</v>
      </c>
      <c r="B11" s="13">
        <v>2.9409852072355469</v>
      </c>
      <c r="C11" s="13">
        <v>2.8838832726477719</v>
      </c>
      <c r="D11" s="13">
        <v>2.8286113548946812</v>
      </c>
      <c r="E11" s="13">
        <v>2.7750910332271297</v>
      </c>
      <c r="F11" s="13">
        <v>2.7232480293704802</v>
      </c>
      <c r="G11" s="13">
        <v>2.6730119494616398</v>
      </c>
      <c r="H11" s="13">
        <v>2.6243160444164007</v>
      </c>
      <c r="I11" s="13">
        <v>2.5770969872478804</v>
      </c>
      <c r="J11" s="13">
        <v>2.5312946659881761</v>
      </c>
      <c r="K11" s="13">
        <v>2.4868519909842246</v>
      </c>
      <c r="L11" s="13"/>
      <c r="M11" s="13"/>
      <c r="N11" s="13"/>
      <c r="O11" s="13"/>
      <c r="P11" s="13"/>
      <c r="Q11" s="13"/>
    </row>
    <row r="12" spans="1:17">
      <c r="A12" s="3">
        <v>4</v>
      </c>
      <c r="B12" s="13">
        <v>3.9019655517183738</v>
      </c>
      <c r="C12" s="13">
        <v>3.8077286986742878</v>
      </c>
      <c r="D12" s="13">
        <v>3.7170984028103682</v>
      </c>
      <c r="E12" s="13">
        <v>3.6298952242568574</v>
      </c>
      <c r="F12" s="13">
        <v>3.5459505041623607</v>
      </c>
      <c r="G12" s="13">
        <v>3.4651056126996607</v>
      </c>
      <c r="H12" s="13">
        <v>3.387211256463925</v>
      </c>
      <c r="I12" s="13">
        <v>3.3121268400443342</v>
      </c>
      <c r="J12" s="13">
        <v>3.2397198770533731</v>
      </c>
      <c r="K12" s="13">
        <v>3.1698654463492946</v>
      </c>
      <c r="L12" s="13"/>
      <c r="M12" s="13"/>
      <c r="N12" s="13"/>
      <c r="O12" s="13"/>
      <c r="P12" s="13"/>
      <c r="Q12" s="13"/>
    </row>
    <row r="13" spans="1:17">
      <c r="A13" s="3">
        <v>5</v>
      </c>
      <c r="B13" s="13">
        <v>4.853431239325114</v>
      </c>
      <c r="C13" s="13">
        <v>4.7134595085042061</v>
      </c>
      <c r="D13" s="13">
        <v>4.5797071871945301</v>
      </c>
      <c r="E13" s="13">
        <v>4.4518223310162108</v>
      </c>
      <c r="F13" s="13">
        <v>4.3294766706308208</v>
      </c>
      <c r="G13" s="13">
        <v>4.212363785565719</v>
      </c>
      <c r="H13" s="13">
        <v>4.100197435947595</v>
      </c>
      <c r="I13" s="13">
        <v>3.9927100370780875</v>
      </c>
      <c r="J13" s="13">
        <v>3.8896512633517193</v>
      </c>
      <c r="K13" s="13">
        <v>3.7907867694084505</v>
      </c>
      <c r="L13" s="13"/>
      <c r="M13" s="13"/>
      <c r="N13" s="13"/>
      <c r="O13" s="13"/>
      <c r="P13" s="13"/>
      <c r="Q13" s="13"/>
    </row>
    <row r="14" spans="1:17">
      <c r="A14" s="3">
        <v>6</v>
      </c>
      <c r="B14" s="13">
        <v>5.7954764745793392</v>
      </c>
      <c r="C14" s="13">
        <v>5.6014308906903993</v>
      </c>
      <c r="D14" s="13">
        <v>5.4171914438781865</v>
      </c>
      <c r="E14" s="13">
        <v>5.2421368567463569</v>
      </c>
      <c r="F14" s="13">
        <v>5.0756920672674468</v>
      </c>
      <c r="G14" s="13">
        <v>4.9173243260053949</v>
      </c>
      <c r="H14" s="13">
        <v>4.7665396597641063</v>
      </c>
      <c r="I14" s="13">
        <v>4.6228796639611929</v>
      </c>
      <c r="J14" s="13">
        <v>4.4859185902309351</v>
      </c>
      <c r="K14" s="13">
        <v>4.355260699462228</v>
      </c>
      <c r="L14" s="13"/>
      <c r="M14" s="13"/>
      <c r="N14" s="13"/>
      <c r="O14" s="13"/>
      <c r="P14" s="13"/>
      <c r="Q14" s="13"/>
    </row>
    <row r="15" spans="1:17">
      <c r="A15" s="3">
        <v>7</v>
      </c>
      <c r="B15" s="13">
        <v>6.7281945292864478</v>
      </c>
      <c r="C15" s="13">
        <v>6.4719910693043037</v>
      </c>
      <c r="D15" s="13">
        <v>6.2302829552215417</v>
      </c>
      <c r="E15" s="13">
        <v>6.0020546699484187</v>
      </c>
      <c r="F15" s="13">
        <v>5.7863733973975711</v>
      </c>
      <c r="G15" s="13">
        <v>5.5823814396277331</v>
      </c>
      <c r="H15" s="13">
        <v>5.3892894016486981</v>
      </c>
      <c r="I15" s="13">
        <v>5.2063700592233273</v>
      </c>
      <c r="J15" s="13">
        <v>5.0329528350742532</v>
      </c>
      <c r="K15" s="13">
        <v>4.8684188176929348</v>
      </c>
      <c r="L15" s="13"/>
      <c r="M15" s="13"/>
      <c r="N15" s="13"/>
      <c r="O15" s="13"/>
      <c r="P15" s="13"/>
      <c r="Q15" s="13"/>
    </row>
    <row r="16" spans="1:17">
      <c r="A16" s="3">
        <v>8</v>
      </c>
      <c r="B16" s="13">
        <v>7.6516777517687853</v>
      </c>
      <c r="C16" s="13">
        <v>7.3254814404944195</v>
      </c>
      <c r="D16" s="13">
        <v>7.0196921895354745</v>
      </c>
      <c r="E16" s="13">
        <v>6.7327448749504049</v>
      </c>
      <c r="F16" s="13">
        <v>6.4632127594262556</v>
      </c>
      <c r="G16" s="13">
        <v>6.2097938109695594</v>
      </c>
      <c r="H16" s="13">
        <v>5.9712985062137358</v>
      </c>
      <c r="I16" s="13">
        <v>5.7466389437253032</v>
      </c>
      <c r="J16" s="13">
        <v>5.5348191147470214</v>
      </c>
      <c r="K16" s="13">
        <v>5.3349261979026679</v>
      </c>
      <c r="L16" s="13"/>
      <c r="M16" s="13"/>
      <c r="N16" s="13"/>
      <c r="O16" s="13"/>
      <c r="P16" s="13"/>
      <c r="Q16" s="13"/>
    </row>
    <row r="17" spans="1:17">
      <c r="A17" s="3">
        <v>9</v>
      </c>
      <c r="B17" s="13">
        <v>8.5660175760087061</v>
      </c>
      <c r="C17" s="13">
        <v>8.1622367063670787</v>
      </c>
      <c r="D17" s="13">
        <v>7.7861089218791024</v>
      </c>
      <c r="E17" s="13">
        <v>7.4353316105292375</v>
      </c>
      <c r="F17" s="13">
        <v>7.107821675644054</v>
      </c>
      <c r="G17" s="13">
        <v>6.8016922744995831</v>
      </c>
      <c r="H17" s="13">
        <v>6.5152322487978855</v>
      </c>
      <c r="I17" s="13">
        <v>6.2468879108567625</v>
      </c>
      <c r="J17" s="13">
        <v>5.9952468942633228</v>
      </c>
      <c r="K17" s="13">
        <v>5.7590238162751533</v>
      </c>
      <c r="L17" s="13"/>
      <c r="M17" s="13"/>
      <c r="N17" s="13"/>
      <c r="O17" s="13"/>
      <c r="P17" s="13"/>
      <c r="Q17" s="13"/>
    </row>
    <row r="18" spans="1:17">
      <c r="A18" s="3">
        <v>10</v>
      </c>
      <c r="B18" s="13">
        <v>9.4713045307016905</v>
      </c>
      <c r="C18" s="13">
        <v>8.9825850062422354</v>
      </c>
      <c r="D18" s="13">
        <v>8.5302028367758282</v>
      </c>
      <c r="E18" s="13">
        <v>8.1108957793550349</v>
      </c>
      <c r="F18" s="13">
        <v>7.7217349291848132</v>
      </c>
      <c r="G18" s="13">
        <v>7.3600870514147019</v>
      </c>
      <c r="H18" s="13">
        <v>7.0235815409326028</v>
      </c>
      <c r="I18" s="13">
        <v>6.7100813989414467</v>
      </c>
      <c r="J18" s="13">
        <v>6.4176577011590128</v>
      </c>
      <c r="K18" s="13">
        <v>6.1445671057046853</v>
      </c>
      <c r="L18" s="13"/>
      <c r="M18" s="13"/>
      <c r="N18" s="13"/>
      <c r="O18" s="13"/>
      <c r="P18" s="13"/>
      <c r="Q18" s="13"/>
    </row>
    <row r="19" spans="1:17">
      <c r="A19" s="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>
      <c r="A20" s="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>
      <c r="A21" s="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>
      <c r="A22" s="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>
      <c r="A23" s="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>
      <c r="A24" s="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>
      <c r="A25" s="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>
      <c r="A26" s="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>
      <c r="A27" s="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>
      <c r="A28" s="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>
      <c r="A29" s="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>
      <c r="A30" s="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>
      <c r="A31" s="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>
      <c r="A32" s="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>
      <c r="A33" s="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>
      <c r="A34" s="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>
      <c r="A35" s="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>
      <c r="A36" s="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>
      <c r="A37" s="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>
      <c r="A38" s="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</sheetData>
  <mergeCells count="1">
    <mergeCell ref="A1:K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48"/>
  <sheetViews>
    <sheetView tabSelected="1" zoomScaleNormal="100" workbookViewId="0">
      <selection activeCell="A38" sqref="A38:C48"/>
    </sheetView>
  </sheetViews>
  <sheetFormatPr baseColWidth="10" defaultColWidth="8.83203125" defaultRowHeight="13"/>
  <cols>
    <col min="1" max="1" width="11.1640625" customWidth="1"/>
    <col min="3" max="3" width="42.6640625" bestFit="1" customWidth="1"/>
  </cols>
  <sheetData>
    <row r="1" spans="1:3" ht="18">
      <c r="A1" s="29" t="s">
        <v>16</v>
      </c>
      <c r="B1" s="29"/>
      <c r="C1" s="29"/>
    </row>
    <row r="2" spans="1:3">
      <c r="A2" s="20" t="s">
        <v>17</v>
      </c>
      <c r="B2" s="21">
        <v>100</v>
      </c>
      <c r="C2" s="16" t="s">
        <v>18</v>
      </c>
    </row>
    <row r="3" spans="1:3">
      <c r="A3" s="20" t="s">
        <v>19</v>
      </c>
      <c r="B3" s="21">
        <v>90</v>
      </c>
      <c r="C3" s="16" t="s">
        <v>20</v>
      </c>
    </row>
    <row r="4" spans="1:3">
      <c r="A4" s="20" t="s">
        <v>12</v>
      </c>
      <c r="B4" s="22">
        <v>0.5</v>
      </c>
      <c r="C4" s="16" t="s">
        <v>21</v>
      </c>
    </row>
    <row r="5" spans="1:3">
      <c r="A5" s="20" t="s">
        <v>11</v>
      </c>
      <c r="B5" s="23">
        <v>0.04</v>
      </c>
      <c r="C5" s="16" t="s">
        <v>22</v>
      </c>
    </row>
    <row r="6" spans="1:3">
      <c r="A6" s="24" t="s">
        <v>23</v>
      </c>
      <c r="B6" s="24">
        <v>0.35</v>
      </c>
      <c r="C6" s="16" t="s">
        <v>24</v>
      </c>
    </row>
    <row r="7" spans="1:3">
      <c r="A7" s="15"/>
      <c r="B7" s="16"/>
      <c r="C7" s="16"/>
    </row>
    <row r="8" spans="1:3" ht="15">
      <c r="A8" s="16" t="s">
        <v>25</v>
      </c>
      <c r="B8" s="17">
        <f>(LN(B2/B3)+(B5+0.5*B6^2)*B4)/(B6*SQRT(B4))</f>
        <v>0.63027666222016798</v>
      </c>
      <c r="C8" s="16" t="s">
        <v>26</v>
      </c>
    </row>
    <row r="9" spans="1:3" ht="15">
      <c r="A9" s="16" t="s">
        <v>27</v>
      </c>
      <c r="B9" s="17">
        <f>B8-SQRT(B4)*B6</f>
        <v>0.38278928880487634</v>
      </c>
      <c r="C9" s="16" t="s">
        <v>28</v>
      </c>
    </row>
    <row r="10" spans="1:3">
      <c r="A10" s="15"/>
      <c r="B10" s="18"/>
      <c r="C10" s="15"/>
    </row>
    <row r="11" spans="1:3" ht="15">
      <c r="A11" s="16" t="s">
        <v>29</v>
      </c>
      <c r="B11" s="18">
        <f>NORMSDIST(B8)</f>
        <v>0.73574320533192461</v>
      </c>
      <c r="C11" s="16" t="s">
        <v>30</v>
      </c>
    </row>
    <row r="12" spans="1:3" ht="15">
      <c r="A12" s="16" t="s">
        <v>31</v>
      </c>
      <c r="B12" s="18">
        <f>NORMSDIST(B9)</f>
        <v>0.64906199798822706</v>
      </c>
      <c r="C12" s="16" t="s">
        <v>32</v>
      </c>
    </row>
    <row r="13" spans="1:3">
      <c r="A13" s="15"/>
      <c r="B13" s="18"/>
      <c r="C13" s="15"/>
    </row>
    <row r="14" spans="1:3" ht="15">
      <c r="A14" s="24" t="s">
        <v>33</v>
      </c>
      <c r="B14" s="25">
        <f>B2*B11-B3*EXP(-B5*B4)*B12</f>
        <v>16.315446694222182</v>
      </c>
      <c r="C14" s="16" t="s">
        <v>34</v>
      </c>
    </row>
    <row r="15" spans="1:3">
      <c r="A15" s="24" t="s">
        <v>35</v>
      </c>
      <c r="B15" s="26">
        <f>B14-B2+B3*EXP(-B5*B4)</f>
        <v>4.5333272918301475</v>
      </c>
      <c r="C15" s="16" t="s">
        <v>36</v>
      </c>
    </row>
    <row r="16" spans="1:3">
      <c r="A16" s="15"/>
      <c r="B16" s="19"/>
      <c r="C16" s="16"/>
    </row>
    <row r="17" spans="1:3">
      <c r="A17" s="16" t="s">
        <v>42</v>
      </c>
    </row>
    <row r="18" spans="1:3">
      <c r="B18" s="27" t="s">
        <v>53</v>
      </c>
      <c r="C18" s="27" t="s">
        <v>54</v>
      </c>
    </row>
    <row r="19" spans="1:3">
      <c r="B19" s="34">
        <f>B14</f>
        <v>16.315446694222182</v>
      </c>
      <c r="C19" s="34">
        <f>B15</f>
        <v>4.5333272918301475</v>
      </c>
    </row>
    <row r="20" spans="1:3">
      <c r="A20" s="2">
        <v>0.1</v>
      </c>
      <c r="B20">
        <f t="dataTable" ref="B20:C34" dt2D="0" dtr="0" r1="B6" ca="1"/>
        <v>11.883553185301892</v>
      </c>
      <c r="C20">
        <v>0.10143378290986504</v>
      </c>
    </row>
    <row r="21" spans="1:3">
      <c r="A21" s="2">
        <v>0.15</v>
      </c>
      <c r="B21">
        <v>12.361531730872642</v>
      </c>
      <c r="C21">
        <v>0.57941232848061475</v>
      </c>
    </row>
    <row r="22" spans="1:3">
      <c r="A22" s="2">
        <v>0.2</v>
      </c>
      <c r="B22">
        <v>13.14755011055982</v>
      </c>
      <c r="C22">
        <v>1.3654307081677928</v>
      </c>
    </row>
    <row r="23" spans="1:3">
      <c r="A23" s="2">
        <v>0.25</v>
      </c>
      <c r="B23">
        <v>14.11273803822786</v>
      </c>
      <c r="C23">
        <v>2.3306186358358332</v>
      </c>
    </row>
    <row r="24" spans="1:3">
      <c r="A24" s="2">
        <v>0.3</v>
      </c>
      <c r="B24">
        <v>15.182249486999169</v>
      </c>
      <c r="C24">
        <v>3.4001300846071416</v>
      </c>
    </row>
    <row r="25" spans="1:3">
      <c r="A25" s="2">
        <v>0.35</v>
      </c>
      <c r="B25">
        <v>16.315446694222182</v>
      </c>
      <c r="C25">
        <v>4.5333272918301475</v>
      </c>
    </row>
    <row r="26" spans="1:3">
      <c r="A26" s="2">
        <v>0.4</v>
      </c>
      <c r="B26">
        <v>17.489219838064962</v>
      </c>
      <c r="C26">
        <v>5.7071004356729418</v>
      </c>
    </row>
    <row r="27" spans="1:3">
      <c r="A27" s="2">
        <v>0.45</v>
      </c>
      <c r="B27">
        <v>18.689613845066511</v>
      </c>
      <c r="C27">
        <v>6.9074944426744764</v>
      </c>
    </row>
    <row r="28" spans="1:3">
      <c r="A28" s="2">
        <v>0.5</v>
      </c>
      <c r="B28">
        <v>19.907712441384319</v>
      </c>
      <c r="C28">
        <v>8.1255930389922923</v>
      </c>
    </row>
    <row r="29" spans="1:3">
      <c r="A29" s="2">
        <v>0.55000000000000004</v>
      </c>
      <c r="B29">
        <v>21.137525252733788</v>
      </c>
      <c r="C29">
        <v>9.3554058503417536</v>
      </c>
    </row>
    <row r="30" spans="1:3">
      <c r="A30" s="2">
        <v>0.6</v>
      </c>
      <c r="B30">
        <v>22.37484478513327</v>
      </c>
      <c r="C30">
        <v>10.592725382741236</v>
      </c>
    </row>
    <row r="31" spans="1:3">
      <c r="A31" s="2">
        <v>0.65</v>
      </c>
      <c r="B31">
        <v>23.616596658984214</v>
      </c>
      <c r="C31">
        <v>11.83447725659218</v>
      </c>
    </row>
    <row r="32" spans="1:3">
      <c r="A32" s="2">
        <v>0.7</v>
      </c>
      <c r="B32">
        <v>24.860453555126021</v>
      </c>
      <c r="C32">
        <v>13.078334152733987</v>
      </c>
    </row>
    <row r="33" spans="1:3">
      <c r="A33" s="2">
        <v>0.75</v>
      </c>
      <c r="B33">
        <v>26.104596790916354</v>
      </c>
      <c r="C33">
        <v>14.322477388524334</v>
      </c>
    </row>
    <row r="34" spans="1:3">
      <c r="A34" s="2">
        <v>0.8</v>
      </c>
      <c r="B34">
        <v>27.347564009703618</v>
      </c>
      <c r="C34">
        <v>15.565444607311591</v>
      </c>
    </row>
    <row r="36" spans="1:3">
      <c r="A36" s="27" t="s">
        <v>43</v>
      </c>
    </row>
    <row r="37" spans="1:3">
      <c r="B37" s="27" t="s">
        <v>53</v>
      </c>
      <c r="C37" s="27" t="s">
        <v>54</v>
      </c>
    </row>
    <row r="38" spans="1:3">
      <c r="B38" s="34">
        <f>B14</f>
        <v>16.315446694222182</v>
      </c>
      <c r="C38" s="34">
        <f>B15</f>
        <v>4.5333272918301475</v>
      </c>
    </row>
    <row r="39" spans="1:3">
      <c r="A39">
        <v>0.1</v>
      </c>
      <c r="B39">
        <f t="dataTable" ref="B39:C48" dt2D="0" dtr="0" r1="B4"/>
        <v>11.251478326229332</v>
      </c>
      <c r="C39">
        <v>0.89219736718857234</v>
      </c>
    </row>
    <row r="40" spans="1:3">
      <c r="A40">
        <v>0.2</v>
      </c>
      <c r="B40">
        <v>12.741388796294302</v>
      </c>
      <c r="C40">
        <v>2.024261131629757</v>
      </c>
    </row>
    <row r="41" spans="1:3">
      <c r="A41">
        <v>0.3</v>
      </c>
      <c r="B41">
        <v>14.055299419584863</v>
      </c>
      <c r="C41">
        <v>2.9817535771585995</v>
      </c>
    </row>
    <row r="42" spans="1:3">
      <c r="A42">
        <v>0.4</v>
      </c>
      <c r="B42">
        <v>15.23526664238797</v>
      </c>
      <c r="C42">
        <v>3.8067254473636325</v>
      </c>
    </row>
    <row r="43" spans="1:3">
      <c r="A43">
        <v>0.5</v>
      </c>
      <c r="B43">
        <v>16.315446694222182</v>
      </c>
      <c r="C43">
        <v>4.5333272918301475</v>
      </c>
    </row>
    <row r="44" spans="1:3">
      <c r="A44">
        <v>0.6</v>
      </c>
      <c r="B44">
        <v>17.31833485782483</v>
      </c>
      <c r="C44">
        <v>5.1840487360366581</v>
      </c>
    </row>
    <row r="45" spans="1:3">
      <c r="A45">
        <v>0.7</v>
      </c>
      <c r="B45">
        <v>18.259194327757491</v>
      </c>
      <c r="C45">
        <v>5.7741473398696996</v>
      </c>
    </row>
    <row r="46" spans="1:3">
      <c r="A46">
        <v>0.8</v>
      </c>
      <c r="B46">
        <v>19.148842805238559</v>
      </c>
      <c r="C46">
        <v>6.3144351923663464</v>
      </c>
    </row>
    <row r="47" spans="1:3">
      <c r="A47">
        <v>0.9</v>
      </c>
      <c r="B47">
        <v>19.995248630263951</v>
      </c>
      <c r="C47">
        <v>6.8128750437450236</v>
      </c>
    </row>
    <row r="48" spans="1:3">
      <c r="A48">
        <v>1</v>
      </c>
      <c r="B48">
        <v>20.804472460471686</v>
      </c>
      <c r="C48">
        <v>7.2755219841807701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Exercise 1 template</vt:lpstr>
      <vt:lpstr>Exercise 2 template</vt:lpstr>
      <vt:lpstr>Ex3 Hiding data table headers</vt:lpstr>
      <vt:lpstr>Exercise 3 template</vt:lpstr>
      <vt:lpstr>Exercise 4 template</vt:lpstr>
      <vt:lpstr>Exercise 5 template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2001-02-14T17:01:20Z</dcterms:created>
  <dcterms:modified xsi:type="dcterms:W3CDTF">2023-12-10T12:50:27Z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Ch24_IM_exercises.xlsm</vt:lpwstr>
  </property>
</Properties>
</file>