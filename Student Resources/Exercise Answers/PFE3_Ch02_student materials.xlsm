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08" codeName="{C80E003A-6C80-AF87-3323-10F97C11A349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8167AA7D-172E-A246-8630-D8A03D43E8D8}" xr6:coauthVersionLast="47" xr6:coauthVersionMax="47" xr10:uidLastSave="{00000000-0000-0000-0000-000000000000}"/>
  <bookViews>
    <workbookView xWindow="4200" yWindow="500" windowWidth="29400" windowHeight="19160" tabRatio="892" firstSheet="19" activeTab="24" xr2:uid="{00000000-000D-0000-FFFF-FFFF00000000}"/>
  </bookViews>
  <sheets>
    <sheet name="Exercsie 1 Template" sheetId="66" r:id="rId1"/>
    <sheet name="Exercsie 2 Template" sheetId="51" r:id="rId2"/>
    <sheet name="Exercise 3 Template" sheetId="52" r:id="rId3"/>
    <sheet name="Exercise 4 Template" sheetId="53" r:id="rId4"/>
    <sheet name="Exercise 5 Template" sheetId="54" r:id="rId5"/>
    <sheet name="Exercise 6 Template" sheetId="55" r:id="rId6"/>
    <sheet name="Exercise 7 Template" sheetId="56" r:id="rId7"/>
    <sheet name="Exercise 8 Template" sheetId="57" r:id="rId8"/>
    <sheet name="Exercise 9 Template" sheetId="58" r:id="rId9"/>
    <sheet name="Exercise 10 Template" sheetId="59" r:id="rId10"/>
    <sheet name="Exercise 12 Template" sheetId="67" r:id="rId11"/>
    <sheet name="Exercise 13 Template" sheetId="60" r:id="rId12"/>
    <sheet name="Exercise 14 Template" sheetId="68" r:id="rId13"/>
    <sheet name="Exercise 15 Template" sheetId="69" r:id="rId14"/>
    <sheet name="Exercise 16 Template" sheetId="70" r:id="rId15"/>
    <sheet name="Exercise 17 Template" sheetId="71" r:id="rId16"/>
    <sheet name="Exercise 18 Template" sheetId="61" r:id="rId17"/>
    <sheet name="Exercise 19 Template" sheetId="62" r:id="rId18"/>
    <sheet name="Exercise 20 Template" sheetId="63" r:id="rId19"/>
    <sheet name="Exercise 21 Template" sheetId="72" r:id="rId20"/>
    <sheet name="Exercise 22 Template" sheetId="73" r:id="rId21"/>
    <sheet name="Exercise 23 Template" sheetId="64" r:id="rId22"/>
    <sheet name="Exercise 24 Template" sheetId="74" r:id="rId23"/>
    <sheet name="Exercise 25 Template" sheetId="75" r:id="rId24"/>
    <sheet name="Exercise 26 Template" sheetId="65" r:id="rId25"/>
  </sheets>
  <functionGroups builtInGroupCount="19"/>
  <externalReferences>
    <externalReference r:id="rId26"/>
  </externalReferences>
  <definedNames>
    <definedName name="Beg_Bal">#REF!</definedName>
    <definedName name="Cum_Int">#REF!</definedName>
    <definedName name="Data">#REF!</definedName>
    <definedName name="End_Bal">#REF!</definedName>
    <definedName name="Extra_Pay">#REF!</definedName>
    <definedName name="Full_Print">#REF!</definedName>
    <definedName name="Header_Row">ROW(#REF!)</definedName>
    <definedName name="Int">#REF!</definedName>
    <definedName name="Interest_Rate">#REF!</definedName>
    <definedName name="Last_Row">IF(Values_Entered,Header_Row+Number_of_Payments,Header_Row)</definedName>
    <definedName name="Loan_Amount">#REF!</definedName>
    <definedName name="Loan_Start">#REF!</definedName>
    <definedName name="Loan_Years">#REF!</definedName>
    <definedName name="Num_Pmt_Per_Year">#REF!</definedName>
    <definedName name="Number_of_Payments">MATCH(0.01,End_Bal,-1)+1</definedName>
    <definedName name="Pay_Date">#REF!</definedName>
    <definedName name="Pay_Num">#REF!</definedName>
    <definedName name="Payment_Date" localSheetId="14">DATE(YEAR([0]!Loan_Start),MONTH([0]!Loan_Start)+Payment_Number,DAY([0]!Loan_Start))</definedName>
    <definedName name="Payment_Date">DATE(YEAR(Loan_Start),MONTH(Loan_Start)+Payment_Number,DAY(Loan_Start))</definedName>
    <definedName name="Princ">#REF!</definedName>
    <definedName name="Print_Area_Reset">OFFSET(Full_Print,0,0,Last_Row)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SCIT">'[1]balance sheet'!#REF!</definedName>
    <definedName name="Total_Interest">#REF!</definedName>
    <definedName name="Total_Pay">#REF!</definedName>
    <definedName name="Values_Entered">IF(Loan_Amount*Interest_Rate*Loan_Years*Loan_Start&gt;0,1,0)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65" l="1"/>
  <c r="B11" i="65"/>
  <c r="E10" i="65"/>
  <c r="E9" i="65"/>
  <c r="D11" i="65"/>
  <c r="E11" i="65" s="1"/>
  <c r="B12" i="65" s="1"/>
  <c r="D12" i="65" s="1"/>
  <c r="E12" i="65" s="1"/>
  <c r="B13" i="65" s="1"/>
  <c r="D13" i="65" s="1"/>
  <c r="E13" i="65" s="1"/>
  <c r="B14" i="65" s="1"/>
  <c r="D14" i="65" s="1"/>
  <c r="E14" i="65" s="1"/>
  <c r="B15" i="65" s="1"/>
  <c r="D15" i="65" s="1"/>
  <c r="E15" i="65" s="1"/>
  <c r="B16" i="65" s="1"/>
  <c r="D16" i="65" s="1"/>
  <c r="E16" i="65" s="1"/>
  <c r="B17" i="65" s="1"/>
  <c r="D17" i="65" s="1"/>
  <c r="E17" i="65" s="1"/>
  <c r="B18" i="65" s="1"/>
  <c r="D18" i="65" s="1"/>
  <c r="E18" i="65" s="1"/>
  <c r="B19" i="65" s="1"/>
  <c r="D19" i="65" s="1"/>
  <c r="E19" i="65" s="1"/>
  <c r="B20" i="65" s="1"/>
  <c r="D20" i="65" s="1"/>
  <c r="E20" i="65" s="1"/>
  <c r="B10" i="65"/>
  <c r="D10" i="65" s="1"/>
  <c r="D9" i="65"/>
  <c r="B17" i="75"/>
  <c r="B18" i="75"/>
  <c r="B19" i="75"/>
  <c r="B20" i="75"/>
  <c r="B21" i="75"/>
  <c r="B22" i="75"/>
  <c r="B23" i="75"/>
  <c r="B24" i="75"/>
  <c r="B25" i="75"/>
  <c r="B16" i="75"/>
  <c r="B9" i="75"/>
  <c r="B12" i="75"/>
  <c r="B8" i="75"/>
  <c r="C48" i="74"/>
  <c r="C16" i="74"/>
  <c r="C17" i="74" s="1"/>
  <c r="C18" i="74" s="1"/>
  <c r="C19" i="74" s="1"/>
  <c r="C20" i="74" s="1"/>
  <c r="C21" i="74" s="1"/>
  <c r="C22" i="74" s="1"/>
  <c r="C23" i="74" s="1"/>
  <c r="C24" i="74" s="1"/>
  <c r="C25" i="74" s="1"/>
  <c r="C26" i="74" s="1"/>
  <c r="C27" i="74" s="1"/>
  <c r="C28" i="74" s="1"/>
  <c r="C29" i="74" s="1"/>
  <c r="C30" i="74" s="1"/>
  <c r="C31" i="74" s="1"/>
  <c r="C32" i="74" s="1"/>
  <c r="C33" i="74" s="1"/>
  <c r="C34" i="74" s="1"/>
  <c r="C35" i="74" s="1"/>
  <c r="C36" i="74" s="1"/>
  <c r="C37" i="74" s="1"/>
  <c r="C38" i="74" s="1"/>
  <c r="C39" i="74" s="1"/>
  <c r="C40" i="74" s="1"/>
  <c r="C41" i="74" s="1"/>
  <c r="C42" i="74" s="1"/>
  <c r="C43" i="74" s="1"/>
  <c r="C44" i="74" s="1"/>
  <c r="C45" i="74" s="1"/>
  <c r="C46" i="74" s="1"/>
  <c r="C47" i="74" s="1"/>
  <c r="C15" i="74"/>
  <c r="C14" i="74"/>
  <c r="B12" i="74"/>
  <c r="D3" i="64"/>
  <c r="E17" i="64"/>
  <c r="E10" i="64"/>
  <c r="E11" i="64"/>
  <c r="E12" i="64"/>
  <c r="E13" i="64"/>
  <c r="E14" i="64"/>
  <c r="E15" i="64"/>
  <c r="E16" i="64"/>
  <c r="E9" i="64"/>
  <c r="E4" i="64"/>
  <c r="E5" i="64"/>
  <c r="E6" i="64"/>
  <c r="E3" i="64"/>
  <c r="F3" i="64" s="1"/>
  <c r="B4" i="64" s="1"/>
  <c r="B16" i="73"/>
  <c r="B12" i="73"/>
  <c r="B11" i="73"/>
  <c r="B13" i="73" s="1"/>
  <c r="B17" i="72"/>
  <c r="B13" i="72"/>
  <c r="B9" i="72"/>
  <c r="B9" i="63"/>
  <c r="B8" i="63"/>
  <c r="D8" i="61"/>
  <c r="E9" i="61"/>
  <c r="E10" i="61"/>
  <c r="E11" i="61"/>
  <c r="E12" i="61"/>
  <c r="E13" i="61"/>
  <c r="E14" i="61"/>
  <c r="E15" i="61"/>
  <c r="E16" i="61"/>
  <c r="E8" i="61"/>
  <c r="E17" i="61" s="1"/>
  <c r="D17" i="61"/>
  <c r="D9" i="61"/>
  <c r="D10" i="61"/>
  <c r="D11" i="61"/>
  <c r="D12" i="61"/>
  <c r="D13" i="61"/>
  <c r="D14" i="61"/>
  <c r="D15" i="61"/>
  <c r="D16" i="61"/>
  <c r="B10" i="61"/>
  <c r="B11" i="61" s="1"/>
  <c r="B12" i="61" s="1"/>
  <c r="B13" i="61" s="1"/>
  <c r="B14" i="61" s="1"/>
  <c r="B15" i="61" s="1"/>
  <c r="B16" i="61" s="1"/>
  <c r="B9" i="61"/>
  <c r="B8" i="61"/>
  <c r="B1" i="71"/>
  <c r="B13" i="70"/>
  <c r="B10" i="70"/>
  <c r="B7" i="70"/>
  <c r="B1" i="69"/>
  <c r="B5" i="68"/>
  <c r="B4" i="68"/>
  <c r="D29" i="60"/>
  <c r="C29" i="60"/>
  <c r="D16" i="60"/>
  <c r="D17" i="60"/>
  <c r="D18" i="60"/>
  <c r="D19" i="60"/>
  <c r="D20" i="60"/>
  <c r="D21" i="60"/>
  <c r="D22" i="60"/>
  <c r="D23" i="60"/>
  <c r="D24" i="60"/>
  <c r="D25" i="60"/>
  <c r="D26" i="60"/>
  <c r="D27" i="60"/>
  <c r="D28" i="60"/>
  <c r="C16" i="60"/>
  <c r="C17" i="60"/>
  <c r="C18" i="60"/>
  <c r="C19" i="60"/>
  <c r="C20" i="60"/>
  <c r="C21" i="60"/>
  <c r="C22" i="60"/>
  <c r="C23" i="60"/>
  <c r="C24" i="60"/>
  <c r="C25" i="60"/>
  <c r="C26" i="60"/>
  <c r="C27" i="60"/>
  <c r="C28" i="60"/>
  <c r="D15" i="60"/>
  <c r="B16" i="67"/>
  <c r="B14" i="67"/>
  <c r="B10" i="67"/>
  <c r="B6" i="67"/>
  <c r="B9" i="59"/>
  <c r="B9" i="56"/>
  <c r="B5" i="54"/>
  <c r="B6" i="66"/>
  <c r="B8" i="59"/>
  <c r="B20" i="58"/>
  <c r="B19" i="58"/>
  <c r="D16" i="57"/>
  <c r="D15" i="57"/>
  <c r="D6" i="57"/>
  <c r="D7" i="57"/>
  <c r="D8" i="57"/>
  <c r="D9" i="57"/>
  <c r="D10" i="57"/>
  <c r="D11" i="57"/>
  <c r="D12" i="57"/>
  <c r="D13" i="57"/>
  <c r="D14" i="57"/>
  <c r="B7" i="57"/>
  <c r="B8" i="57" s="1"/>
  <c r="B9" i="57" s="1"/>
  <c r="B10" i="57" s="1"/>
  <c r="B11" i="57" s="1"/>
  <c r="B12" i="57" s="1"/>
  <c r="B13" i="57" s="1"/>
  <c r="B14" i="57" s="1"/>
  <c r="C8" i="56"/>
  <c r="C5" i="56"/>
  <c r="C6" i="56"/>
  <c r="C7" i="56"/>
  <c r="B4" i="55"/>
  <c r="G4" i="53"/>
  <c r="C124" i="53"/>
  <c r="C5" i="53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5" i="53"/>
  <c r="C26" i="53"/>
  <c r="C27" i="53"/>
  <c r="C28" i="53"/>
  <c r="C29" i="53"/>
  <c r="C30" i="53"/>
  <c r="C31" i="53"/>
  <c r="C32" i="53"/>
  <c r="C33" i="53"/>
  <c r="C34" i="53"/>
  <c r="C35" i="53"/>
  <c r="C36" i="53"/>
  <c r="C37" i="53"/>
  <c r="C38" i="53"/>
  <c r="C39" i="53"/>
  <c r="C40" i="53"/>
  <c r="C41" i="53"/>
  <c r="C42" i="53"/>
  <c r="C43" i="53"/>
  <c r="C44" i="53"/>
  <c r="C45" i="53"/>
  <c r="C46" i="53"/>
  <c r="C47" i="53"/>
  <c r="C48" i="53"/>
  <c r="C49" i="53"/>
  <c r="C50" i="53"/>
  <c r="C51" i="53"/>
  <c r="C52" i="53"/>
  <c r="C53" i="53"/>
  <c r="C54" i="53"/>
  <c r="C55" i="53"/>
  <c r="C56" i="53"/>
  <c r="C57" i="53"/>
  <c r="C58" i="53"/>
  <c r="C59" i="53"/>
  <c r="C60" i="53"/>
  <c r="C61" i="53"/>
  <c r="C62" i="53"/>
  <c r="C63" i="53"/>
  <c r="C64" i="53"/>
  <c r="C65" i="53"/>
  <c r="C66" i="53"/>
  <c r="C67" i="53"/>
  <c r="C68" i="53"/>
  <c r="C69" i="53"/>
  <c r="C70" i="53"/>
  <c r="C71" i="53"/>
  <c r="C72" i="53"/>
  <c r="C73" i="53"/>
  <c r="C74" i="53"/>
  <c r="C75" i="53"/>
  <c r="C76" i="53"/>
  <c r="C77" i="53"/>
  <c r="C78" i="53"/>
  <c r="C79" i="53"/>
  <c r="C80" i="53"/>
  <c r="C81" i="53"/>
  <c r="C82" i="53"/>
  <c r="C83" i="53"/>
  <c r="C84" i="53"/>
  <c r="C85" i="53"/>
  <c r="C86" i="53"/>
  <c r="C87" i="53"/>
  <c r="C88" i="53"/>
  <c r="C89" i="53"/>
  <c r="C90" i="53"/>
  <c r="C91" i="53"/>
  <c r="C92" i="53"/>
  <c r="C93" i="53"/>
  <c r="C94" i="53"/>
  <c r="C95" i="53"/>
  <c r="C96" i="53"/>
  <c r="C97" i="53"/>
  <c r="C98" i="53"/>
  <c r="C99" i="53"/>
  <c r="C100" i="53"/>
  <c r="C101" i="53"/>
  <c r="C102" i="53"/>
  <c r="C103" i="53"/>
  <c r="C104" i="53"/>
  <c r="C105" i="53"/>
  <c r="C106" i="53"/>
  <c r="C107" i="53"/>
  <c r="C108" i="53"/>
  <c r="C109" i="53"/>
  <c r="C110" i="53"/>
  <c r="C111" i="53"/>
  <c r="C112" i="53"/>
  <c r="C113" i="53"/>
  <c r="C114" i="53"/>
  <c r="C115" i="53"/>
  <c r="C116" i="53"/>
  <c r="C117" i="53"/>
  <c r="C118" i="53"/>
  <c r="C119" i="53"/>
  <c r="C120" i="53"/>
  <c r="C121" i="53"/>
  <c r="C122" i="53"/>
  <c r="C123" i="53"/>
  <c r="C14" i="52"/>
  <c r="C5" i="52"/>
  <c r="C6" i="52"/>
  <c r="C7" i="52"/>
  <c r="C8" i="52"/>
  <c r="C9" i="52"/>
  <c r="C10" i="52"/>
  <c r="C11" i="52"/>
  <c r="C12" i="52"/>
  <c r="C13" i="52"/>
  <c r="B15" i="52"/>
  <c r="B13" i="51"/>
  <c r="C36" i="62"/>
  <c r="C35" i="62"/>
  <c r="C34" i="62"/>
  <c r="C33" i="62"/>
  <c r="C32" i="62"/>
  <c r="C31" i="62"/>
  <c r="C30" i="62"/>
  <c r="C29" i="62"/>
  <c r="C28" i="62"/>
  <c r="C27" i="62"/>
  <c r="C26" i="62"/>
  <c r="C25" i="62"/>
  <c r="C24" i="62"/>
  <c r="C23" i="62"/>
  <c r="C22" i="62"/>
  <c r="C21" i="62"/>
  <c r="C20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D7" i="62" s="1"/>
  <c r="E7" i="62" s="1"/>
  <c r="B8" i="62" s="1"/>
  <c r="F8" i="62"/>
  <c r="F7" i="62"/>
  <c r="B13" i="74" l="1"/>
  <c r="D4" i="64"/>
  <c r="D8" i="62"/>
  <c r="E8" i="62" s="1"/>
  <c r="B9" i="62" s="1"/>
  <c r="C20" i="65"/>
  <c r="C19" i="65"/>
  <c r="C18" i="65"/>
  <c r="C17" i="65"/>
  <c r="C16" i="65"/>
  <c r="C15" i="65"/>
  <c r="C14" i="65"/>
  <c r="C13" i="65"/>
  <c r="C12" i="65"/>
  <c r="C11" i="65"/>
  <c r="C10" i="65"/>
  <c r="C9" i="65"/>
  <c r="C18" i="61"/>
  <c r="B29" i="60"/>
  <c r="B11" i="60"/>
  <c r="C15" i="60" s="1"/>
  <c r="B5" i="60"/>
  <c r="B6" i="60" s="1"/>
  <c r="B6" i="57"/>
  <c r="D5" i="57"/>
  <c r="C4" i="56"/>
  <c r="C4" i="53"/>
  <c r="C4" i="52"/>
  <c r="B6" i="51"/>
  <c r="B7" i="51" s="1"/>
  <c r="B8" i="51" s="1"/>
  <c r="B9" i="51" s="1"/>
  <c r="B10" i="51" s="1"/>
  <c r="D4" i="53"/>
  <c r="C6" i="60"/>
  <c r="D4" i="52"/>
  <c r="D4" i="56"/>
  <c r="E5" i="57"/>
  <c r="C6" i="57"/>
  <c r="C5" i="60"/>
  <c r="D10" i="60"/>
  <c r="B14" i="74" l="1"/>
  <c r="B15" i="74" s="1"/>
  <c r="B16" i="74" s="1"/>
  <c r="B17" i="74" s="1"/>
  <c r="B18" i="74" s="1"/>
  <c r="B19" i="74" s="1"/>
  <c r="B20" i="74" s="1"/>
  <c r="B21" i="74" s="1"/>
  <c r="B22" i="74" s="1"/>
  <c r="B23" i="74" s="1"/>
  <c r="B24" i="74" s="1"/>
  <c r="B25" i="74" s="1"/>
  <c r="B26" i="74" s="1"/>
  <c r="B27" i="74" s="1"/>
  <c r="B28" i="74" s="1"/>
  <c r="B29" i="74" s="1"/>
  <c r="B30" i="74" s="1"/>
  <c r="B31" i="74" s="1"/>
  <c r="B32" i="74" s="1"/>
  <c r="B33" i="74" s="1"/>
  <c r="B34" i="74" s="1"/>
  <c r="B35" i="74" s="1"/>
  <c r="B36" i="74" s="1"/>
  <c r="B37" i="74" s="1"/>
  <c r="B38" i="74" s="1"/>
  <c r="B39" i="74" s="1"/>
  <c r="B40" i="74" s="1"/>
  <c r="B41" i="74" s="1"/>
  <c r="B42" i="74" s="1"/>
  <c r="B43" i="74" s="1"/>
  <c r="B44" i="74" s="1"/>
  <c r="B45" i="74" s="1"/>
  <c r="B46" i="74" s="1"/>
  <c r="B47" i="74" s="1"/>
  <c r="F4" i="64"/>
  <c r="B5" i="64" s="1"/>
  <c r="D5" i="64" s="1"/>
  <c r="F5" i="64" s="1"/>
  <c r="B6" i="64" s="1"/>
  <c r="D6" i="64" s="1"/>
  <c r="F6" i="64" s="1"/>
  <c r="B7" i="64" s="1"/>
  <c r="D9" i="62"/>
  <c r="E9" i="62" s="1"/>
  <c r="B10" i="62" s="1"/>
  <c r="B48" i="74" l="1"/>
  <c r="D7" i="64"/>
  <c r="D10" i="62"/>
  <c r="E10" i="62" s="1"/>
  <c r="B11" i="62" s="1"/>
  <c r="F7" i="64" l="1"/>
  <c r="B8" i="64" s="1"/>
  <c r="D8" i="64" s="1"/>
  <c r="D11" i="62"/>
  <c r="E11" i="62" s="1"/>
  <c r="B12" i="62" s="1"/>
  <c r="F8" i="64" l="1"/>
  <c r="B9" i="64" s="1"/>
  <c r="D9" i="64" s="1"/>
  <c r="D12" i="62"/>
  <c r="E12" i="62" s="1"/>
  <c r="B13" i="62" s="1"/>
  <c r="F9" i="64" l="1"/>
  <c r="B10" i="64" s="1"/>
  <c r="D10" i="64" s="1"/>
  <c r="D13" i="62"/>
  <c r="E13" i="62" s="1"/>
  <c r="B14" i="62" s="1"/>
  <c r="F10" i="64" l="1"/>
  <c r="B11" i="64" s="1"/>
  <c r="D11" i="64" s="1"/>
  <c r="D14" i="62"/>
  <c r="E14" i="62" s="1"/>
  <c r="B15" i="62" s="1"/>
  <c r="F11" i="64" l="1"/>
  <c r="B12" i="64" s="1"/>
  <c r="D12" i="64" s="1"/>
  <c r="D15" i="62"/>
  <c r="E15" i="62" s="1"/>
  <c r="B16" i="62" s="1"/>
  <c r="F12" i="64" l="1"/>
  <c r="B13" i="64" s="1"/>
  <c r="D13" i="64" s="1"/>
  <c r="D16" i="62"/>
  <c r="E16" i="62" s="1"/>
  <c r="B17" i="62" s="1"/>
  <c r="F13" i="64" l="1"/>
  <c r="B14" i="64" s="1"/>
  <c r="D14" i="64" s="1"/>
  <c r="D17" i="62"/>
  <c r="E17" i="62" s="1"/>
  <c r="B18" i="62" s="1"/>
  <c r="F14" i="64" l="1"/>
  <c r="B15" i="64" s="1"/>
  <c r="D15" i="64" s="1"/>
  <c r="D18" i="62"/>
  <c r="E18" i="62" s="1"/>
  <c r="B19" i="62" s="1"/>
  <c r="F15" i="64" l="1"/>
  <c r="B16" i="64" s="1"/>
  <c r="D16" i="64" s="1"/>
  <c r="D19" i="62"/>
  <c r="E19" i="62" s="1"/>
  <c r="B20" i="62" s="1"/>
  <c r="F16" i="64" l="1"/>
  <c r="B17" i="64" s="1"/>
  <c r="D17" i="64" s="1"/>
  <c r="D20" i="62"/>
  <c r="E20" i="62" s="1"/>
  <c r="B21" i="62" s="1"/>
  <c r="F17" i="64" l="1"/>
  <c r="B18" i="64" s="1"/>
  <c r="D18" i="64" s="1"/>
  <c r="D21" i="62"/>
  <c r="E21" i="62" s="1"/>
  <c r="B22" i="62" s="1"/>
  <c r="F18" i="64" l="1"/>
  <c r="B19" i="64" s="1"/>
  <c r="D19" i="64" s="1"/>
  <c r="D22" i="62"/>
  <c r="E22" i="62" s="1"/>
  <c r="B23" i="62" s="1"/>
  <c r="F19" i="64" l="1"/>
  <c r="B20" i="64" s="1"/>
  <c r="D20" i="64" s="1"/>
  <c r="D23" i="62"/>
  <c r="E23" i="62" s="1"/>
  <c r="B24" i="62" s="1"/>
  <c r="F20" i="64" l="1"/>
  <c r="B21" i="64" s="1"/>
  <c r="D21" i="64" s="1"/>
  <c r="D24" i="62"/>
  <c r="E24" i="62" s="1"/>
  <c r="B25" i="62" s="1"/>
  <c r="F21" i="64" l="1"/>
  <c r="B22" i="64" s="1"/>
  <c r="D22" i="64" s="1"/>
  <c r="D25" i="62"/>
  <c r="E25" i="62" s="1"/>
  <c r="B26" i="62" s="1"/>
  <c r="F22" i="64" l="1"/>
  <c r="B23" i="64" s="1"/>
  <c r="D23" i="64" s="1"/>
  <c r="D26" i="62"/>
  <c r="E26" i="62" s="1"/>
  <c r="B27" i="62" s="1"/>
  <c r="F23" i="64" l="1"/>
  <c r="B24" i="64" s="1"/>
  <c r="D24" i="64" s="1"/>
  <c r="D27" i="62"/>
  <c r="E27" i="62" s="1"/>
  <c r="B28" i="62" s="1"/>
  <c r="F24" i="64" l="1"/>
  <c r="B25" i="64" s="1"/>
  <c r="D25" i="64" s="1"/>
  <c r="D28" i="62"/>
  <c r="E28" i="62" s="1"/>
  <c r="B29" i="62" s="1"/>
  <c r="F25" i="64" l="1"/>
  <c r="B26" i="64" s="1"/>
  <c r="D26" i="64" s="1"/>
  <c r="D29" i="62"/>
  <c r="E29" i="62" s="1"/>
  <c r="B30" i="62" s="1"/>
  <c r="F26" i="64" l="1"/>
  <c r="B27" i="64" s="1"/>
  <c r="D27" i="64" s="1"/>
  <c r="D30" i="62"/>
  <c r="E30" i="62" s="1"/>
  <c r="B31" i="62" s="1"/>
  <c r="F27" i="64" l="1"/>
  <c r="B28" i="64" s="1"/>
  <c r="D28" i="64" s="1"/>
  <c r="D31" i="62"/>
  <c r="E31" i="62" s="1"/>
  <c r="B32" i="62" s="1"/>
  <c r="F28" i="64" l="1"/>
  <c r="B29" i="64" s="1"/>
  <c r="D29" i="64" s="1"/>
  <c r="D32" i="62"/>
  <c r="E32" i="62" s="1"/>
  <c r="B33" i="62" s="1"/>
  <c r="F29" i="64" l="1"/>
  <c r="B30" i="64" s="1"/>
  <c r="D30" i="64" s="1"/>
  <c r="D33" i="62"/>
  <c r="E33" i="62" s="1"/>
  <c r="B34" i="62" s="1"/>
  <c r="F30" i="64" l="1"/>
  <c r="B31" i="64" s="1"/>
  <c r="D31" i="64" s="1"/>
  <c r="D34" i="62"/>
  <c r="E34" i="62" s="1"/>
  <c r="B35" i="62" s="1"/>
  <c r="F31" i="64" l="1"/>
  <c r="B32" i="64" s="1"/>
  <c r="D32" i="64" s="1"/>
  <c r="D35" i="62"/>
  <c r="E35" i="62" s="1"/>
  <c r="B36" i="62" s="1"/>
  <c r="F32" i="64" l="1"/>
  <c r="B33" i="64" s="1"/>
  <c r="D33" i="64" s="1"/>
  <c r="D36" i="62"/>
  <c r="E36" i="62" s="1"/>
  <c r="F33" i="64" l="1"/>
  <c r="B34" i="64" s="1"/>
  <c r="D34" i="64" s="1"/>
  <c r="F34" i="64" l="1"/>
  <c r="B35" i="64" s="1"/>
  <c r="D35" i="64" s="1"/>
  <c r="F35" i="64" l="1"/>
  <c r="B36" i="64" s="1"/>
  <c r="D36" i="64" s="1"/>
  <c r="F36" i="64" l="1"/>
  <c r="B37" i="64" s="1"/>
  <c r="D37" i="64" s="1"/>
  <c r="F37" i="64" s="1"/>
</calcChain>
</file>

<file path=xl/sharedStrings.xml><?xml version="1.0" encoding="utf-8"?>
<sst xmlns="http://schemas.openxmlformats.org/spreadsheetml/2006/main" count="227" uniqueCount="167">
  <si>
    <t>Year</t>
  </si>
  <si>
    <t>Interest rate</t>
  </si>
  <si>
    <t>Annual deposit</t>
  </si>
  <si>
    <t>Birthday</t>
  </si>
  <si>
    <t>SAVING FOR COLLEGE</t>
  </si>
  <si>
    <t>Present value</t>
  </si>
  <si>
    <t>Annual payment</t>
  </si>
  <si>
    <t>Annual cost of college</t>
  </si>
  <si>
    <t>Section a.</t>
  </si>
  <si>
    <t>r</t>
  </si>
  <si>
    <t>&lt;-- start with something, and use trial and error to bring the value at period 0 to 70.13</t>
  </si>
  <si>
    <t>Period</t>
  </si>
  <si>
    <t>Value</t>
  </si>
  <si>
    <t>&lt;-- initial deposit</t>
  </si>
  <si>
    <t>&lt;-- we should find r that brings this value to 70.13</t>
  </si>
  <si>
    <t>Deposit</t>
  </si>
  <si>
    <t>Future value
in year 10</t>
  </si>
  <si>
    <t>Total (summing C4:C13)</t>
  </si>
  <si>
    <t>Using FV function</t>
  </si>
  <si>
    <t>Answers</t>
  </si>
  <si>
    <t>Check value</t>
  </si>
  <si>
    <t xml:space="preserve">Due date </t>
  </si>
  <si>
    <t>years from now</t>
  </si>
  <si>
    <t>Present value of the check</t>
  </si>
  <si>
    <t>Deposit today</t>
  </si>
  <si>
    <t>Value 10 years from today</t>
  </si>
  <si>
    <t>Gift</t>
  </si>
  <si>
    <t>Present
value</t>
  </si>
  <si>
    <t xml:space="preserve">Annual increase </t>
  </si>
  <si>
    <t>Annual income</t>
  </si>
  <si>
    <t>Payment</t>
  </si>
  <si>
    <t>Using IRR</t>
  </si>
  <si>
    <t>Using RATE</t>
  </si>
  <si>
    <t>Interest rates</t>
  </si>
  <si>
    <t>Bonus</t>
  </si>
  <si>
    <t>Rate for two years</t>
  </si>
  <si>
    <t>Rate for first year</t>
  </si>
  <si>
    <t>Rate for second year</t>
  </si>
  <si>
    <t>Future Value</t>
  </si>
  <si>
    <t>First alternative</t>
  </si>
  <si>
    <t>Second alternative</t>
  </si>
  <si>
    <t>MICHAEL SAVES MONEY
By changing his consumption habits</t>
  </si>
  <si>
    <t>Our thanks to Walter McGuire (wwmcguire@yahoo.com )</t>
  </si>
  <si>
    <t>Exercise 13 a</t>
  </si>
  <si>
    <t>for suggesting this problem.</t>
  </si>
  <si>
    <t>Weekly interest rate</t>
  </si>
  <si>
    <t>Weekly latte savings</t>
  </si>
  <si>
    <t>Years until age 65</t>
  </si>
  <si>
    <t>Weeks until age 65</t>
  </si>
  <si>
    <t>Savings at age 65 (future value)</t>
  </si>
  <si>
    <t>Exercise 13 b</t>
  </si>
  <si>
    <t>Item</t>
  </si>
  <si>
    <t>Weekly savings</t>
  </si>
  <si>
    <t>Yearly savings</t>
  </si>
  <si>
    <t>Future value at age 65</t>
  </si>
  <si>
    <t>Latte versus regular coffee</t>
  </si>
  <si>
    <t>Deli versus brown bag lunch</t>
  </si>
  <si>
    <t>Excess alcohol</t>
  </si>
  <si>
    <t>Cigarettes</t>
  </si>
  <si>
    <t xml:space="preserve">Candy </t>
  </si>
  <si>
    <t>Excess junk food</t>
  </si>
  <si>
    <t>Cell phone (chat vs. needed calls)</t>
  </si>
  <si>
    <t>Wasted groceries</t>
  </si>
  <si>
    <t>Restaurantד: fast food vs. eat at home</t>
  </si>
  <si>
    <t>Wasted energy: heat, AC, lights</t>
  </si>
  <si>
    <t>Movies versus books</t>
  </si>
  <si>
    <t>Expensive cable TV</t>
  </si>
  <si>
    <t>Wasted gasoline on excessive trips, etc.</t>
  </si>
  <si>
    <t>Wasteful spending at mall</t>
  </si>
  <si>
    <t>Money saved by time Michael is 65</t>
  </si>
  <si>
    <t>Workforce</t>
  </si>
  <si>
    <t>Life expectancy</t>
  </si>
  <si>
    <t>Annual initial salary</t>
  </si>
  <si>
    <t>Salary yearly growth</t>
  </si>
  <si>
    <t>Annual return</t>
  </si>
  <si>
    <t>Salary</t>
  </si>
  <si>
    <t>Retirees</t>
  </si>
  <si>
    <t>PV of Pension Liability</t>
  </si>
  <si>
    <t>Total</t>
  </si>
  <si>
    <t>SAVING FOR THE FUTURE</t>
  </si>
  <si>
    <t>Annual desired pension payout</t>
  </si>
  <si>
    <t>&lt;-- start with a number</t>
  </si>
  <si>
    <t>Your age</t>
  </si>
  <si>
    <t>Account balance, beginning of year</t>
  </si>
  <si>
    <t>Deposit or
withdrawal
beginning of year</t>
  </si>
  <si>
    <t>Interest 
earned during year</t>
  </si>
  <si>
    <t>Total in account
end of year</t>
  </si>
  <si>
    <t>Pension savings today</t>
  </si>
  <si>
    <t>Number of years until retirement</t>
  </si>
  <si>
    <t>Number of payout years after retirement</t>
  </si>
  <si>
    <t>Present value today of all future retirement payments</t>
  </si>
  <si>
    <t>Annual payment until retirement</t>
  </si>
  <si>
    <t>Mary's Financial Planning</t>
  </si>
  <si>
    <t>Savings at end of year</t>
  </si>
  <si>
    <t>Account end of year</t>
  </si>
  <si>
    <r>
      <t>Notice</t>
    </r>
    <r>
      <rPr>
        <sz val="10"/>
        <rFont val="Arial"/>
        <family val="2"/>
      </rPr>
      <t>: The expenditures are in the beginning of the year</t>
    </r>
  </si>
  <si>
    <t>The savings are in the end of the year.</t>
  </si>
  <si>
    <t xml:space="preserve">    On positive balances</t>
  </si>
  <si>
    <t xml:space="preserve">    On negative balances</t>
  </si>
  <si>
    <t>In bank on birthday,
before deposit/withdrawal</t>
  </si>
  <si>
    <t>Deposit
or withdrawal
at beginning of year</t>
  </si>
  <si>
    <t>End of year
with interest</t>
  </si>
  <si>
    <t>&lt;-- =B5*(1+$B$2)</t>
  </si>
  <si>
    <t>&lt;-- =B6*(1+$B$2)</t>
  </si>
  <si>
    <t>Value</t>
    <phoneticPr fontId="13" type="noConversion"/>
  </si>
  <si>
    <t>Year</t>
    <phoneticPr fontId="13" type="noConversion"/>
  </si>
  <si>
    <t>Years</t>
    <phoneticPr fontId="13" type="noConversion"/>
  </si>
  <si>
    <t>Section b.</t>
    <phoneticPr fontId="13" type="noConversion"/>
  </si>
  <si>
    <t>r</t>
    <phoneticPr fontId="13" type="noConversion"/>
  </si>
  <si>
    <t>Section a.</t>
    <phoneticPr fontId="13" type="noConversion"/>
  </si>
  <si>
    <t>inheritance</t>
  </si>
  <si>
    <t>senior complex cost per year</t>
    <phoneticPr fontId="13" type="noConversion"/>
  </si>
  <si>
    <t>initial money</t>
    <phoneticPr fontId="13" type="noConversion"/>
  </si>
  <si>
    <t>longest they can live</t>
    <phoneticPr fontId="13" type="noConversion"/>
  </si>
  <si>
    <t>Section c.</t>
    <phoneticPr fontId="13" type="noConversion"/>
  </si>
  <si>
    <t>annual salary</t>
  </si>
  <si>
    <t>option 1</t>
    <phoneticPr fontId="13" type="noConversion"/>
  </si>
  <si>
    <t>option 2</t>
    <phoneticPr fontId="13" type="noConversion"/>
  </si>
  <si>
    <t>pay per year</t>
    <phoneticPr fontId="13" type="noConversion"/>
  </si>
  <si>
    <t>PV</t>
    <phoneticPr fontId="13" type="noConversion"/>
  </si>
  <si>
    <t>Section d.</t>
    <phoneticPr fontId="13" type="noConversion"/>
  </si>
  <si>
    <t>Pension Liability at Retirement</t>
    <phoneticPr fontId="13" type="noConversion"/>
  </si>
  <si>
    <t>now age</t>
  </si>
  <si>
    <t>now age</t>
    <phoneticPr fontId="13" type="noConversion"/>
  </si>
  <si>
    <t>retire age</t>
    <phoneticPr fontId="13" type="noConversion"/>
  </si>
  <si>
    <t>die age</t>
    <phoneticPr fontId="13" type="noConversion"/>
  </si>
  <si>
    <t>move cost</t>
    <phoneticPr fontId="13" type="noConversion"/>
  </si>
  <si>
    <t>annual living expenses</t>
  </si>
  <si>
    <t>annual return</t>
    <phoneticPr fontId="13" type="noConversion"/>
  </si>
  <si>
    <t>need saved</t>
    <phoneticPr fontId="13" type="noConversion"/>
  </si>
  <si>
    <t>have today</t>
    <phoneticPr fontId="13" type="noConversion"/>
  </si>
  <si>
    <t>need save per year</t>
    <phoneticPr fontId="13" type="noConversion"/>
  </si>
  <si>
    <t>Section b.</t>
  </si>
  <si>
    <t>first payment age</t>
    <phoneticPr fontId="13" type="noConversion"/>
  </si>
  <si>
    <t>buy age</t>
    <phoneticPr fontId="13" type="noConversion"/>
  </si>
  <si>
    <t>car price grow rate</t>
    <phoneticPr fontId="13" type="noConversion"/>
  </si>
  <si>
    <t>saving account rate</t>
    <phoneticPr fontId="13" type="noConversion"/>
  </si>
  <si>
    <t>save per time</t>
    <phoneticPr fontId="13" type="noConversion"/>
  </si>
  <si>
    <t>car cost today</t>
    <phoneticPr fontId="13" type="noConversion"/>
  </si>
  <si>
    <t>car cost at buy age</t>
    <phoneticPr fontId="13" type="noConversion"/>
  </si>
  <si>
    <t>total save at buy age</t>
    <phoneticPr fontId="13" type="noConversion"/>
  </si>
  <si>
    <t>need finance</t>
    <phoneticPr fontId="13" type="noConversion"/>
  </si>
  <si>
    <t>finance payment times</t>
    <phoneticPr fontId="13" type="noConversion"/>
  </si>
  <si>
    <t>finance rate</t>
    <phoneticPr fontId="13" type="noConversion"/>
  </si>
  <si>
    <t xml:space="preserve">amount of yearly payment </t>
    <phoneticPr fontId="13" type="noConversion"/>
  </si>
  <si>
    <t>Net balance
beginning
of year</t>
    <phoneticPr fontId="13" type="noConversion"/>
  </si>
  <si>
    <t>Balance at beginning of year
before withdrawal</t>
    <phoneticPr fontId="13" type="noConversion"/>
  </si>
  <si>
    <t>Withdrawal
beginning
of year</t>
    <phoneticPr fontId="13" type="noConversion"/>
  </si>
  <si>
    <t>save per year</t>
    <phoneticPr fontId="13" type="noConversion"/>
  </si>
  <si>
    <t>Interest rate</t>
    <phoneticPr fontId="13" type="noConversion"/>
  </si>
  <si>
    <t>discount rate</t>
    <phoneticPr fontId="13" type="noConversion"/>
  </si>
  <si>
    <t>annual salary</t>
    <phoneticPr fontId="13" type="noConversion"/>
  </si>
  <si>
    <t>grow rate</t>
    <phoneticPr fontId="13" type="noConversion"/>
  </si>
  <si>
    <t>MBA annual salary</t>
    <phoneticPr fontId="13" type="noConversion"/>
  </si>
  <si>
    <t>MBA grow rate</t>
    <phoneticPr fontId="13" type="noConversion"/>
  </si>
  <si>
    <t>MBA program years</t>
    <phoneticPr fontId="13" type="noConversion"/>
  </si>
  <si>
    <t>MBA program cost per year</t>
    <phoneticPr fontId="13" type="noConversion"/>
  </si>
  <si>
    <t>ago</t>
    <phoneticPr fontId="13" type="noConversion"/>
  </si>
  <si>
    <t>NPV</t>
    <phoneticPr fontId="13" type="noConversion"/>
  </si>
  <si>
    <t>No MBA value</t>
    <phoneticPr fontId="13" type="noConversion"/>
  </si>
  <si>
    <t>MBA value</t>
    <phoneticPr fontId="13" type="noConversion"/>
  </si>
  <si>
    <t>interest rate</t>
    <phoneticPr fontId="13" type="noConversion"/>
  </si>
  <si>
    <t>withdraw per year</t>
    <phoneticPr fontId="13" type="noConversion"/>
  </si>
  <si>
    <t>deposit per year</t>
    <phoneticPr fontId="13" type="noConversion"/>
  </si>
  <si>
    <t>pv at 65</t>
    <phoneticPr fontId="13" type="noConversion"/>
  </si>
  <si>
    <t>starting age</t>
    <phoneticPr fontId="13" type="noConversion"/>
  </si>
  <si>
    <t>saving amount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</si>
</sst>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¥&quot;#,##0.00_);[Red]\(&quot;¥&quot;#,##0.00\)"/>
    <numFmt numFmtId="43" formatCode="_(* #,##0.00_);_(* \(#,##0.00\);_(* &quot;-&quot;??_);_(@_)"/>
    <numFmt numFmtId="176" formatCode="&quot;$&quot;#,##0.00_);[Red]\(&quot;$&quot;#,##0.00\)"/>
    <numFmt numFmtId="177" formatCode="_(&quot;$&quot;* #,##0.00_);_(&quot;$&quot;* \(#,##0.00\);_(&quot;$&quot;* &quot;-&quot;??_);_(@_)"/>
    <numFmt numFmtId="178" formatCode="_-[$$-409]* #,##0.00_ ;_-[$$-409]* \-#,##0.00\ ;_-[$$-409]* &quot;-&quot;??_ ;_-@_ "/>
    <numFmt numFmtId="179" formatCode="_(* #,##0_);_(* \(#,##0\);_(* &quot;-&quot;??_);_(@_)"/>
    <numFmt numFmtId="180" formatCode="#,##0.000"/>
    <numFmt numFmtId="181" formatCode="#,##0.0000"/>
    <numFmt numFmtId="182" formatCode="0.00_);[Red]\(0.00\)"/>
    <numFmt numFmtId="183" formatCode="0.0000%"/>
  </numFmts>
  <fonts count="14">
    <font>
      <sz val="10"/>
      <name val="Arial"/>
    </font>
    <font>
      <sz val="11"/>
      <color theme="1"/>
      <name val="宋体"/>
      <family val="2"/>
      <scheme val="minor"/>
    </font>
    <font>
      <sz val="10"/>
      <name val="宋体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4">
    <xf numFmtId="0" fontId="0" fillId="0" borderId="0"/>
    <xf numFmtId="0" fontId="2" fillId="0" borderId="0"/>
    <xf numFmtId="177" fontId="3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2" borderId="1" applyNumberFormat="0" applyAlignment="0" applyProtection="0"/>
    <xf numFmtId="0" fontId="6" fillId="3" borderId="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</cellStyleXfs>
  <cellXfs count="86">
    <xf numFmtId="0" fontId="0" fillId="0" borderId="0" xfId="0"/>
    <xf numFmtId="9" fontId="0" fillId="0" borderId="0" xfId="0" applyNumberFormat="1"/>
    <xf numFmtId="0" fontId="8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/>
    <xf numFmtId="4" fontId="0" fillId="0" borderId="0" xfId="0" applyNumberFormat="1"/>
    <xf numFmtId="0" fontId="8" fillId="0" borderId="0" xfId="0" applyFont="1"/>
    <xf numFmtId="0" fontId="0" fillId="0" borderId="0" xfId="0" applyAlignment="1">
      <alignment horizontal="center" wrapText="1"/>
    </xf>
    <xf numFmtId="10" fontId="0" fillId="0" borderId="0" xfId="9" applyNumberFormat="1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3" fontId="0" fillId="0" borderId="0" xfId="0" applyNumberFormat="1"/>
    <xf numFmtId="43" fontId="0" fillId="0" borderId="0" xfId="8" applyFont="1"/>
    <xf numFmtId="43" fontId="0" fillId="0" borderId="0" xfId="0" applyNumberFormat="1"/>
    <xf numFmtId="176" fontId="0" fillId="0" borderId="0" xfId="0" applyNumberFormat="1"/>
    <xf numFmtId="0" fontId="8" fillId="0" borderId="0" xfId="0" applyFont="1" applyAlignment="1">
      <alignment vertical="center"/>
    </xf>
    <xf numFmtId="178" fontId="0" fillId="0" borderId="0" xfId="9" applyNumberFormat="1" applyFont="1"/>
    <xf numFmtId="4" fontId="0" fillId="0" borderId="0" xfId="9" applyNumberFormat="1" applyFont="1"/>
    <xf numFmtId="0" fontId="8" fillId="0" borderId="0" xfId="0" applyFont="1" applyAlignment="1">
      <alignment horizontal="center"/>
    </xf>
    <xf numFmtId="9" fontId="8" fillId="0" borderId="0" xfId="0" applyNumberFormat="1" applyFont="1" applyAlignment="1">
      <alignment horizontal="center"/>
    </xf>
    <xf numFmtId="177" fontId="0" fillId="0" borderId="0" xfId="2" applyFont="1"/>
    <xf numFmtId="9" fontId="8" fillId="0" borderId="0" xfId="0" applyNumberFormat="1" applyFont="1" applyAlignment="1">
      <alignment horizontal="center" wrapText="1"/>
    </xf>
    <xf numFmtId="0" fontId="0" fillId="0" borderId="0" xfId="0" applyAlignment="1">
      <alignment wrapText="1"/>
    </xf>
    <xf numFmtId="10" fontId="0" fillId="0" borderId="0" xfId="0" applyNumberFormat="1"/>
    <xf numFmtId="0" fontId="8" fillId="0" borderId="0" xfId="10" applyFont="1"/>
    <xf numFmtId="0" fontId="3" fillId="0" borderId="0" xfId="10"/>
    <xf numFmtId="3" fontId="3" fillId="0" borderId="0" xfId="10" applyNumberFormat="1"/>
    <xf numFmtId="9" fontId="3" fillId="0" borderId="0" xfId="10" applyNumberFormat="1"/>
    <xf numFmtId="0" fontId="8" fillId="0" borderId="0" xfId="10" applyFont="1" applyAlignment="1">
      <alignment horizontal="center" wrapText="1"/>
    </xf>
    <xf numFmtId="0" fontId="9" fillId="0" borderId="0" xfId="0" applyFont="1" applyAlignment="1">
      <alignment horizontal="center" vertical="center"/>
    </xf>
    <xf numFmtId="10" fontId="11" fillId="0" borderId="0" xfId="9" applyNumberFormat="1"/>
    <xf numFmtId="2" fontId="11" fillId="0" borderId="0" xfId="9" applyNumberFormat="1"/>
    <xf numFmtId="176" fontId="0" fillId="0" borderId="0" xfId="0" applyNumberFormat="1" applyAlignment="1">
      <alignment horizontal="left"/>
    </xf>
    <xf numFmtId="0" fontId="8" fillId="0" borderId="0" xfId="0" applyFont="1" applyAlignment="1">
      <alignment wrapText="1"/>
    </xf>
    <xf numFmtId="4" fontId="8" fillId="0" borderId="0" xfId="0" applyNumberFormat="1" applyFont="1" applyAlignment="1">
      <alignment horizontal="center" wrapText="1"/>
    </xf>
    <xf numFmtId="4" fontId="0" fillId="0" borderId="0" xfId="0" applyNumberFormat="1" applyAlignment="1">
      <alignment horizontal="center" wrapText="1"/>
    </xf>
    <xf numFmtId="0" fontId="0" fillId="0" borderId="0" xfId="0" applyAlignment="1">
      <alignment horizontal="left"/>
    </xf>
    <xf numFmtId="4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3" fontId="0" fillId="0" borderId="0" xfId="0" applyNumberFormat="1" applyAlignment="1">
      <alignment horizontal="center"/>
    </xf>
    <xf numFmtId="0" fontId="3" fillId="0" borderId="0" xfId="0" applyFont="1" applyAlignment="1">
      <alignment horizontal="left"/>
    </xf>
    <xf numFmtId="0" fontId="8" fillId="5" borderId="0" xfId="0" applyFont="1" applyFill="1" applyAlignment="1">
      <alignment horizontal="left"/>
    </xf>
    <xf numFmtId="4" fontId="8" fillId="5" borderId="0" xfId="0" applyNumberFormat="1" applyFont="1" applyFill="1" applyAlignment="1">
      <alignment horizontal="right"/>
    </xf>
    <xf numFmtId="176" fontId="8" fillId="5" borderId="0" xfId="0" applyNumberFormat="1" applyFont="1" applyFill="1"/>
    <xf numFmtId="9" fontId="3" fillId="0" borderId="0" xfId="9" applyFont="1"/>
    <xf numFmtId="0" fontId="3" fillId="0" borderId="0" xfId="10" applyAlignment="1">
      <alignment horizontal="center"/>
    </xf>
    <xf numFmtId="1" fontId="3" fillId="0" borderId="0" xfId="10" applyNumberFormat="1" applyAlignment="1">
      <alignment horizontal="center"/>
    </xf>
    <xf numFmtId="1" fontId="8" fillId="0" borderId="0" xfId="10" applyNumberFormat="1" applyFont="1" applyAlignment="1">
      <alignment horizontal="center"/>
    </xf>
    <xf numFmtId="3" fontId="8" fillId="0" borderId="0" xfId="10" applyNumberFormat="1" applyFont="1"/>
    <xf numFmtId="179" fontId="0" fillId="0" borderId="0" xfId="8" applyNumberFormat="1" applyFont="1"/>
    <xf numFmtId="0" fontId="0" fillId="0" borderId="0" xfId="0" quotePrefix="1"/>
    <xf numFmtId="0" fontId="10" fillId="0" borderId="0" xfId="0" applyFont="1"/>
    <xf numFmtId="3" fontId="3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3" fontId="0" fillId="0" borderId="0" xfId="8" applyNumberFormat="1" applyFont="1"/>
    <xf numFmtId="4" fontId="0" fillId="0" borderId="0" xfId="2" applyNumberFormat="1" applyFont="1"/>
    <xf numFmtId="177" fontId="8" fillId="0" borderId="0" xfId="2" applyFont="1" applyAlignment="1">
      <alignment horizontal="center" vertical="center" wrapText="1"/>
    </xf>
    <xf numFmtId="0" fontId="3" fillId="0" borderId="0" xfId="10" applyAlignment="1">
      <alignment vertical="center"/>
    </xf>
    <xf numFmtId="4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180" fontId="0" fillId="0" borderId="0" xfId="0" applyNumberFormat="1"/>
    <xf numFmtId="0" fontId="12" fillId="0" borderId="0" xfId="0" applyFont="1"/>
    <xf numFmtId="177" fontId="3" fillId="0" borderId="0" xfId="2" applyFont="1"/>
    <xf numFmtId="0" fontId="2" fillId="0" borderId="0" xfId="1"/>
    <xf numFmtId="9" fontId="2" fillId="0" borderId="0" xfId="1" applyNumberFormat="1"/>
    <xf numFmtId="4" fontId="2" fillId="0" borderId="0" xfId="1" applyNumberFormat="1"/>
    <xf numFmtId="3" fontId="2" fillId="0" borderId="0" xfId="1" applyNumberFormat="1"/>
    <xf numFmtId="0" fontId="8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2" fillId="0" borderId="0" xfId="1" applyAlignment="1">
      <alignment horizontal="center"/>
    </xf>
    <xf numFmtId="181" fontId="2" fillId="0" borderId="0" xfId="1" applyNumberFormat="1"/>
    <xf numFmtId="182" fontId="0" fillId="0" borderId="0" xfId="9" applyNumberFormat="1" applyFont="1"/>
    <xf numFmtId="8" fontId="0" fillId="0" borderId="0" xfId="0" applyNumberFormat="1"/>
    <xf numFmtId="183" fontId="0" fillId="0" borderId="0" xfId="9" applyNumberFormat="1" applyFont="1"/>
    <xf numFmtId="8" fontId="3" fillId="0" borderId="0" xfId="0" applyNumberFormat="1" applyFont="1"/>
    <xf numFmtId="9" fontId="3" fillId="0" borderId="0" xfId="0" applyNumberFormat="1" applyFont="1"/>
    <xf numFmtId="10" fontId="3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1" applyFont="1" applyAlignment="1">
      <alignment horizontal="center"/>
    </xf>
    <xf numFmtId="0" fontId="3" fillId="0" borderId="0" xfId="9" applyNumberFormat="1" applyFont="1"/>
    <xf numFmtId="9" fontId="3" fillId="0" borderId="0" xfId="9" applyNumberFormat="1" applyFont="1"/>
    <xf numFmtId="0" fontId="3" fillId="0" borderId="0" xfId="0" applyNumberFormat="1" applyFont="1"/>
  </cellXfs>
  <cellStyles count="14">
    <cellStyle name="20% - Accent3 2" xfId="3" xr:uid="{00000000-0005-0000-0000-000000000000}"/>
    <cellStyle name="Calculation 2" xfId="5" xr:uid="{00000000-0005-0000-0000-000001000000}"/>
    <cellStyle name="Comma 2" xfId="7" xr:uid="{00000000-0005-0000-0000-000003000000}"/>
    <cellStyle name="Comma 3" xfId="11" xr:uid="{00000000-0005-0000-0000-000004000000}"/>
    <cellStyle name="Currency 2" xfId="2" xr:uid="{00000000-0005-0000-0000-000005000000}"/>
    <cellStyle name="Input 2" xfId="4" xr:uid="{00000000-0005-0000-0000-000006000000}"/>
    <cellStyle name="Normal 2" xfId="1" xr:uid="{00000000-0005-0000-0000-000008000000}"/>
    <cellStyle name="Normal 2 2" xfId="13" xr:uid="{00000000-0005-0000-0000-000009000000}"/>
    <cellStyle name="Normal 3" xfId="6" xr:uid="{00000000-0005-0000-0000-00000A000000}"/>
    <cellStyle name="Normal_Wassermannchap01exercises" xfId="10" xr:uid="{00000000-0005-0000-0000-00000B000000}"/>
    <cellStyle name="Percent 2" xfId="12" xr:uid="{00000000-0005-0000-0000-00000D000000}"/>
    <cellStyle name="百分比" xfId="9" builtinId="5"/>
    <cellStyle name="常规" xfId="0" builtinId="0"/>
    <cellStyle name="千位分隔" xfId="8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'Exercise 25 Template'!$B$15</c:f>
              <c:strCache>
                <c:ptCount val="1"/>
                <c:pt idx="0">
                  <c:v>saving amount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'Exercise 25 Template'!$A$16:$A$25</c:f>
              <c:numCache>
                <c:formatCode>General</c:formatCode>
                <c:ptCount val="10"/>
                <c:pt idx="0">
                  <c:v>55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59</c:v>
                </c:pt>
                <c:pt idx="5">
                  <c:v>60</c:v>
                </c:pt>
                <c:pt idx="6">
                  <c:v>61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</c:numCache>
            </c:numRef>
          </c:cat>
          <c:val>
            <c:numRef>
              <c:f>'Exercise 25 Template'!$B$16:$B$25</c:f>
              <c:numCache>
                <c:formatCode>"¥"#,##0.00_);[Red]\("¥"#,##0.00\)</c:formatCode>
                <c:ptCount val="10"/>
                <c:pt idx="0">
                  <c:v>-20986.63188560534</c:v>
                </c:pt>
                <c:pt idx="1">
                  <c:v>-24925.379636850714</c:v>
                </c:pt>
                <c:pt idx="2">
                  <c:v>-29942.929380139227</c:v>
                </c:pt>
                <c:pt idx="3">
                  <c:v>-36503.956272170581</c:v>
                </c:pt>
                <c:pt idx="4">
                  <c:v>-45382.657261810506</c:v>
                </c:pt>
                <c:pt idx="5">
                  <c:v>-57972.248047581852</c:v>
                </c:pt>
                <c:pt idx="6">
                  <c:v>-77058.708454901105</c:v>
                </c:pt>
                <c:pt idx="7">
                  <c:v>-109142.0231633314</c:v>
                </c:pt>
                <c:pt idx="8">
                  <c:v>-173721.15234072905</c:v>
                </c:pt>
                <c:pt idx="9">
                  <c:v>-368288.84296234552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F2-6446-8800-6CC8B543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0417471"/>
        <c:axId val="1230771583"/>
      </c:lineChart>
      <c:catAx>
        <c:axId val="1230417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0771583"/>
        <c:crosses val="autoZero"/>
        <c:auto val="1"/>
        <c:lblAlgn val="ctr"/>
        <c:lblOffset val="100"/>
        <c:noMultiLvlLbl val="0"/>
      </c:catAx>
      <c:valAx>
        <c:axId val="12307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[Red]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0417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628650</xdr:colOff>
      <xdr:row>9</xdr:row>
      <xdr:rowOff>114300</xdr:rowOff>
    </xdr:from>
    <xdr:to>
      <xdr:col>3</xdr:col>
      <xdr:colOff>31750</xdr:colOff>
      <xdr:row>14</xdr:row>
      <xdr:rowOff>31750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CxnSpPr/>
      </xdr:nvCxnSpPr>
      <xdr:spPr bwMode="auto">
        <a:xfrm flipH="1">
          <a:off x="3686175" y="1971675"/>
          <a:ext cx="184150" cy="889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317499</xdr:colOff>
      <xdr:row>9</xdr:row>
      <xdr:rowOff>6350</xdr:rowOff>
    </xdr:from>
    <xdr:to>
      <xdr:col>11</xdr:col>
      <xdr:colOff>455082</xdr:colOff>
      <xdr:row>36</xdr:row>
      <xdr:rowOff>88900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C3D4E79-5B91-CFE9-1060-4E717001C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Personal/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e sheet"/>
      <sheetName val="Retirement"/>
      <sheetName val="simplified"/>
      <sheetName val="Asset allocation chart"/>
      <sheetName val="Unit sales"/>
      <sheetName val="Dollar sales"/>
      <sheetName val="Royalties"/>
      <sheetName val="2006"/>
      <sheetName val="2005"/>
      <sheetName val="2004"/>
      <sheetName val="2003"/>
      <sheetName val="2002"/>
      <sheetName val="2001"/>
      <sheetName val="2000"/>
      <sheetName val="1999"/>
      <sheetName val="BS royalties"/>
      <sheetName val="FM, ed2"/>
      <sheetName val="FM, ed1"/>
      <sheetName val="MGH sales"/>
      <sheetName val="Mamma"/>
      <sheetName val="Sold to finance Carmo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414-19DA-3E4D-B8B3-1F9D5428FB04}">
  <dimension ref="A1:B6"/>
  <sheetViews>
    <sheetView workbookViewId="0">
      <selection activeCell="B6" sqref="B6"/>
    </sheetView>
  </sheetViews>
  <sheetFormatPr baseColWidth="10" defaultRowHeight="13"/>
  <sheetData>
    <row r="1" spans="1:2">
      <c r="A1" t="s">
        <v>1</v>
      </c>
      <c r="B1" s="1">
        <v>0.15</v>
      </c>
    </row>
    <row r="2" spans="1:2">
      <c r="A2" s="4" t="s">
        <v>106</v>
      </c>
      <c r="B2" s="72">
        <v>10</v>
      </c>
    </row>
    <row r="4" spans="1:2">
      <c r="A4" s="6" t="s">
        <v>105</v>
      </c>
      <c r="B4" s="6" t="s">
        <v>104</v>
      </c>
    </row>
    <row r="5" spans="1:2">
      <c r="A5">
        <v>0</v>
      </c>
      <c r="B5">
        <v>600</v>
      </c>
    </row>
    <row r="6" spans="1:2">
      <c r="A6">
        <v>10</v>
      </c>
      <c r="B6" s="73">
        <f>FV(B1,B2,0,-B5,1)</f>
        <v>2427.3346414247439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3"/>
  <sheetViews>
    <sheetView workbookViewId="0">
      <selection activeCell="A12" sqref="A12"/>
    </sheetView>
  </sheetViews>
  <sheetFormatPr baseColWidth="10" defaultColWidth="8.83203125" defaultRowHeight="13"/>
  <sheetData>
    <row r="1" spans="1:3">
      <c r="A1" t="s">
        <v>8</v>
      </c>
    </row>
    <row r="2" spans="1:3">
      <c r="A2" s="4" t="s">
        <v>9</v>
      </c>
      <c r="B2" s="1">
        <v>7.0000000000000007E-2</v>
      </c>
      <c r="C2" t="s">
        <v>10</v>
      </c>
    </row>
    <row r="4" spans="1:3">
      <c r="A4" s="6" t="s">
        <v>11</v>
      </c>
      <c r="B4" s="6" t="s">
        <v>12</v>
      </c>
    </row>
    <row r="5" spans="1:3">
      <c r="A5" s="3">
        <v>-5</v>
      </c>
      <c r="B5" s="5">
        <v>50</v>
      </c>
      <c r="C5" t="s">
        <v>13</v>
      </c>
    </row>
    <row r="6" spans="1:3">
      <c r="A6" s="3">
        <v>-4</v>
      </c>
      <c r="B6" s="5">
        <f>B5*(1+$B$2)</f>
        <v>53.5</v>
      </c>
      <c r="C6" t="s">
        <v>102</v>
      </c>
    </row>
    <row r="7" spans="1:3">
      <c r="A7" s="3">
        <v>-3</v>
      </c>
      <c r="B7" s="5">
        <f t="shared" ref="B7:B10" si="0">B6*(1+$B$2)</f>
        <v>57.245000000000005</v>
      </c>
      <c r="C7" t="s">
        <v>103</v>
      </c>
    </row>
    <row r="8" spans="1:3">
      <c r="A8" s="3">
        <v>-2</v>
      </c>
      <c r="B8" s="5">
        <f t="shared" si="0"/>
        <v>61.252150000000007</v>
      </c>
    </row>
    <row r="9" spans="1:3">
      <c r="A9" s="3">
        <v>-1</v>
      </c>
      <c r="B9" s="5">
        <f t="shared" si="0"/>
        <v>65.539800500000013</v>
      </c>
    </row>
    <row r="10" spans="1:3">
      <c r="A10" s="3">
        <v>0</v>
      </c>
      <c r="B10" s="5">
        <f t="shared" si="0"/>
        <v>70.12758653500002</v>
      </c>
      <c r="C10" t="s">
        <v>14</v>
      </c>
    </row>
    <row r="12" spans="1:3">
      <c r="A12" s="4" t="s">
        <v>107</v>
      </c>
    </row>
    <row r="13" spans="1:3">
      <c r="A13" s="4" t="s">
        <v>108</v>
      </c>
      <c r="B13" s="74">
        <f>(70.13/50)^(1/5)-1</f>
        <v>7.0007364782187942E-2</v>
      </c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6"/>
  <sheetViews>
    <sheetView workbookViewId="0">
      <selection activeCell="B15" sqref="B15"/>
    </sheetView>
  </sheetViews>
  <sheetFormatPr baseColWidth="10" defaultColWidth="8.83203125" defaultRowHeight="13"/>
  <cols>
    <col min="1" max="1" width="20.83203125" bestFit="1" customWidth="1"/>
    <col min="2" max="2" width="11.6640625" bestFit="1" customWidth="1"/>
    <col min="3" max="3" width="14.1640625" customWidth="1"/>
    <col min="4" max="4" width="22.6640625" bestFit="1" customWidth="1"/>
  </cols>
  <sheetData>
    <row r="1" spans="1:4">
      <c r="A1" t="s">
        <v>1</v>
      </c>
      <c r="B1" s="8">
        <v>0.03</v>
      </c>
    </row>
    <row r="3" spans="1:4" s="11" customFormat="1" ht="28">
      <c r="A3" s="9" t="s">
        <v>0</v>
      </c>
      <c r="B3" s="9" t="s">
        <v>15</v>
      </c>
      <c r="C3" s="10" t="s">
        <v>16</v>
      </c>
    </row>
    <row r="4" spans="1:4">
      <c r="A4" s="3">
        <v>0</v>
      </c>
      <c r="B4" s="12">
        <v>1000</v>
      </c>
      <c r="C4" s="13">
        <f>B4*(1+$B$1)^(10-A4)</f>
        <v>1343.9163793441219</v>
      </c>
      <c r="D4" t="str">
        <f ca="1">"&lt;-- "&amp;_xlfn.FORMULATEXT(C4)</f>
        <v>&lt;-- =B4*(1+$B$1)^(10-A4)</v>
      </c>
    </row>
    <row r="5" spans="1:4">
      <c r="A5" s="3">
        <v>1</v>
      </c>
      <c r="B5" s="12">
        <v>1000</v>
      </c>
      <c r="C5" s="13">
        <f t="shared" ref="C5:C13" si="0">B5*(1+$B$1)^(10-A5)</f>
        <v>1304.7731838292445</v>
      </c>
    </row>
    <row r="6" spans="1:4">
      <c r="A6" s="3">
        <v>2</v>
      </c>
      <c r="B6" s="12">
        <v>1000</v>
      </c>
      <c r="C6" s="13">
        <f t="shared" si="0"/>
        <v>1266.7700813876158</v>
      </c>
    </row>
    <row r="7" spans="1:4">
      <c r="A7" s="3">
        <v>3</v>
      </c>
      <c r="B7" s="12">
        <v>1000</v>
      </c>
      <c r="C7" s="13">
        <f t="shared" si="0"/>
        <v>1229.87386542487</v>
      </c>
    </row>
    <row r="8" spans="1:4">
      <c r="A8" s="3">
        <v>4</v>
      </c>
      <c r="B8" s="12">
        <v>1000</v>
      </c>
      <c r="C8" s="13">
        <f t="shared" si="0"/>
        <v>1194.0522965289999</v>
      </c>
    </row>
    <row r="9" spans="1:4">
      <c r="A9" s="3">
        <v>5</v>
      </c>
      <c r="B9" s="12">
        <v>1000</v>
      </c>
      <c r="C9" s="13">
        <f t="shared" si="0"/>
        <v>1159.2740742999999</v>
      </c>
    </row>
    <row r="10" spans="1:4">
      <c r="A10" s="3">
        <v>6</v>
      </c>
      <c r="B10" s="12">
        <v>1000</v>
      </c>
      <c r="C10" s="13">
        <f t="shared" si="0"/>
        <v>1125.5088099999998</v>
      </c>
    </row>
    <row r="11" spans="1:4">
      <c r="A11" s="3">
        <v>7</v>
      </c>
      <c r="B11" s="12">
        <v>1000</v>
      </c>
      <c r="C11" s="13">
        <f t="shared" si="0"/>
        <v>1092.7270000000001</v>
      </c>
    </row>
    <row r="12" spans="1:4">
      <c r="A12" s="3">
        <v>8</v>
      </c>
      <c r="B12" s="12">
        <v>1000</v>
      </c>
      <c r="C12" s="13">
        <f t="shared" si="0"/>
        <v>1060.8999999999999</v>
      </c>
    </row>
    <row r="13" spans="1:4">
      <c r="A13" s="3">
        <v>9</v>
      </c>
      <c r="B13" s="12">
        <v>1000</v>
      </c>
      <c r="C13" s="13">
        <f t="shared" si="0"/>
        <v>1030</v>
      </c>
    </row>
    <row r="14" spans="1:4">
      <c r="C14" s="14">
        <f>SUM(C4:C13)</f>
        <v>11807.795690814852</v>
      </c>
    </row>
    <row r="15" spans="1:4">
      <c r="A15" t="s">
        <v>17</v>
      </c>
      <c r="B15" s="73">
        <f>FV(B1,10,-1000,0,1)</f>
        <v>11807.79569081485</v>
      </c>
    </row>
    <row r="16" spans="1:4">
      <c r="A16" t="s">
        <v>18</v>
      </c>
      <c r="B16" s="15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24"/>
  <sheetViews>
    <sheetView workbookViewId="0">
      <selection activeCell="G4" sqref="G4"/>
    </sheetView>
  </sheetViews>
  <sheetFormatPr baseColWidth="10" defaultColWidth="8.83203125" defaultRowHeight="13"/>
  <cols>
    <col min="1" max="1" width="20.83203125" bestFit="1" customWidth="1"/>
    <col min="2" max="2" width="11.6640625" bestFit="1" customWidth="1"/>
    <col min="3" max="3" width="14.1640625" customWidth="1"/>
    <col min="4" max="4" width="22.6640625" bestFit="1" customWidth="1"/>
    <col min="6" max="6" width="20.5" bestFit="1" customWidth="1"/>
    <col min="7" max="7" width="10.83203125" bestFit="1" customWidth="1"/>
  </cols>
  <sheetData>
    <row r="1" spans="1:7">
      <c r="A1" t="s">
        <v>1</v>
      </c>
      <c r="B1" s="8">
        <v>5.0000000000000001E-3</v>
      </c>
    </row>
    <row r="3" spans="1:7" s="11" customFormat="1" ht="33.75" customHeight="1">
      <c r="A3" s="9" t="s">
        <v>0</v>
      </c>
      <c r="B3" s="9" t="s">
        <v>15</v>
      </c>
      <c r="C3" s="10" t="s">
        <v>16</v>
      </c>
      <c r="F3" s="16" t="s">
        <v>19</v>
      </c>
    </row>
    <row r="4" spans="1:7">
      <c r="A4" s="3">
        <v>0</v>
      </c>
      <c r="B4" s="12">
        <v>200</v>
      </c>
      <c r="C4" s="13">
        <f>B4*(1+$B$1)^(120-A4)</f>
        <v>363.87934680645606</v>
      </c>
      <c r="D4" t="str">
        <f ca="1">"&lt;-- "&amp;_xlfn.FORMULATEXT(C4)</f>
        <v>&lt;-- =B4*(1+$B$1)^(120-A4)</v>
      </c>
      <c r="F4" t="s">
        <v>17</v>
      </c>
      <c r="G4" s="73">
        <f>FV(B1,120,-200,0,1)</f>
        <v>32939.748708097664</v>
      </c>
    </row>
    <row r="5" spans="1:7">
      <c r="A5" s="3">
        <v>1</v>
      </c>
      <c r="B5" s="12">
        <v>200</v>
      </c>
      <c r="C5" s="13">
        <f t="shared" ref="C5:C68" si="0">B5*(1+$B$1)^(120-A5)</f>
        <v>362.06900179746873</v>
      </c>
      <c r="F5" t="s">
        <v>18</v>
      </c>
    </row>
    <row r="6" spans="1:7">
      <c r="A6" s="3">
        <v>2</v>
      </c>
      <c r="B6" s="12">
        <v>200</v>
      </c>
      <c r="C6" s="13">
        <f t="shared" si="0"/>
        <v>360.26766348006839</v>
      </c>
    </row>
    <row r="7" spans="1:7">
      <c r="A7" s="3">
        <v>3</v>
      </c>
      <c r="B7" s="12">
        <v>200</v>
      </c>
      <c r="C7" s="13">
        <f t="shared" si="0"/>
        <v>358.47528704484426</v>
      </c>
    </row>
    <row r="8" spans="1:7">
      <c r="A8" s="3">
        <v>4</v>
      </c>
      <c r="B8" s="12">
        <v>200</v>
      </c>
      <c r="C8" s="13">
        <f t="shared" si="0"/>
        <v>356.69182790531772</v>
      </c>
    </row>
    <row r="9" spans="1:7">
      <c r="A9" s="3">
        <v>5</v>
      </c>
      <c r="B9" s="12">
        <v>200</v>
      </c>
      <c r="C9" s="13">
        <f t="shared" si="0"/>
        <v>354.91724169683363</v>
      </c>
    </row>
    <row r="10" spans="1:7">
      <c r="A10" s="3">
        <v>6</v>
      </c>
      <c r="B10" s="12">
        <v>200</v>
      </c>
      <c r="C10" s="13">
        <f t="shared" si="0"/>
        <v>353.15148427545637</v>
      </c>
    </row>
    <row r="11" spans="1:7">
      <c r="A11" s="3">
        <v>7</v>
      </c>
      <c r="B11" s="12">
        <v>200</v>
      </c>
      <c r="C11" s="13">
        <f t="shared" si="0"/>
        <v>351.39451171687216</v>
      </c>
    </row>
    <row r="12" spans="1:7">
      <c r="A12" s="3">
        <v>8</v>
      </c>
      <c r="B12" s="12">
        <v>200</v>
      </c>
      <c r="C12" s="13">
        <f t="shared" si="0"/>
        <v>349.64628031529566</v>
      </c>
    </row>
    <row r="13" spans="1:7">
      <c r="A13" s="3">
        <v>9</v>
      </c>
      <c r="B13" s="12">
        <v>200</v>
      </c>
      <c r="C13" s="13">
        <f t="shared" si="0"/>
        <v>347.90674658238373</v>
      </c>
    </row>
    <row r="14" spans="1:7">
      <c r="A14" s="3">
        <v>10</v>
      </c>
      <c r="B14" s="12">
        <v>200</v>
      </c>
      <c r="C14" s="13">
        <f t="shared" si="0"/>
        <v>346.17586724615308</v>
      </c>
    </row>
    <row r="15" spans="1:7">
      <c r="A15" s="3">
        <v>11</v>
      </c>
      <c r="B15" s="12">
        <v>200</v>
      </c>
      <c r="C15" s="13">
        <f t="shared" si="0"/>
        <v>344.45359924990362</v>
      </c>
    </row>
    <row r="16" spans="1:7">
      <c r="A16" s="3">
        <v>12</v>
      </c>
      <c r="B16" s="12">
        <v>200</v>
      </c>
      <c r="C16" s="13">
        <f t="shared" si="0"/>
        <v>342.73989975114796</v>
      </c>
    </row>
    <row r="17" spans="1:3">
      <c r="A17" s="3">
        <v>13</v>
      </c>
      <c r="B17" s="12">
        <v>200</v>
      </c>
      <c r="C17" s="13">
        <f t="shared" si="0"/>
        <v>341.03472612054532</v>
      </c>
    </row>
    <row r="18" spans="1:3">
      <c r="A18" s="3">
        <v>14</v>
      </c>
      <c r="B18" s="12">
        <v>200</v>
      </c>
      <c r="C18" s="13">
        <f t="shared" si="0"/>
        <v>339.33803594084111</v>
      </c>
    </row>
    <row r="19" spans="1:3">
      <c r="A19" s="3">
        <v>15</v>
      </c>
      <c r="B19" s="12">
        <v>200</v>
      </c>
      <c r="C19" s="13">
        <f t="shared" si="0"/>
        <v>337.64978700581213</v>
      </c>
    </row>
    <row r="20" spans="1:3">
      <c r="A20" s="3">
        <v>16</v>
      </c>
      <c r="B20" s="12">
        <v>200</v>
      </c>
      <c r="C20" s="13">
        <f t="shared" si="0"/>
        <v>335.96993731921611</v>
      </c>
    </row>
    <row r="21" spans="1:3">
      <c r="A21" s="3">
        <v>17</v>
      </c>
      <c r="B21" s="12">
        <v>200</v>
      </c>
      <c r="C21" s="13">
        <f t="shared" si="0"/>
        <v>334.29844509374738</v>
      </c>
    </row>
    <row r="22" spans="1:3">
      <c r="A22" s="3">
        <v>18</v>
      </c>
      <c r="B22" s="12">
        <v>200</v>
      </c>
      <c r="C22" s="13">
        <f t="shared" si="0"/>
        <v>332.63526874999741</v>
      </c>
    </row>
    <row r="23" spans="1:3">
      <c r="A23" s="3">
        <v>19</v>
      </c>
      <c r="B23" s="12">
        <v>200</v>
      </c>
      <c r="C23" s="13">
        <f t="shared" si="0"/>
        <v>330.98036691542035</v>
      </c>
    </row>
    <row r="24" spans="1:3">
      <c r="A24" s="3">
        <v>20</v>
      </c>
      <c r="B24" s="12">
        <v>200</v>
      </c>
      <c r="C24" s="13">
        <f t="shared" si="0"/>
        <v>329.33369842330393</v>
      </c>
    </row>
    <row r="25" spans="1:3">
      <c r="A25" s="3">
        <v>21</v>
      </c>
      <c r="B25" s="12">
        <v>200</v>
      </c>
      <c r="C25" s="13">
        <f t="shared" si="0"/>
        <v>327.69522231174528</v>
      </c>
    </row>
    <row r="26" spans="1:3">
      <c r="A26" s="3">
        <v>22</v>
      </c>
      <c r="B26" s="12">
        <v>200</v>
      </c>
      <c r="C26" s="13">
        <f t="shared" si="0"/>
        <v>326.06489782263213</v>
      </c>
    </row>
    <row r="27" spans="1:3">
      <c r="A27" s="3">
        <v>23</v>
      </c>
      <c r="B27" s="12">
        <v>200</v>
      </c>
      <c r="C27" s="13">
        <f t="shared" si="0"/>
        <v>324.44268440062905</v>
      </c>
    </row>
    <row r="28" spans="1:3">
      <c r="A28" s="3">
        <v>24</v>
      </c>
      <c r="B28" s="12">
        <v>200</v>
      </c>
      <c r="C28" s="13">
        <f t="shared" si="0"/>
        <v>322.82854169216824</v>
      </c>
    </row>
    <row r="29" spans="1:3">
      <c r="A29" s="3">
        <v>25</v>
      </c>
      <c r="B29" s="12">
        <v>200</v>
      </c>
      <c r="C29" s="13">
        <f t="shared" si="0"/>
        <v>321.22242954444602</v>
      </c>
    </row>
    <row r="30" spans="1:3">
      <c r="A30" s="3">
        <v>26</v>
      </c>
      <c r="B30" s="12">
        <v>200</v>
      </c>
      <c r="C30" s="13">
        <f t="shared" si="0"/>
        <v>319.62430800442399</v>
      </c>
    </row>
    <row r="31" spans="1:3">
      <c r="A31" s="3">
        <v>27</v>
      </c>
      <c r="B31" s="12">
        <v>200</v>
      </c>
      <c r="C31" s="13">
        <f t="shared" si="0"/>
        <v>318.0341373178349</v>
      </c>
    </row>
    <row r="32" spans="1:3">
      <c r="A32" s="3">
        <v>28</v>
      </c>
      <c r="B32" s="12">
        <v>200</v>
      </c>
      <c r="C32" s="13">
        <f t="shared" si="0"/>
        <v>316.45187792819394</v>
      </c>
    </row>
    <row r="33" spans="1:3">
      <c r="A33" s="3">
        <v>29</v>
      </c>
      <c r="B33" s="12">
        <v>200</v>
      </c>
      <c r="C33" s="13">
        <f t="shared" si="0"/>
        <v>314.87749047581497</v>
      </c>
    </row>
    <row r="34" spans="1:3">
      <c r="A34" s="3">
        <v>30</v>
      </c>
      <c r="B34" s="12">
        <v>200</v>
      </c>
      <c r="C34" s="13">
        <f t="shared" si="0"/>
        <v>313.31093579683085</v>
      </c>
    </row>
    <row r="35" spans="1:3">
      <c r="A35" s="3">
        <v>31</v>
      </c>
      <c r="B35" s="12">
        <v>200</v>
      </c>
      <c r="C35" s="13">
        <f t="shared" si="0"/>
        <v>311.75217492221981</v>
      </c>
    </row>
    <row r="36" spans="1:3">
      <c r="A36" s="3">
        <v>32</v>
      </c>
      <c r="B36" s="12">
        <v>200</v>
      </c>
      <c r="C36" s="13">
        <f t="shared" si="0"/>
        <v>310.2011690768357</v>
      </c>
    </row>
    <row r="37" spans="1:3">
      <c r="A37" s="3">
        <v>33</v>
      </c>
      <c r="B37" s="12">
        <v>200</v>
      </c>
      <c r="C37" s="13">
        <f t="shared" si="0"/>
        <v>308.65787967844341</v>
      </c>
    </row>
    <row r="38" spans="1:3">
      <c r="A38" s="3">
        <v>34</v>
      </c>
      <c r="B38" s="12">
        <v>200</v>
      </c>
      <c r="C38" s="13">
        <f t="shared" si="0"/>
        <v>307.1222683367597</v>
      </c>
    </row>
    <row r="39" spans="1:3">
      <c r="A39" s="3">
        <v>35</v>
      </c>
      <c r="B39" s="12">
        <v>200</v>
      </c>
      <c r="C39" s="13">
        <f t="shared" si="0"/>
        <v>305.59429685249728</v>
      </c>
    </row>
    <row r="40" spans="1:3">
      <c r="A40" s="3">
        <v>36</v>
      </c>
      <c r="B40" s="12">
        <v>200</v>
      </c>
      <c r="C40" s="13">
        <f t="shared" si="0"/>
        <v>304.07392721641531</v>
      </c>
    </row>
    <row r="41" spans="1:3">
      <c r="A41" s="3">
        <v>37</v>
      </c>
      <c r="B41" s="12">
        <v>200</v>
      </c>
      <c r="C41" s="13">
        <f t="shared" si="0"/>
        <v>302.56112160837347</v>
      </c>
    </row>
    <row r="42" spans="1:3">
      <c r="A42" s="3">
        <v>38</v>
      </c>
      <c r="B42" s="12">
        <v>200</v>
      </c>
      <c r="C42" s="13">
        <f t="shared" si="0"/>
        <v>301.05584239639154</v>
      </c>
    </row>
    <row r="43" spans="1:3">
      <c r="A43" s="3">
        <v>39</v>
      </c>
      <c r="B43" s="12">
        <v>200</v>
      </c>
      <c r="C43" s="13">
        <f t="shared" si="0"/>
        <v>299.55805213571301</v>
      </c>
    </row>
    <row r="44" spans="1:3">
      <c r="A44" s="3">
        <v>40</v>
      </c>
      <c r="B44" s="12">
        <v>200</v>
      </c>
      <c r="C44" s="13">
        <f t="shared" si="0"/>
        <v>298.06771356787368</v>
      </c>
    </row>
    <row r="45" spans="1:3">
      <c r="A45" s="3">
        <v>41</v>
      </c>
      <c r="B45" s="12">
        <v>200</v>
      </c>
      <c r="C45" s="13">
        <f t="shared" si="0"/>
        <v>296.58478961977482</v>
      </c>
    </row>
    <row r="46" spans="1:3">
      <c r="A46" s="3">
        <v>42</v>
      </c>
      <c r="B46" s="12">
        <v>200</v>
      </c>
      <c r="C46" s="13">
        <f t="shared" si="0"/>
        <v>295.10924340276108</v>
      </c>
    </row>
    <row r="47" spans="1:3">
      <c r="A47" s="3">
        <v>43</v>
      </c>
      <c r="B47" s="12">
        <v>200</v>
      </c>
      <c r="C47" s="13">
        <f t="shared" si="0"/>
        <v>293.64103821170266</v>
      </c>
    </row>
    <row r="48" spans="1:3">
      <c r="A48" s="3">
        <v>44</v>
      </c>
      <c r="B48" s="12">
        <v>200</v>
      </c>
      <c r="C48" s="13">
        <f t="shared" si="0"/>
        <v>292.18013752408223</v>
      </c>
    </row>
    <row r="49" spans="1:3">
      <c r="A49" s="3">
        <v>45</v>
      </c>
      <c r="B49" s="12">
        <v>200</v>
      </c>
      <c r="C49" s="13">
        <f t="shared" si="0"/>
        <v>290.7265049990869</v>
      </c>
    </row>
    <row r="50" spans="1:3">
      <c r="A50" s="3">
        <v>46</v>
      </c>
      <c r="B50" s="12">
        <v>200</v>
      </c>
      <c r="C50" s="13">
        <f t="shared" si="0"/>
        <v>289.2801044767034</v>
      </c>
    </row>
    <row r="51" spans="1:3">
      <c r="A51" s="3">
        <v>47</v>
      </c>
      <c r="B51" s="12">
        <v>200</v>
      </c>
      <c r="C51" s="13">
        <f t="shared" si="0"/>
        <v>287.8408999768194</v>
      </c>
    </row>
    <row r="52" spans="1:3">
      <c r="A52" s="3">
        <v>48</v>
      </c>
      <c r="B52" s="12">
        <v>200</v>
      </c>
      <c r="C52" s="13">
        <f t="shared" si="0"/>
        <v>286.40885569832773</v>
      </c>
    </row>
    <row r="53" spans="1:3">
      <c r="A53" s="3">
        <v>49</v>
      </c>
      <c r="B53" s="12">
        <v>200</v>
      </c>
      <c r="C53" s="13">
        <f t="shared" si="0"/>
        <v>284.98393601823659</v>
      </c>
    </row>
    <row r="54" spans="1:3">
      <c r="A54" s="3">
        <v>50</v>
      </c>
      <c r="B54" s="12">
        <v>200</v>
      </c>
      <c r="C54" s="13">
        <f t="shared" si="0"/>
        <v>283.56610549078272</v>
      </c>
    </row>
    <row r="55" spans="1:3">
      <c r="A55" s="3">
        <v>51</v>
      </c>
      <c r="B55" s="12">
        <v>200</v>
      </c>
      <c r="C55" s="13">
        <f t="shared" si="0"/>
        <v>282.15532884654999</v>
      </c>
    </row>
    <row r="56" spans="1:3">
      <c r="A56" s="3">
        <v>52</v>
      </c>
      <c r="B56" s="12">
        <v>200</v>
      </c>
      <c r="C56" s="13">
        <f t="shared" si="0"/>
        <v>280.75157099159213</v>
      </c>
    </row>
    <row r="57" spans="1:3">
      <c r="A57" s="3">
        <v>53</v>
      </c>
      <c r="B57" s="12">
        <v>200</v>
      </c>
      <c r="C57" s="13">
        <f t="shared" si="0"/>
        <v>279.35479700655941</v>
      </c>
    </row>
    <row r="58" spans="1:3">
      <c r="A58" s="3">
        <v>54</v>
      </c>
      <c r="B58" s="12">
        <v>200</v>
      </c>
      <c r="C58" s="13">
        <f t="shared" si="0"/>
        <v>277.96497214583025</v>
      </c>
    </row>
    <row r="59" spans="1:3">
      <c r="A59" s="3">
        <v>55</v>
      </c>
      <c r="B59" s="12">
        <v>200</v>
      </c>
      <c r="C59" s="13">
        <f t="shared" si="0"/>
        <v>276.58206183664709</v>
      </c>
    </row>
    <row r="60" spans="1:3">
      <c r="A60" s="3">
        <v>56</v>
      </c>
      <c r="B60" s="12">
        <v>200</v>
      </c>
      <c r="C60" s="13">
        <f t="shared" si="0"/>
        <v>275.20603167825584</v>
      </c>
    </row>
    <row r="61" spans="1:3">
      <c r="A61" s="3">
        <v>57</v>
      </c>
      <c r="B61" s="12">
        <v>200</v>
      </c>
      <c r="C61" s="13">
        <f t="shared" si="0"/>
        <v>273.83684744105057</v>
      </c>
    </row>
    <row r="62" spans="1:3">
      <c r="A62" s="3">
        <v>58</v>
      </c>
      <c r="B62" s="12">
        <v>200</v>
      </c>
      <c r="C62" s="13">
        <f t="shared" si="0"/>
        <v>272.474475065722</v>
      </c>
    </row>
    <row r="63" spans="1:3">
      <c r="A63" s="3">
        <v>59</v>
      </c>
      <c r="B63" s="12">
        <v>200</v>
      </c>
      <c r="C63" s="13">
        <f t="shared" si="0"/>
        <v>271.11888066241005</v>
      </c>
    </row>
    <row r="64" spans="1:3">
      <c r="A64" s="3">
        <v>60</v>
      </c>
      <c r="B64" s="12">
        <v>200</v>
      </c>
      <c r="C64" s="13">
        <f t="shared" si="0"/>
        <v>269.77003050986076</v>
      </c>
    </row>
    <row r="65" spans="1:3">
      <c r="A65" s="3">
        <v>61</v>
      </c>
      <c r="B65" s="12">
        <v>200</v>
      </c>
      <c r="C65" s="13">
        <f t="shared" si="0"/>
        <v>268.42789105458786</v>
      </c>
    </row>
    <row r="66" spans="1:3">
      <c r="A66" s="3">
        <v>62</v>
      </c>
      <c r="B66" s="12">
        <v>200</v>
      </c>
      <c r="C66" s="13">
        <f t="shared" si="0"/>
        <v>267.09242891003771</v>
      </c>
    </row>
    <row r="67" spans="1:3">
      <c r="A67" s="3">
        <v>63</v>
      </c>
      <c r="B67" s="12">
        <v>200</v>
      </c>
      <c r="C67" s="13">
        <f t="shared" si="0"/>
        <v>265.763610855759</v>
      </c>
    </row>
    <row r="68" spans="1:3">
      <c r="A68" s="3">
        <v>64</v>
      </c>
      <c r="B68" s="12">
        <v>200</v>
      </c>
      <c r="C68" s="13">
        <f t="shared" si="0"/>
        <v>264.44140383657617</v>
      </c>
    </row>
    <row r="69" spans="1:3">
      <c r="A69" s="3">
        <v>65</v>
      </c>
      <c r="B69" s="12">
        <v>200</v>
      </c>
      <c r="C69" s="13">
        <f t="shared" ref="C69:C123" si="1">B69*(1+$B$1)^(120-A69)</f>
        <v>263.12577496176732</v>
      </c>
    </row>
    <row r="70" spans="1:3">
      <c r="A70" s="3">
        <v>66</v>
      </c>
      <c r="B70" s="12">
        <v>200</v>
      </c>
      <c r="C70" s="13">
        <f t="shared" si="1"/>
        <v>261.81669150424608</v>
      </c>
    </row>
    <row r="71" spans="1:3">
      <c r="A71" s="3">
        <v>67</v>
      </c>
      <c r="B71" s="12">
        <v>200</v>
      </c>
      <c r="C71" s="13">
        <f t="shared" si="1"/>
        <v>260.51412089974741</v>
      </c>
    </row>
    <row r="72" spans="1:3">
      <c r="A72" s="3">
        <v>68</v>
      </c>
      <c r="B72" s="12">
        <v>200</v>
      </c>
      <c r="C72" s="13">
        <f t="shared" si="1"/>
        <v>259.21803074601735</v>
      </c>
    </row>
    <row r="73" spans="1:3">
      <c r="A73" s="3">
        <v>69</v>
      </c>
      <c r="B73" s="12">
        <v>200</v>
      </c>
      <c r="C73" s="13">
        <f t="shared" si="1"/>
        <v>257.92838880200736</v>
      </c>
    </row>
    <row r="74" spans="1:3">
      <c r="A74" s="3">
        <v>70</v>
      </c>
      <c r="B74" s="12">
        <v>200</v>
      </c>
      <c r="C74" s="13">
        <f t="shared" si="1"/>
        <v>256.64516298707201</v>
      </c>
    </row>
    <row r="75" spans="1:3">
      <c r="A75" s="3">
        <v>71</v>
      </c>
      <c r="B75" s="12">
        <v>200</v>
      </c>
      <c r="C75" s="13">
        <f t="shared" si="1"/>
        <v>255.36832138017127</v>
      </c>
    </row>
    <row r="76" spans="1:3">
      <c r="A76" s="3">
        <v>72</v>
      </c>
      <c r="B76" s="12">
        <v>200</v>
      </c>
      <c r="C76" s="13">
        <f t="shared" si="1"/>
        <v>254.09783221907588</v>
      </c>
    </row>
    <row r="77" spans="1:3">
      <c r="A77" s="3">
        <v>73</v>
      </c>
      <c r="B77" s="12">
        <v>200</v>
      </c>
      <c r="C77" s="13">
        <f t="shared" si="1"/>
        <v>252.83366389957803</v>
      </c>
    </row>
    <row r="78" spans="1:3">
      <c r="A78" s="3">
        <v>74</v>
      </c>
      <c r="B78" s="12">
        <v>200</v>
      </c>
      <c r="C78" s="13">
        <f t="shared" si="1"/>
        <v>251.57578497470459</v>
      </c>
    </row>
    <row r="79" spans="1:3">
      <c r="A79" s="3">
        <v>75</v>
      </c>
      <c r="B79" s="12">
        <v>200</v>
      </c>
      <c r="C79" s="13">
        <f t="shared" si="1"/>
        <v>250.32416415393493</v>
      </c>
    </row>
    <row r="80" spans="1:3">
      <c r="A80" s="3">
        <v>76</v>
      </c>
      <c r="B80" s="12">
        <v>200</v>
      </c>
      <c r="C80" s="13">
        <f t="shared" si="1"/>
        <v>249.07877030242287</v>
      </c>
    </row>
    <row r="81" spans="1:3">
      <c r="A81" s="3">
        <v>77</v>
      </c>
      <c r="B81" s="12">
        <v>200</v>
      </c>
      <c r="C81" s="13">
        <f t="shared" si="1"/>
        <v>247.83957244022181</v>
      </c>
    </row>
    <row r="82" spans="1:3">
      <c r="A82" s="3">
        <v>78</v>
      </c>
      <c r="B82" s="12">
        <v>200</v>
      </c>
      <c r="C82" s="13">
        <f t="shared" si="1"/>
        <v>246.60653974151424</v>
      </c>
    </row>
    <row r="83" spans="1:3">
      <c r="A83" s="3">
        <v>79</v>
      </c>
      <c r="B83" s="12">
        <v>200</v>
      </c>
      <c r="C83" s="13">
        <f t="shared" si="1"/>
        <v>245.37964153384507</v>
      </c>
    </row>
    <row r="84" spans="1:3">
      <c r="A84" s="3">
        <v>80</v>
      </c>
      <c r="B84" s="12">
        <v>200</v>
      </c>
      <c r="C84" s="13">
        <f t="shared" si="1"/>
        <v>244.15884729735834</v>
      </c>
    </row>
    <row r="85" spans="1:3">
      <c r="A85" s="3">
        <v>81</v>
      </c>
      <c r="B85" s="12">
        <v>200</v>
      </c>
      <c r="C85" s="13">
        <f t="shared" si="1"/>
        <v>242.94412666403815</v>
      </c>
    </row>
    <row r="86" spans="1:3">
      <c r="A86" s="3">
        <v>82</v>
      </c>
      <c r="B86" s="12">
        <v>200</v>
      </c>
      <c r="C86" s="13">
        <f t="shared" si="1"/>
        <v>241.73544941695343</v>
      </c>
    </row>
    <row r="87" spans="1:3">
      <c r="A87" s="3">
        <v>83</v>
      </c>
      <c r="B87" s="12">
        <v>200</v>
      </c>
      <c r="C87" s="13">
        <f t="shared" si="1"/>
        <v>240.5327854895059</v>
      </c>
    </row>
    <row r="88" spans="1:3">
      <c r="A88" s="3">
        <v>84</v>
      </c>
      <c r="B88" s="12">
        <v>200</v>
      </c>
      <c r="C88" s="13">
        <f t="shared" si="1"/>
        <v>239.33610496468253</v>
      </c>
    </row>
    <row r="89" spans="1:3">
      <c r="A89" s="3">
        <v>85</v>
      </c>
      <c r="B89" s="12">
        <v>200</v>
      </c>
      <c r="C89" s="13">
        <f t="shared" si="1"/>
        <v>238.14537807431105</v>
      </c>
    </row>
    <row r="90" spans="1:3">
      <c r="A90" s="3">
        <v>86</v>
      </c>
      <c r="B90" s="12">
        <v>200</v>
      </c>
      <c r="C90" s="13">
        <f t="shared" si="1"/>
        <v>236.96057519831948</v>
      </c>
    </row>
    <row r="91" spans="1:3">
      <c r="A91" s="3">
        <v>87</v>
      </c>
      <c r="B91" s="12">
        <v>200</v>
      </c>
      <c r="C91" s="13">
        <f t="shared" si="1"/>
        <v>235.7816668639995</v>
      </c>
    </row>
    <row r="92" spans="1:3">
      <c r="A92" s="3">
        <v>88</v>
      </c>
      <c r="B92" s="12">
        <v>200</v>
      </c>
      <c r="C92" s="13">
        <f t="shared" si="1"/>
        <v>234.60862374527318</v>
      </c>
    </row>
    <row r="93" spans="1:3">
      <c r="A93" s="3">
        <v>89</v>
      </c>
      <c r="B93" s="12">
        <v>200</v>
      </c>
      <c r="C93" s="13">
        <f t="shared" si="1"/>
        <v>233.44141666196339</v>
      </c>
    </row>
    <row r="94" spans="1:3">
      <c r="A94" s="3">
        <v>90</v>
      </c>
      <c r="B94" s="12">
        <v>200</v>
      </c>
      <c r="C94" s="13">
        <f t="shared" si="1"/>
        <v>232.2800165790681</v>
      </c>
    </row>
    <row r="95" spans="1:3">
      <c r="A95" s="3">
        <v>91</v>
      </c>
      <c r="B95" s="12">
        <v>200</v>
      </c>
      <c r="C95" s="13">
        <f t="shared" si="1"/>
        <v>231.12439460603795</v>
      </c>
    </row>
    <row r="96" spans="1:3">
      <c r="A96" s="3">
        <v>92</v>
      </c>
      <c r="B96" s="12">
        <v>200</v>
      </c>
      <c r="C96" s="13">
        <f t="shared" si="1"/>
        <v>229.97452199605769</v>
      </c>
    </row>
    <row r="97" spans="1:3">
      <c r="A97" s="3">
        <v>93</v>
      </c>
      <c r="B97" s="12">
        <v>200</v>
      </c>
      <c r="C97" s="13">
        <f t="shared" si="1"/>
        <v>228.8303701453311</v>
      </c>
    </row>
    <row r="98" spans="1:3">
      <c r="A98" s="3">
        <v>94</v>
      </c>
      <c r="B98" s="12">
        <v>200</v>
      </c>
      <c r="C98" s="13">
        <f t="shared" si="1"/>
        <v>227.69191059236928</v>
      </c>
    </row>
    <row r="99" spans="1:3">
      <c r="A99" s="3">
        <v>95</v>
      </c>
      <c r="B99" s="12">
        <v>200</v>
      </c>
      <c r="C99" s="13">
        <f t="shared" si="1"/>
        <v>226.55911501728289</v>
      </c>
    </row>
    <row r="100" spans="1:3">
      <c r="A100" s="3">
        <v>96</v>
      </c>
      <c r="B100" s="12">
        <v>200</v>
      </c>
      <c r="C100" s="13">
        <f t="shared" si="1"/>
        <v>225.43195524107756</v>
      </c>
    </row>
    <row r="101" spans="1:3">
      <c r="A101" s="3">
        <v>97</v>
      </c>
      <c r="B101" s="12">
        <v>200</v>
      </c>
      <c r="C101" s="13">
        <f t="shared" si="1"/>
        <v>224.31040322495278</v>
      </c>
    </row>
    <row r="102" spans="1:3">
      <c r="A102" s="3">
        <v>98</v>
      </c>
      <c r="B102" s="12">
        <v>200</v>
      </c>
      <c r="C102" s="13">
        <f t="shared" si="1"/>
        <v>223.1944310696048</v>
      </c>
    </row>
    <row r="103" spans="1:3">
      <c r="A103" s="3">
        <v>99</v>
      </c>
      <c r="B103" s="12">
        <v>200</v>
      </c>
      <c r="C103" s="13">
        <f t="shared" si="1"/>
        <v>222.08401101453217</v>
      </c>
    </row>
    <row r="104" spans="1:3">
      <c r="A104" s="3">
        <v>100</v>
      </c>
      <c r="B104" s="12">
        <v>200</v>
      </c>
      <c r="C104" s="13">
        <f t="shared" si="1"/>
        <v>220.97911543734548</v>
      </c>
    </row>
    <row r="105" spans="1:3">
      <c r="A105" s="3">
        <v>101</v>
      </c>
      <c r="B105" s="12">
        <v>200</v>
      </c>
      <c r="C105" s="13">
        <f t="shared" si="1"/>
        <v>219.87971685308011</v>
      </c>
    </row>
    <row r="106" spans="1:3">
      <c r="A106" s="3">
        <v>102</v>
      </c>
      <c r="B106" s="12">
        <v>200</v>
      </c>
      <c r="C106" s="13">
        <f t="shared" si="1"/>
        <v>218.78578791351256</v>
      </c>
    </row>
    <row r="107" spans="1:3">
      <c r="A107" s="3">
        <v>103</v>
      </c>
      <c r="B107" s="12">
        <v>200</v>
      </c>
      <c r="C107" s="13">
        <f t="shared" si="1"/>
        <v>217.69730140648025</v>
      </c>
    </row>
    <row r="108" spans="1:3">
      <c r="A108" s="3">
        <v>104</v>
      </c>
      <c r="B108" s="12">
        <v>200</v>
      </c>
      <c r="C108" s="13">
        <f t="shared" si="1"/>
        <v>216.61423025520423</v>
      </c>
    </row>
    <row r="109" spans="1:3">
      <c r="A109" s="3">
        <v>105</v>
      </c>
      <c r="B109" s="12">
        <v>200</v>
      </c>
      <c r="C109" s="13">
        <f t="shared" si="1"/>
        <v>215.53654751761619</v>
      </c>
    </row>
    <row r="110" spans="1:3">
      <c r="A110" s="3">
        <v>106</v>
      </c>
      <c r="B110" s="12">
        <v>200</v>
      </c>
      <c r="C110" s="13">
        <f t="shared" si="1"/>
        <v>214.46422638568779</v>
      </c>
    </row>
    <row r="111" spans="1:3">
      <c r="A111" s="3">
        <v>107</v>
      </c>
      <c r="B111" s="12">
        <v>200</v>
      </c>
      <c r="C111" s="13">
        <f t="shared" si="1"/>
        <v>213.397240184764</v>
      </c>
    </row>
    <row r="112" spans="1:3">
      <c r="A112" s="3">
        <v>108</v>
      </c>
      <c r="B112" s="12">
        <v>200</v>
      </c>
      <c r="C112" s="13">
        <f t="shared" si="1"/>
        <v>212.33556237289952</v>
      </c>
    </row>
    <row r="113" spans="1:3">
      <c r="A113" s="3">
        <v>109</v>
      </c>
      <c r="B113" s="12">
        <v>200</v>
      </c>
      <c r="C113" s="13">
        <f t="shared" si="1"/>
        <v>211.27916654019862</v>
      </c>
    </row>
    <row r="114" spans="1:3">
      <c r="A114" s="3">
        <v>110</v>
      </c>
      <c r="B114" s="12">
        <v>200</v>
      </c>
      <c r="C114" s="13">
        <f t="shared" si="1"/>
        <v>210.22802640815783</v>
      </c>
    </row>
    <row r="115" spans="1:3">
      <c r="A115" s="3">
        <v>111</v>
      </c>
      <c r="B115" s="12">
        <v>200</v>
      </c>
      <c r="C115" s="13">
        <f t="shared" si="1"/>
        <v>209.18211582901282</v>
      </c>
    </row>
    <row r="116" spans="1:3">
      <c r="A116" s="3">
        <v>112</v>
      </c>
      <c r="B116" s="12">
        <v>200</v>
      </c>
      <c r="C116" s="13">
        <f t="shared" si="1"/>
        <v>208.14140878508738</v>
      </c>
    </row>
    <row r="117" spans="1:3">
      <c r="A117" s="3">
        <v>113</v>
      </c>
      <c r="B117" s="12">
        <v>200</v>
      </c>
      <c r="C117" s="13">
        <f t="shared" si="1"/>
        <v>207.10587938814666</v>
      </c>
    </row>
    <row r="118" spans="1:3">
      <c r="A118" s="3">
        <v>114</v>
      </c>
      <c r="B118" s="12">
        <v>200</v>
      </c>
      <c r="C118" s="13">
        <f t="shared" si="1"/>
        <v>206.07550187875293</v>
      </c>
    </row>
    <row r="119" spans="1:3">
      <c r="A119" s="3">
        <v>115</v>
      </c>
      <c r="B119" s="12">
        <v>200</v>
      </c>
      <c r="C119" s="13">
        <f t="shared" si="1"/>
        <v>205.05025062562484</v>
      </c>
    </row>
    <row r="120" spans="1:3">
      <c r="A120" s="3">
        <v>116</v>
      </c>
      <c r="B120" s="12">
        <v>200</v>
      </c>
      <c r="C120" s="13">
        <f t="shared" si="1"/>
        <v>204.03010012499988</v>
      </c>
    </row>
    <row r="121" spans="1:3">
      <c r="A121" s="3">
        <v>117</v>
      </c>
      <c r="B121" s="12">
        <v>200</v>
      </c>
      <c r="C121" s="13">
        <f t="shared" si="1"/>
        <v>203.01502499999992</v>
      </c>
    </row>
    <row r="122" spans="1:3">
      <c r="A122" s="3">
        <v>118</v>
      </c>
      <c r="B122" s="12">
        <v>200</v>
      </c>
      <c r="C122" s="13">
        <f t="shared" si="1"/>
        <v>202.00499999999994</v>
      </c>
    </row>
    <row r="123" spans="1:3">
      <c r="A123" s="3">
        <v>119</v>
      </c>
      <c r="B123" s="12">
        <v>200</v>
      </c>
      <c r="C123" s="13">
        <f t="shared" si="1"/>
        <v>200.99999999999997</v>
      </c>
    </row>
    <row r="124" spans="1:3">
      <c r="A124" s="3"/>
      <c r="C124" s="14">
        <f>SUM(C4:C123)</f>
        <v>32939.748708098661</v>
      </c>
    </row>
  </sheetData>
  <phoneticPr fontId="1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5"/>
  <sheetViews>
    <sheetView workbookViewId="0">
      <selection activeCell="B5" sqref="B5"/>
    </sheetView>
  </sheetViews>
  <sheetFormatPr baseColWidth="10" defaultColWidth="8.83203125" defaultRowHeight="13"/>
  <cols>
    <col min="1" max="1" width="22.1640625" bestFit="1" customWidth="1"/>
    <col min="2" max="2" width="10.5" bestFit="1" customWidth="1"/>
  </cols>
  <sheetData>
    <row r="1" spans="1:3">
      <c r="A1" t="s">
        <v>20</v>
      </c>
      <c r="B1" s="17">
        <v>2000</v>
      </c>
    </row>
    <row r="2" spans="1:3">
      <c r="A2" t="s">
        <v>21</v>
      </c>
      <c r="B2">
        <v>2</v>
      </c>
      <c r="C2" t="s">
        <v>22</v>
      </c>
    </row>
    <row r="3" spans="1:3">
      <c r="A3" s="4" t="s">
        <v>9</v>
      </c>
      <c r="B3" s="1">
        <v>0.05</v>
      </c>
    </row>
    <row r="5" spans="1:3">
      <c r="A5" t="s">
        <v>23</v>
      </c>
      <c r="B5" s="73">
        <f>PV(B3,B2,0,-B1,1)</f>
        <v>1814.0589569160998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4"/>
  <sheetViews>
    <sheetView workbookViewId="0">
      <selection activeCell="I19" sqref="I19"/>
    </sheetView>
  </sheetViews>
  <sheetFormatPr baseColWidth="10" defaultColWidth="8.83203125" defaultRowHeight="13"/>
  <cols>
    <col min="1" max="1" width="22.1640625" bestFit="1" customWidth="1"/>
    <col min="2" max="2" width="11" bestFit="1" customWidth="1"/>
  </cols>
  <sheetData>
    <row r="1" spans="1:2">
      <c r="A1" t="s">
        <v>24</v>
      </c>
      <c r="B1" s="18">
        <v>25000</v>
      </c>
    </row>
    <row r="2" spans="1:2">
      <c r="A2" t="s">
        <v>25</v>
      </c>
      <c r="B2" s="18">
        <v>50000</v>
      </c>
    </row>
    <row r="3" spans="1:2">
      <c r="B3" s="17"/>
    </row>
    <row r="4" spans="1:2">
      <c r="A4" s="4" t="s">
        <v>9</v>
      </c>
      <c r="B4" s="8">
        <f>(B2/B1)^(1/10)-1</f>
        <v>7.1773462536293131E-2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0"/>
  <sheetViews>
    <sheetView workbookViewId="0">
      <selection activeCell="B10" sqref="B10"/>
    </sheetView>
  </sheetViews>
  <sheetFormatPr baseColWidth="10" defaultColWidth="8.83203125" defaultRowHeight="13"/>
  <cols>
    <col min="1" max="1" width="18.83203125" bestFit="1" customWidth="1"/>
    <col min="2" max="2" width="11.5" bestFit="1" customWidth="1"/>
    <col min="3" max="3" width="11.33203125" bestFit="1" customWidth="1"/>
    <col min="4" max="4" width="19.83203125" bestFit="1" customWidth="1"/>
  </cols>
  <sheetData>
    <row r="1" spans="1:4">
      <c r="A1" t="s">
        <v>1</v>
      </c>
      <c r="B1" s="1">
        <v>7.0000000000000007E-2</v>
      </c>
    </row>
    <row r="2" spans="1:4">
      <c r="B2" s="12"/>
    </row>
    <row r="3" spans="1:4" ht="28">
      <c r="A3" s="19" t="s">
        <v>0</v>
      </c>
      <c r="B3" s="20" t="s">
        <v>26</v>
      </c>
      <c r="C3" s="2" t="s">
        <v>27</v>
      </c>
    </row>
    <row r="4" spans="1:4">
      <c r="A4" s="3">
        <v>1</v>
      </c>
      <c r="B4" s="13">
        <v>10000</v>
      </c>
      <c r="C4" s="13">
        <f>B4/((1+$B$1)^A4)</f>
        <v>9345.7943925233631</v>
      </c>
      <c r="D4" t="str">
        <f ca="1">"&lt;-- "&amp;_xlfn.FORMULATEXT(C4)</f>
        <v>&lt;-- =B4/((1+$B$1)^A4)</v>
      </c>
    </row>
    <row r="5" spans="1:4">
      <c r="A5" s="3">
        <v>2</v>
      </c>
      <c r="B5" s="13">
        <v>10000</v>
      </c>
      <c r="C5" s="13">
        <f t="shared" ref="C5:C7" si="0">B5/((1+$B$1)^A5)</f>
        <v>8734.3872827321156</v>
      </c>
    </row>
    <row r="6" spans="1:4">
      <c r="A6" s="3">
        <v>3</v>
      </c>
      <c r="B6" s="13">
        <v>10000</v>
      </c>
      <c r="C6" s="13">
        <f t="shared" si="0"/>
        <v>8162.9787689085197</v>
      </c>
    </row>
    <row r="7" spans="1:4">
      <c r="A7" s="3">
        <v>4</v>
      </c>
      <c r="B7" s="13">
        <v>10000</v>
      </c>
      <c r="C7" s="13">
        <f t="shared" si="0"/>
        <v>7628.9521204752518</v>
      </c>
    </row>
    <row r="8" spans="1:4">
      <c r="C8" s="14">
        <f>SUM(C4:C7)</f>
        <v>33872.112564639254</v>
      </c>
    </row>
    <row r="9" spans="1:4">
      <c r="A9" t="s">
        <v>5</v>
      </c>
      <c r="B9" s="73">
        <f>PV(B1,A7,-B4,0,0)</f>
        <v>33872.112564639247</v>
      </c>
      <c r="C9" s="21"/>
    </row>
    <row r="10" spans="1:4">
      <c r="C10" s="15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6"/>
  <sheetViews>
    <sheetView workbookViewId="0">
      <selection activeCell="A2" sqref="A2:B2"/>
    </sheetView>
  </sheetViews>
  <sheetFormatPr baseColWidth="10" defaultColWidth="8.83203125" defaultRowHeight="13"/>
  <cols>
    <col min="1" max="1" width="14" bestFit="1" customWidth="1"/>
    <col min="2" max="2" width="10.1640625" bestFit="1" customWidth="1"/>
    <col min="3" max="3" width="16.6640625" bestFit="1" customWidth="1"/>
    <col min="4" max="4" width="10.83203125" bestFit="1" customWidth="1"/>
    <col min="5" max="5" width="21.5" bestFit="1" customWidth="1"/>
  </cols>
  <sheetData>
    <row r="1" spans="1:5">
      <c r="A1" t="s">
        <v>28</v>
      </c>
      <c r="B1" s="1">
        <v>0.02</v>
      </c>
      <c r="C1" s="1"/>
    </row>
    <row r="2" spans="1:5">
      <c r="A2" t="s">
        <v>1</v>
      </c>
      <c r="B2" s="1">
        <v>0.14000000000000001</v>
      </c>
      <c r="C2" s="1"/>
    </row>
    <row r="3" spans="1:5">
      <c r="B3" s="12"/>
      <c r="C3" s="12"/>
    </row>
    <row r="4" spans="1:5" s="23" customFormat="1" ht="28">
      <c r="A4" s="2" t="s">
        <v>0</v>
      </c>
      <c r="B4" s="22" t="s">
        <v>29</v>
      </c>
      <c r="C4" s="22"/>
      <c r="D4" s="2" t="s">
        <v>5</v>
      </c>
    </row>
    <row r="5" spans="1:5">
      <c r="A5" s="3">
        <v>0</v>
      </c>
      <c r="B5" s="13">
        <v>10000</v>
      </c>
      <c r="C5" s="13"/>
      <c r="D5" s="13">
        <f>B5/((1+$B$2)^A5)</f>
        <v>10000</v>
      </c>
      <c r="E5" t="str">
        <f ca="1">"&lt;-- "&amp;_xlfn.FORMULATEXT(D5)</f>
        <v>&lt;-- =B5/((1+$B$2)^A5)</v>
      </c>
    </row>
    <row r="6" spans="1:5">
      <c r="A6" s="3">
        <v>1</v>
      </c>
      <c r="B6" s="13">
        <f>B5*(1+$B$1)</f>
        <v>10200</v>
      </c>
      <c r="C6" s="13" t="str">
        <f ca="1">"&lt;-- "&amp;_xlfn.FORMULATEXT(B6)</f>
        <v>&lt;-- =B5*(1+$B$1)</v>
      </c>
      <c r="D6" s="13">
        <f t="shared" ref="D6:D14" si="0">B6/((1+$B$2)^A6)</f>
        <v>8947.3684210526299</v>
      </c>
    </row>
    <row r="7" spans="1:5">
      <c r="A7" s="3">
        <v>2</v>
      </c>
      <c r="B7" s="13">
        <f t="shared" ref="B7:B14" si="1">B6*(1+$B$1)</f>
        <v>10404</v>
      </c>
      <c r="C7" s="13"/>
      <c r="D7" s="13">
        <f t="shared" si="0"/>
        <v>8005.5401662049844</v>
      </c>
    </row>
    <row r="8" spans="1:5">
      <c r="A8" s="3">
        <v>3</v>
      </c>
      <c r="B8" s="13">
        <f t="shared" si="1"/>
        <v>10612.08</v>
      </c>
      <c r="C8" s="13"/>
      <c r="D8" s="13">
        <f t="shared" si="0"/>
        <v>7162.851727657091</v>
      </c>
    </row>
    <row r="9" spans="1:5">
      <c r="A9" s="3">
        <v>4</v>
      </c>
      <c r="B9" s="13">
        <f t="shared" si="1"/>
        <v>10824.321599999999</v>
      </c>
      <c r="C9" s="13"/>
      <c r="D9" s="13">
        <f t="shared" si="0"/>
        <v>6408.8673352721326</v>
      </c>
    </row>
    <row r="10" spans="1:5">
      <c r="A10" s="3">
        <v>5</v>
      </c>
      <c r="B10" s="13">
        <f t="shared" si="1"/>
        <v>11040.808031999999</v>
      </c>
      <c r="C10" s="13"/>
      <c r="D10" s="13">
        <f t="shared" si="0"/>
        <v>5734.2497210329602</v>
      </c>
    </row>
    <row r="11" spans="1:5">
      <c r="A11" s="3">
        <v>6</v>
      </c>
      <c r="B11" s="13">
        <f t="shared" si="1"/>
        <v>11261.62419264</v>
      </c>
      <c r="C11" s="13"/>
      <c r="D11" s="13">
        <f t="shared" si="0"/>
        <v>5130.6444872400161</v>
      </c>
    </row>
    <row r="12" spans="1:5">
      <c r="A12" s="3">
        <v>7</v>
      </c>
      <c r="B12" s="13">
        <f t="shared" si="1"/>
        <v>11486.8566764928</v>
      </c>
      <c r="C12" s="13"/>
      <c r="D12" s="13">
        <f t="shared" si="0"/>
        <v>4590.576646477909</v>
      </c>
    </row>
    <row r="13" spans="1:5">
      <c r="A13" s="3">
        <v>8</v>
      </c>
      <c r="B13" s="13">
        <f t="shared" si="1"/>
        <v>11716.593810022656</v>
      </c>
      <c r="C13" s="13"/>
      <c r="D13" s="13">
        <f t="shared" si="0"/>
        <v>4107.3580521118129</v>
      </c>
    </row>
    <row r="14" spans="1:5">
      <c r="A14" s="3">
        <v>9</v>
      </c>
      <c r="B14" s="13">
        <f t="shared" si="1"/>
        <v>11950.925686223109</v>
      </c>
      <c r="C14" s="13"/>
      <c r="D14" s="13">
        <f t="shared" si="0"/>
        <v>3675.0045729421477</v>
      </c>
    </row>
    <row r="15" spans="1:5">
      <c r="D15" s="14">
        <f>SUM(D5:D14)</f>
        <v>63762.46112999168</v>
      </c>
    </row>
    <row r="16" spans="1:5">
      <c r="C16" s="4" t="s">
        <v>5</v>
      </c>
      <c r="D16" s="75">
        <f>NPV(B2,B6:B14)+B5</f>
        <v>63762.461129991694</v>
      </c>
      <c r="E16" s="4"/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20"/>
  <sheetViews>
    <sheetView workbookViewId="0">
      <selection activeCell="B20" sqref="B20"/>
    </sheetView>
  </sheetViews>
  <sheetFormatPr baseColWidth="10" defaultColWidth="8.83203125" defaultRowHeight="13"/>
  <cols>
    <col min="1" max="1" width="19" customWidth="1"/>
  </cols>
  <sheetData>
    <row r="1" spans="1:2">
      <c r="A1" s="3" t="s">
        <v>0</v>
      </c>
      <c r="B1" t="s">
        <v>30</v>
      </c>
    </row>
    <row r="2" spans="1:2">
      <c r="A2" s="3">
        <v>0</v>
      </c>
      <c r="B2" s="12">
        <v>-1000</v>
      </c>
    </row>
    <row r="3" spans="1:2">
      <c r="A3" s="3">
        <v>1</v>
      </c>
      <c r="B3">
        <v>150</v>
      </c>
    </row>
    <row r="4" spans="1:2">
      <c r="A4" s="3">
        <v>2</v>
      </c>
      <c r="B4">
        <v>150</v>
      </c>
    </row>
    <row r="5" spans="1:2">
      <c r="A5" s="3">
        <v>3</v>
      </c>
      <c r="B5">
        <v>150</v>
      </c>
    </row>
    <row r="6" spans="1:2">
      <c r="A6" s="3">
        <v>4</v>
      </c>
      <c r="B6">
        <v>150</v>
      </c>
    </row>
    <row r="7" spans="1:2">
      <c r="A7" s="3">
        <v>5</v>
      </c>
      <c r="B7">
        <v>150</v>
      </c>
    </row>
    <row r="8" spans="1:2">
      <c r="A8" s="3">
        <v>6</v>
      </c>
      <c r="B8">
        <v>150</v>
      </c>
    </row>
    <row r="9" spans="1:2">
      <c r="A9" s="3">
        <v>7</v>
      </c>
      <c r="B9">
        <v>150</v>
      </c>
    </row>
    <row r="10" spans="1:2">
      <c r="A10" s="3">
        <v>8</v>
      </c>
      <c r="B10">
        <v>150</v>
      </c>
    </row>
    <row r="11" spans="1:2">
      <c r="A11" s="3">
        <v>9</v>
      </c>
      <c r="B11">
        <v>150</v>
      </c>
    </row>
    <row r="12" spans="1:2">
      <c r="A12" s="3">
        <v>10</v>
      </c>
      <c r="B12">
        <v>150</v>
      </c>
    </row>
    <row r="13" spans="1:2">
      <c r="A13" s="3">
        <v>11</v>
      </c>
      <c r="B13">
        <v>150</v>
      </c>
    </row>
    <row r="14" spans="1:2">
      <c r="A14" s="3">
        <v>12</v>
      </c>
      <c r="B14">
        <v>150</v>
      </c>
    </row>
    <row r="15" spans="1:2">
      <c r="A15" s="3">
        <v>13</v>
      </c>
      <c r="B15">
        <v>150</v>
      </c>
    </row>
    <row r="16" spans="1:2">
      <c r="A16" s="3">
        <v>14</v>
      </c>
      <c r="B16">
        <v>150</v>
      </c>
    </row>
    <row r="17" spans="1:2">
      <c r="A17" s="3">
        <v>15</v>
      </c>
      <c r="B17">
        <v>150</v>
      </c>
    </row>
    <row r="19" spans="1:2">
      <c r="A19" t="s">
        <v>31</v>
      </c>
      <c r="B19" s="24">
        <f>IRR(B2:B17,0)</f>
        <v>0.12403450452820275</v>
      </c>
    </row>
    <row r="20" spans="1:2">
      <c r="A20" t="s">
        <v>32</v>
      </c>
      <c r="B20" s="24">
        <f>RATE(A17,B17,B2)</f>
        <v>0.12403450452820192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9"/>
  <sheetViews>
    <sheetView workbookViewId="0">
      <selection activeCell="I36" sqref="I36"/>
    </sheetView>
  </sheetViews>
  <sheetFormatPr baseColWidth="10" defaultColWidth="9.1640625" defaultRowHeight="13"/>
  <cols>
    <col min="1" max="1" width="22.5" style="26" customWidth="1"/>
    <col min="2" max="2" width="12.33203125" style="26" customWidth="1"/>
    <col min="3" max="3" width="20.5" style="26" bestFit="1" customWidth="1"/>
    <col min="4" max="16384" width="9.1640625" style="26"/>
  </cols>
  <sheetData>
    <row r="1" spans="1:2">
      <c r="A1" s="25" t="s">
        <v>33</v>
      </c>
    </row>
    <row r="2" spans="1:2">
      <c r="A2" s="26" t="s">
        <v>34</v>
      </c>
      <c r="B2" s="27">
        <v>15000</v>
      </c>
    </row>
    <row r="3" spans="1:2">
      <c r="A3" s="26" t="s">
        <v>35</v>
      </c>
      <c r="B3" s="28">
        <v>0.08</v>
      </c>
    </row>
    <row r="4" spans="1:2">
      <c r="A4" s="26" t="s">
        <v>36</v>
      </c>
      <c r="B4" s="28">
        <v>0.06</v>
      </c>
    </row>
    <row r="5" spans="1:2">
      <c r="A5" s="26" t="s">
        <v>37</v>
      </c>
      <c r="B5" s="28">
        <v>0.1</v>
      </c>
    </row>
    <row r="7" spans="1:2" ht="14">
      <c r="B7" s="29" t="s">
        <v>38</v>
      </c>
    </row>
    <row r="8" spans="1:2">
      <c r="A8" s="26" t="s">
        <v>39</v>
      </c>
      <c r="B8" s="27">
        <f>FV(B3,2,0,-B2,1)</f>
        <v>17496</v>
      </c>
    </row>
    <row r="9" spans="1:2">
      <c r="A9" s="26" t="s">
        <v>40</v>
      </c>
      <c r="B9" s="27">
        <f>FV(B5,1,0,-FV(B4,1,0,-B2))</f>
        <v>17490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1A2D3-68A5-3E40-9535-301602F466B0}">
  <dimension ref="A1:B16"/>
  <sheetViews>
    <sheetView workbookViewId="0">
      <selection activeCell="A8" sqref="A8"/>
    </sheetView>
  </sheetViews>
  <sheetFormatPr baseColWidth="10" defaultRowHeight="13"/>
  <cols>
    <col min="1" max="1" width="25.33203125" bestFit="1" customWidth="1"/>
    <col min="2" max="2" width="11.83203125" bestFit="1" customWidth="1"/>
  </cols>
  <sheetData>
    <row r="1" spans="1:2">
      <c r="A1" s="4" t="s">
        <v>1</v>
      </c>
      <c r="B1" s="76">
        <v>0.06</v>
      </c>
    </row>
    <row r="2" spans="1:2">
      <c r="A2" s="4" t="s">
        <v>111</v>
      </c>
      <c r="B2">
        <v>50000</v>
      </c>
    </row>
    <row r="3" spans="1:2">
      <c r="A3" s="4" t="s">
        <v>112</v>
      </c>
      <c r="B3">
        <v>500000</v>
      </c>
    </row>
    <row r="5" spans="1:2">
      <c r="A5" s="4" t="s">
        <v>109</v>
      </c>
    </row>
    <row r="6" spans="1:2">
      <c r="A6" t="s">
        <v>110</v>
      </c>
      <c r="B6" s="73">
        <f>FV(B1,10,B2,-B3,1)</f>
        <v>196841.71632523905</v>
      </c>
    </row>
    <row r="8" spans="1:2">
      <c r="A8" s="4" t="s">
        <v>107</v>
      </c>
    </row>
    <row r="9" spans="1:2">
      <c r="A9" s="4" t="s">
        <v>113</v>
      </c>
      <c r="B9">
        <v>14.326640477961252</v>
      </c>
    </row>
    <row r="10" spans="1:2">
      <c r="A10" t="s">
        <v>110</v>
      </c>
      <c r="B10" s="73">
        <f>FV(B1,B9,B2,-B3,1)</f>
        <v>-9.9450116977095604E-5</v>
      </c>
    </row>
    <row r="12" spans="1:2">
      <c r="A12" s="4" t="s">
        <v>114</v>
      </c>
    </row>
    <row r="13" spans="1:2">
      <c r="A13" s="4" t="s">
        <v>1</v>
      </c>
      <c r="B13" s="76">
        <v>7.0000000000000007E-2</v>
      </c>
    </row>
    <row r="14" spans="1:2">
      <c r="A14" t="s">
        <v>110</v>
      </c>
      <c r="B14" s="73">
        <f>FV(B13,10,B2,-B3,1)</f>
        <v>244395.71271632903</v>
      </c>
    </row>
    <row r="15" spans="1:2">
      <c r="A15" s="4" t="s">
        <v>113</v>
      </c>
      <c r="B15">
        <v>15.695124655879924</v>
      </c>
    </row>
    <row r="16" spans="1:2">
      <c r="A16" t="s">
        <v>110</v>
      </c>
      <c r="B16" s="73">
        <f>FV(B13,B15,B2,-B3,1)</f>
        <v>-2.0790379494428635E-5</v>
      </c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29"/>
  <sheetViews>
    <sheetView workbookViewId="0">
      <selection activeCell="A11" sqref="A11:B11"/>
    </sheetView>
  </sheetViews>
  <sheetFormatPr baseColWidth="10" defaultColWidth="8.83203125" defaultRowHeight="13"/>
  <cols>
    <col min="1" max="1" width="35.83203125" customWidth="1"/>
    <col min="2" max="2" width="10" customWidth="1"/>
    <col min="3" max="3" width="11.6640625" customWidth="1"/>
    <col min="4" max="4" width="17.6640625" bestFit="1" customWidth="1"/>
    <col min="5" max="5" width="21.6640625" customWidth="1"/>
  </cols>
  <sheetData>
    <row r="1" spans="1:6" ht="18">
      <c r="A1" s="78" t="s">
        <v>41</v>
      </c>
      <c r="B1" s="79"/>
      <c r="C1" s="79"/>
      <c r="F1" t="s">
        <v>42</v>
      </c>
    </row>
    <row r="2" spans="1:6" ht="18">
      <c r="A2" s="6" t="s">
        <v>43</v>
      </c>
      <c r="B2" s="30"/>
      <c r="C2" s="30"/>
      <c r="F2" t="s">
        <v>44</v>
      </c>
    </row>
    <row r="3" spans="1:6">
      <c r="A3" t="s">
        <v>45</v>
      </c>
      <c r="B3" s="31">
        <v>1E-3</v>
      </c>
    </row>
    <row r="4" spans="1:6">
      <c r="A4" t="s">
        <v>46</v>
      </c>
      <c r="B4" s="32">
        <v>10</v>
      </c>
    </row>
    <row r="5" spans="1:6">
      <c r="A5" t="s">
        <v>47</v>
      </c>
      <c r="B5">
        <f>65-25</f>
        <v>40</v>
      </c>
      <c r="C5" t="str">
        <f ca="1">"&lt;-- "&amp;_xlfn.FORMULATEXT(B5)</f>
        <v>&lt;-- =65-25</v>
      </c>
    </row>
    <row r="6" spans="1:6">
      <c r="A6" t="s">
        <v>48</v>
      </c>
      <c r="B6">
        <f>B5*52</f>
        <v>2080</v>
      </c>
      <c r="C6" t="str">
        <f ca="1">"&lt;-- "&amp;_xlfn.FORMULATEXT(B6)</f>
        <v>&lt;-- =B5*52</v>
      </c>
    </row>
    <row r="7" spans="1:6">
      <c r="A7" t="s">
        <v>49</v>
      </c>
      <c r="B7" s="15"/>
    </row>
    <row r="8" spans="1:6">
      <c r="B8" s="15"/>
    </row>
    <row r="9" spans="1:6">
      <c r="B9" s="15"/>
    </row>
    <row r="10" spans="1:6">
      <c r="A10" s="6" t="s">
        <v>50</v>
      </c>
      <c r="B10" s="15"/>
      <c r="D10" s="33" t="str">
        <f ca="1">_xlfn.FORMULATEXT(C15)</f>
        <v>=FV($B$11,52,-B15)</v>
      </c>
    </row>
    <row r="11" spans="1:6">
      <c r="A11" s="4" t="s">
        <v>45</v>
      </c>
      <c r="B11" s="24">
        <f>B3</f>
        <v>1E-3</v>
      </c>
    </row>
    <row r="12" spans="1:6">
      <c r="A12" s="4"/>
      <c r="B12" s="24"/>
    </row>
    <row r="13" spans="1:6" ht="28">
      <c r="A13" s="19" t="s">
        <v>51</v>
      </c>
      <c r="B13" s="2" t="s">
        <v>52</v>
      </c>
      <c r="C13" s="2" t="s">
        <v>53</v>
      </c>
      <c r="D13" s="34" t="s">
        <v>54</v>
      </c>
      <c r="E13" s="35"/>
    </row>
    <row r="14" spans="1:6">
      <c r="B14" s="7"/>
      <c r="C14" s="7"/>
      <c r="D14" s="7"/>
      <c r="E14" s="36"/>
    </row>
    <row r="15" spans="1:6">
      <c r="A15" s="37" t="s">
        <v>55</v>
      </c>
      <c r="B15" s="38">
        <v>10</v>
      </c>
      <c r="C15" s="38">
        <f>FV($B$11,52,-B15)</f>
        <v>533.48373344445531</v>
      </c>
      <c r="D15" s="39">
        <f>FV($B$11,$B$6,-B15)</f>
        <v>69961.541337833303</v>
      </c>
      <c r="E15" s="40"/>
    </row>
    <row r="16" spans="1:6">
      <c r="A16" s="37" t="s">
        <v>56</v>
      </c>
      <c r="B16" s="38">
        <v>25</v>
      </c>
      <c r="C16" s="38">
        <f t="shared" ref="C16:C28" si="0">FV($B$11,52,-B16)</f>
        <v>1333.7093336111384</v>
      </c>
      <c r="D16" s="39">
        <f t="shared" ref="D16:D28" si="1">FV($B$11,$B$6,-B16)</f>
        <v>174903.85334458324</v>
      </c>
      <c r="E16" s="40"/>
    </row>
    <row r="17" spans="1:5">
      <c r="A17" s="41" t="s">
        <v>57</v>
      </c>
      <c r="B17" s="38">
        <v>10</v>
      </c>
      <c r="C17" s="38">
        <f t="shared" si="0"/>
        <v>533.48373344445531</v>
      </c>
      <c r="D17" s="39">
        <f t="shared" si="1"/>
        <v>69961.541337833303</v>
      </c>
      <c r="E17" s="40"/>
    </row>
    <row r="18" spans="1:5">
      <c r="A18" s="37" t="s">
        <v>58</v>
      </c>
      <c r="B18" s="38">
        <v>11</v>
      </c>
      <c r="C18" s="38">
        <f t="shared" si="0"/>
        <v>586.83210678890089</v>
      </c>
      <c r="D18" s="39">
        <f t="shared" si="1"/>
        <v>76957.695471616622</v>
      </c>
      <c r="E18" s="40"/>
    </row>
    <row r="19" spans="1:5">
      <c r="A19" s="37" t="s">
        <v>59</v>
      </c>
      <c r="B19" s="38">
        <v>5</v>
      </c>
      <c r="C19" s="38">
        <f t="shared" si="0"/>
        <v>266.74186672222766</v>
      </c>
      <c r="D19" s="39">
        <f t="shared" si="1"/>
        <v>34980.770668916652</v>
      </c>
      <c r="E19" s="40"/>
    </row>
    <row r="20" spans="1:5">
      <c r="A20" s="37" t="s">
        <v>60</v>
      </c>
      <c r="B20" s="38">
        <v>10</v>
      </c>
      <c r="C20" s="38">
        <f t="shared" si="0"/>
        <v>533.48373344445531</v>
      </c>
      <c r="D20" s="39">
        <f t="shared" si="1"/>
        <v>69961.541337833303</v>
      </c>
      <c r="E20" s="40"/>
    </row>
    <row r="21" spans="1:5">
      <c r="A21" s="37" t="s">
        <v>61</v>
      </c>
      <c r="B21" s="38">
        <v>6</v>
      </c>
      <c r="C21" s="38">
        <f t="shared" si="0"/>
        <v>320.09024006667323</v>
      </c>
      <c r="D21" s="39">
        <f t="shared" si="1"/>
        <v>41976.924802699978</v>
      </c>
      <c r="E21" s="40"/>
    </row>
    <row r="22" spans="1:5">
      <c r="A22" s="37" t="s">
        <v>62</v>
      </c>
      <c r="B22" s="38">
        <v>7</v>
      </c>
      <c r="C22" s="38">
        <f t="shared" si="0"/>
        <v>373.43861341111875</v>
      </c>
      <c r="D22" s="39">
        <f t="shared" si="1"/>
        <v>48973.078936483304</v>
      </c>
      <c r="E22" s="40"/>
    </row>
    <row r="23" spans="1:5">
      <c r="A23" s="41" t="s">
        <v>63</v>
      </c>
      <c r="B23" s="38">
        <v>30</v>
      </c>
      <c r="C23" s="38">
        <f t="shared" si="0"/>
        <v>1600.4512003333659</v>
      </c>
      <c r="D23" s="39">
        <f t="shared" si="1"/>
        <v>209884.62401349988</v>
      </c>
      <c r="E23" s="40"/>
    </row>
    <row r="24" spans="1:5">
      <c r="A24" s="37" t="s">
        <v>64</v>
      </c>
      <c r="B24" s="38">
        <v>12</v>
      </c>
      <c r="C24" s="38">
        <f t="shared" si="0"/>
        <v>640.18048013334646</v>
      </c>
      <c r="D24" s="39">
        <f t="shared" si="1"/>
        <v>83953.849605399955</v>
      </c>
      <c r="E24" s="40"/>
    </row>
    <row r="25" spans="1:5">
      <c r="A25" s="37" t="s">
        <v>65</v>
      </c>
      <c r="B25" s="38">
        <v>10</v>
      </c>
      <c r="C25" s="38">
        <f t="shared" si="0"/>
        <v>533.48373344445531</v>
      </c>
      <c r="D25" s="39">
        <f t="shared" si="1"/>
        <v>69961.541337833303</v>
      </c>
      <c r="E25" s="40"/>
    </row>
    <row r="26" spans="1:5">
      <c r="A26" s="37" t="s">
        <v>66</v>
      </c>
      <c r="B26" s="38">
        <v>13</v>
      </c>
      <c r="C26" s="38">
        <f t="shared" si="0"/>
        <v>693.52885347779193</v>
      </c>
      <c r="D26" s="39">
        <f t="shared" si="1"/>
        <v>90950.003739183288</v>
      </c>
      <c r="E26" s="40"/>
    </row>
    <row r="27" spans="1:5">
      <c r="A27" s="37" t="s">
        <v>67</v>
      </c>
      <c r="B27" s="38">
        <v>8</v>
      </c>
      <c r="C27" s="38">
        <f t="shared" si="0"/>
        <v>426.78698675556427</v>
      </c>
      <c r="D27" s="39">
        <f t="shared" si="1"/>
        <v>55969.233070266637</v>
      </c>
      <c r="E27" s="40"/>
    </row>
    <row r="28" spans="1:5">
      <c r="A28" s="37" t="s">
        <v>68</v>
      </c>
      <c r="B28" s="38">
        <v>10</v>
      </c>
      <c r="C28" s="38">
        <f t="shared" si="0"/>
        <v>533.48373344445531</v>
      </c>
      <c r="D28" s="39">
        <f t="shared" si="1"/>
        <v>69961.541337833303</v>
      </c>
      <c r="E28" s="40"/>
    </row>
    <row r="29" spans="1:5">
      <c r="A29" s="42" t="s">
        <v>69</v>
      </c>
      <c r="B29" s="43">
        <f>SUM(B15:B28)</f>
        <v>167</v>
      </c>
      <c r="C29" s="44">
        <f>SUM(C15:C28)</f>
        <v>8909.1783485224041</v>
      </c>
      <c r="D29" s="44">
        <f>SUM(D15:D28)</f>
        <v>1168357.7403418159</v>
      </c>
    </row>
  </sheetData>
  <mergeCells count="1">
    <mergeCell ref="A1:C1"/>
  </mergeCells>
  <phoneticPr fontId="13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C5BA0-8EF3-DD41-B3B4-2527C7CBA5CC}">
  <dimension ref="A1:B5"/>
  <sheetViews>
    <sheetView workbookViewId="0">
      <selection sqref="A1:B1"/>
    </sheetView>
  </sheetViews>
  <sheetFormatPr baseColWidth="10" defaultRowHeight="13"/>
  <sheetData>
    <row r="1" spans="1:2">
      <c r="A1" s="4" t="s">
        <v>1</v>
      </c>
      <c r="B1" s="76">
        <v>0.11</v>
      </c>
    </row>
    <row r="2" spans="1:2">
      <c r="A2" t="s">
        <v>115</v>
      </c>
      <c r="B2">
        <v>100000</v>
      </c>
    </row>
    <row r="3" spans="1:2">
      <c r="A3" s="4" t="s">
        <v>118</v>
      </c>
      <c r="B3">
        <v>6000</v>
      </c>
    </row>
    <row r="4" spans="1:2">
      <c r="A4" s="4" t="s">
        <v>116</v>
      </c>
      <c r="B4">
        <f>B2/2</f>
        <v>50000</v>
      </c>
    </row>
    <row r="5" spans="1:2">
      <c r="A5" s="4" t="s">
        <v>117</v>
      </c>
      <c r="B5">
        <f>B3/B1</f>
        <v>54545.454545454544</v>
      </c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BB9F0-FCE6-0645-B964-E713438AFFD3}">
  <dimension ref="A1:C17"/>
  <sheetViews>
    <sheetView workbookViewId="0">
      <selection activeCell="C17" sqref="C17"/>
    </sheetView>
  </sheetViews>
  <sheetFormatPr baseColWidth="10" defaultRowHeight="13"/>
  <sheetData>
    <row r="1" spans="1:2">
      <c r="A1" s="4" t="s">
        <v>1</v>
      </c>
      <c r="B1" s="77">
        <f>IRR(B4:B14,0)</f>
        <v>8.1441656464364076E-2</v>
      </c>
    </row>
    <row r="3" spans="1:2">
      <c r="A3" s="4" t="s">
        <v>105</v>
      </c>
      <c r="B3" s="4" t="s">
        <v>104</v>
      </c>
    </row>
    <row r="4" spans="1:2">
      <c r="A4">
        <v>0</v>
      </c>
      <c r="B4">
        <v>10000</v>
      </c>
    </row>
    <row r="5" spans="1:2">
      <c r="A5">
        <v>1</v>
      </c>
      <c r="B5">
        <v>-1500</v>
      </c>
    </row>
    <row r="6" spans="1:2">
      <c r="A6">
        <v>2</v>
      </c>
      <c r="B6">
        <v>-1500</v>
      </c>
    </row>
    <row r="7" spans="1:2">
      <c r="A7">
        <v>3</v>
      </c>
      <c r="B7">
        <v>-1500</v>
      </c>
    </row>
    <row r="8" spans="1:2">
      <c r="A8">
        <v>4</v>
      </c>
      <c r="B8">
        <v>-1500</v>
      </c>
    </row>
    <row r="9" spans="1:2">
      <c r="A9">
        <v>5</v>
      </c>
      <c r="B9">
        <v>-1500</v>
      </c>
    </row>
    <row r="10" spans="1:2">
      <c r="A10">
        <v>6</v>
      </c>
      <c r="B10">
        <v>-1500</v>
      </c>
    </row>
    <row r="11" spans="1:2">
      <c r="A11">
        <v>7</v>
      </c>
      <c r="B11">
        <v>-1500</v>
      </c>
    </row>
    <row r="12" spans="1:2">
      <c r="A12">
        <v>8</v>
      </c>
      <c r="B12">
        <v>-1500</v>
      </c>
    </row>
    <row r="13" spans="1:2">
      <c r="A13">
        <v>9</v>
      </c>
      <c r="B13">
        <v>-1500</v>
      </c>
    </row>
    <row r="14" spans="1:2">
      <c r="A14">
        <v>10</v>
      </c>
      <c r="B14">
        <v>-1500</v>
      </c>
    </row>
    <row r="17" spans="3:3">
      <c r="C17" s="73"/>
    </row>
  </sheetData>
  <phoneticPr fontId="1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180D0-C2A5-484B-9143-5404AEFDAAF1}">
  <dimension ref="A1:C17"/>
  <sheetViews>
    <sheetView workbookViewId="0">
      <selection activeCell="A9" sqref="A9"/>
    </sheetView>
  </sheetViews>
  <sheetFormatPr baseColWidth="10" defaultRowHeight="13"/>
  <sheetData>
    <row r="1" spans="1:2">
      <c r="A1" s="4" t="s">
        <v>1</v>
      </c>
      <c r="B1" s="77">
        <v>0.05</v>
      </c>
    </row>
    <row r="3" spans="1:2">
      <c r="A3" s="4" t="s">
        <v>109</v>
      </c>
      <c r="B3" s="4"/>
    </row>
    <row r="4" spans="1:2">
      <c r="A4" s="4" t="s">
        <v>119</v>
      </c>
      <c r="B4">
        <v>5000</v>
      </c>
    </row>
    <row r="6" spans="1:2">
      <c r="A6" s="4" t="s">
        <v>107</v>
      </c>
    </row>
    <row r="7" spans="1:2">
      <c r="A7" s="4" t="s">
        <v>119</v>
      </c>
      <c r="B7" s="73">
        <f>PV(B1,5,0,-10000)</f>
        <v>7835.2616646845891</v>
      </c>
    </row>
    <row r="9" spans="1:2">
      <c r="A9" s="4" t="s">
        <v>114</v>
      </c>
    </row>
    <row r="10" spans="1:2">
      <c r="A10" s="4" t="s">
        <v>119</v>
      </c>
      <c r="B10" s="73">
        <f>PV(B1,4,0,-9000)</f>
        <v>7404.3222731269379</v>
      </c>
    </row>
    <row r="12" spans="1:2">
      <c r="A12" s="4" t="s">
        <v>120</v>
      </c>
    </row>
    <row r="13" spans="1:2">
      <c r="A13" s="4" t="s">
        <v>119</v>
      </c>
      <c r="B13" s="4">
        <f>300/B1</f>
        <v>6000</v>
      </c>
    </row>
    <row r="17" spans="3:3">
      <c r="C17" s="73"/>
    </row>
  </sheetData>
  <phoneticPr fontId="1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A84EF-E1BA-0A4A-BA35-B5A6E30E7F80}">
  <dimension ref="A1:B13"/>
  <sheetViews>
    <sheetView workbookViewId="0">
      <selection activeCell="B2" sqref="B2"/>
    </sheetView>
  </sheetViews>
  <sheetFormatPr baseColWidth="10" defaultRowHeight="13"/>
  <sheetData>
    <row r="1" spans="1:2">
      <c r="A1" s="4" t="s">
        <v>1</v>
      </c>
      <c r="B1" s="77">
        <f>B4/B3</f>
        <v>2.5000000000000001E-2</v>
      </c>
    </row>
    <row r="3" spans="1:2">
      <c r="A3" s="4" t="s">
        <v>119</v>
      </c>
      <c r="B3" s="4">
        <v>10000</v>
      </c>
    </row>
    <row r="4" spans="1:2">
      <c r="A4" s="4" t="s">
        <v>118</v>
      </c>
      <c r="B4">
        <v>250</v>
      </c>
    </row>
    <row r="6" spans="1:2">
      <c r="A6" s="4"/>
    </row>
    <row r="7" spans="1:2">
      <c r="A7" s="4"/>
      <c r="B7" s="73"/>
    </row>
    <row r="9" spans="1:2">
      <c r="A9" s="4"/>
    </row>
    <row r="10" spans="1:2">
      <c r="A10" s="4"/>
      <c r="B10" s="73"/>
    </row>
    <row r="12" spans="1:2">
      <c r="A12" s="4"/>
    </row>
    <row r="13" spans="1:2">
      <c r="A13" s="4"/>
      <c r="B13" s="4"/>
    </row>
  </sheetData>
  <phoneticPr fontId="1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18"/>
  <sheetViews>
    <sheetView workbookViewId="0">
      <selection activeCell="E17" sqref="E17"/>
    </sheetView>
  </sheetViews>
  <sheetFormatPr baseColWidth="10" defaultColWidth="9.1640625" defaultRowHeight="13"/>
  <cols>
    <col min="1" max="1" width="19.1640625" style="26" customWidth="1"/>
    <col min="2" max="2" width="17.5" style="26" customWidth="1"/>
    <col min="3" max="3" width="7.5" style="26" bestFit="1" customWidth="1"/>
    <col min="4" max="4" width="25.33203125" style="26" bestFit="1" customWidth="1"/>
    <col min="5" max="5" width="18.6640625" style="26" bestFit="1" customWidth="1"/>
    <col min="6" max="6" width="9.1640625" style="26" customWidth="1"/>
    <col min="7" max="16384" width="9.1640625" style="26"/>
  </cols>
  <sheetData>
    <row r="1" spans="1:5">
      <c r="A1" s="26" t="s">
        <v>70</v>
      </c>
      <c r="B1" s="26">
        <v>40</v>
      </c>
    </row>
    <row r="2" spans="1:5">
      <c r="A2" s="26" t="s">
        <v>71</v>
      </c>
      <c r="B2" s="26">
        <v>20</v>
      </c>
    </row>
    <row r="3" spans="1:5">
      <c r="A3" s="26" t="s">
        <v>72</v>
      </c>
      <c r="B3" s="27">
        <v>40000</v>
      </c>
    </row>
    <row r="4" spans="1:5">
      <c r="A4" s="26" t="s">
        <v>73</v>
      </c>
      <c r="B4" s="45">
        <v>0.04</v>
      </c>
    </row>
    <row r="5" spans="1:5">
      <c r="A5" s="26" t="s">
        <v>74</v>
      </c>
      <c r="B5" s="45">
        <v>0.1</v>
      </c>
    </row>
    <row r="7" spans="1:5">
      <c r="A7" s="26" t="s">
        <v>0</v>
      </c>
      <c r="B7" s="26" t="s">
        <v>75</v>
      </c>
      <c r="C7" s="26" t="s">
        <v>76</v>
      </c>
      <c r="D7" s="26" t="s">
        <v>121</v>
      </c>
      <c r="E7" s="26" t="s">
        <v>77</v>
      </c>
    </row>
    <row r="8" spans="1:5">
      <c r="A8" s="46">
        <v>1</v>
      </c>
      <c r="B8" s="27">
        <f>B3*(1+B4)</f>
        <v>41600</v>
      </c>
      <c r="C8" s="47">
        <v>8</v>
      </c>
      <c r="D8" s="27">
        <f>PV($B$5,$B$2,B8,0,0)*C8</f>
        <v>-2833314.0059356503</v>
      </c>
      <c r="E8" s="27">
        <f>PV($B$5,A8,0,-D8)</f>
        <v>-2575740.0053960457</v>
      </c>
    </row>
    <row r="9" spans="1:5">
      <c r="A9" s="46">
        <v>2</v>
      </c>
      <c r="B9" s="27">
        <f>B8*(1+$B$4)</f>
        <v>43264</v>
      </c>
      <c r="C9" s="47">
        <v>0</v>
      </c>
      <c r="D9" s="27">
        <f t="shared" ref="D9:D16" si="0">PV($B$5,$B$2,B9,0,0)*C9</f>
        <v>0</v>
      </c>
      <c r="E9" s="27">
        <f t="shared" ref="E9:E16" si="1">PV($B$5,A9,0,-D9)</f>
        <v>0</v>
      </c>
    </row>
    <row r="10" spans="1:5">
      <c r="A10" s="46">
        <v>3</v>
      </c>
      <c r="B10" s="27">
        <f t="shared" ref="B10:B16" si="2">B9*(1+$B$4)</f>
        <v>44994.560000000005</v>
      </c>
      <c r="C10" s="47">
        <v>8</v>
      </c>
      <c r="D10" s="27">
        <f t="shared" si="0"/>
        <v>-3064512.42882</v>
      </c>
      <c r="E10" s="27">
        <f t="shared" si="1"/>
        <v>-2302413.5453193081</v>
      </c>
    </row>
    <row r="11" spans="1:5">
      <c r="A11" s="46">
        <v>4</v>
      </c>
      <c r="B11" s="27">
        <f t="shared" si="2"/>
        <v>46794.342400000009</v>
      </c>
      <c r="C11" s="47">
        <v>0</v>
      </c>
      <c r="D11" s="27">
        <f t="shared" si="0"/>
        <v>0</v>
      </c>
      <c r="E11" s="27">
        <f t="shared" si="1"/>
        <v>0</v>
      </c>
    </row>
    <row r="12" spans="1:5">
      <c r="A12" s="46">
        <v>5</v>
      </c>
      <c r="B12" s="27">
        <f t="shared" si="2"/>
        <v>48666.116096000012</v>
      </c>
      <c r="C12" s="47">
        <v>8</v>
      </c>
      <c r="D12" s="27">
        <f t="shared" si="0"/>
        <v>-3314576.6430117125</v>
      </c>
      <c r="E12" s="27">
        <f t="shared" si="1"/>
        <v>-2058091.314559805</v>
      </c>
    </row>
    <row r="13" spans="1:5">
      <c r="A13" s="46">
        <v>6</v>
      </c>
      <c r="B13" s="27">
        <f t="shared" si="2"/>
        <v>50612.760739840014</v>
      </c>
      <c r="C13" s="47">
        <v>0</v>
      </c>
      <c r="D13" s="27">
        <f t="shared" si="0"/>
        <v>0</v>
      </c>
      <c r="E13" s="27">
        <f t="shared" si="1"/>
        <v>0</v>
      </c>
    </row>
    <row r="14" spans="1:5">
      <c r="A14" s="46">
        <v>7</v>
      </c>
      <c r="B14" s="27">
        <f t="shared" si="2"/>
        <v>52637.271169433618</v>
      </c>
      <c r="C14" s="47">
        <v>8</v>
      </c>
      <c r="D14" s="27">
        <f t="shared" si="0"/>
        <v>-3585046.097081468</v>
      </c>
      <c r="E14" s="27">
        <f t="shared" si="1"/>
        <v>-1839695.5089486646</v>
      </c>
    </row>
    <row r="15" spans="1:5">
      <c r="A15" s="46">
        <v>8</v>
      </c>
      <c r="B15" s="27">
        <f t="shared" si="2"/>
        <v>54742.762016210967</v>
      </c>
      <c r="C15" s="47">
        <v>0</v>
      </c>
      <c r="D15" s="27">
        <f t="shared" si="0"/>
        <v>0</v>
      </c>
      <c r="E15" s="27">
        <f t="shared" si="1"/>
        <v>0</v>
      </c>
    </row>
    <row r="16" spans="1:5">
      <c r="A16" s="46">
        <v>9</v>
      </c>
      <c r="B16" s="27">
        <f t="shared" si="2"/>
        <v>56932.472496859409</v>
      </c>
      <c r="C16" s="47">
        <v>8</v>
      </c>
      <c r="D16" s="27">
        <f t="shared" si="0"/>
        <v>-3877585.8586033164</v>
      </c>
      <c r="E16" s="27">
        <f t="shared" si="1"/>
        <v>-1644474.9276684925</v>
      </c>
    </row>
    <row r="17" spans="2:5">
      <c r="D17" s="27">
        <f>SUM(D8:D16)</f>
        <v>-16675035.033452146</v>
      </c>
      <c r="E17" s="27">
        <f>SUM(E8:E16)</f>
        <v>-10420415.301892316</v>
      </c>
    </row>
    <row r="18" spans="2:5" s="25" customFormat="1">
      <c r="B18" s="25" t="s">
        <v>78</v>
      </c>
      <c r="C18" s="48">
        <f>SUM(C8:C16)</f>
        <v>40</v>
      </c>
      <c r="D18" s="26"/>
      <c r="E18" s="49"/>
    </row>
  </sheetData>
  <phoneticPr fontId="1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39"/>
  <sheetViews>
    <sheetView workbookViewId="0">
      <selection activeCell="E36" sqref="E36"/>
    </sheetView>
  </sheetViews>
  <sheetFormatPr baseColWidth="10" defaultColWidth="8.83203125" defaultRowHeight="13"/>
  <cols>
    <col min="1" max="1" width="26.83203125" customWidth="1"/>
    <col min="2" max="2" width="13.33203125" customWidth="1"/>
    <col min="3" max="3" width="13.5" customWidth="1"/>
    <col min="4" max="4" width="11.83203125" bestFit="1" customWidth="1"/>
    <col min="5" max="5" width="13.5" bestFit="1" customWidth="1"/>
    <col min="6" max="6" width="14.33203125" bestFit="1" customWidth="1"/>
    <col min="7" max="7" width="25.83203125" bestFit="1" customWidth="1"/>
    <col min="8" max="8" width="9.6640625" bestFit="1" customWidth="1"/>
  </cols>
  <sheetData>
    <row r="1" spans="1:6" ht="16">
      <c r="A1" s="80" t="s">
        <v>79</v>
      </c>
      <c r="B1" s="80"/>
      <c r="C1" s="80"/>
      <c r="D1" s="80"/>
      <c r="E1" s="80"/>
      <c r="F1" s="80"/>
    </row>
    <row r="2" spans="1:6">
      <c r="A2" t="s">
        <v>80</v>
      </c>
      <c r="B2" s="12">
        <v>100000</v>
      </c>
    </row>
    <row r="3" spans="1:6">
      <c r="A3" t="s">
        <v>6</v>
      </c>
      <c r="B3" s="50">
        <v>37411.428419729928</v>
      </c>
      <c r="C3" s="51" t="s">
        <v>81</v>
      </c>
    </row>
    <row r="4" spans="1:6">
      <c r="A4" t="s">
        <v>1</v>
      </c>
      <c r="B4" s="1">
        <v>0.05</v>
      </c>
    </row>
    <row r="5" spans="1:6">
      <c r="B5" s="1"/>
    </row>
    <row r="6" spans="1:6" s="11" customFormat="1" ht="56">
      <c r="A6" s="9" t="s">
        <v>82</v>
      </c>
      <c r="B6" s="10" t="s">
        <v>83</v>
      </c>
      <c r="C6" s="10" t="s">
        <v>84</v>
      </c>
      <c r="D6" s="10" t="s">
        <v>85</v>
      </c>
      <c r="E6" s="10" t="s">
        <v>86</v>
      </c>
    </row>
    <row r="7" spans="1:6">
      <c r="A7" s="3">
        <v>55</v>
      </c>
      <c r="B7" s="50">
        <v>500000</v>
      </c>
      <c r="C7" s="50">
        <f>$B$3</f>
        <v>37411.428419729928</v>
      </c>
      <c r="D7" s="50">
        <f>(B7+C7)*$B$4</f>
        <v>26870.571420986496</v>
      </c>
      <c r="E7" s="50">
        <f>B7+C7+D7</f>
        <v>564281.99984071637</v>
      </c>
      <c r="F7" t="str">
        <f ca="1">getformula(E7)</f>
        <v>&lt;-- =B7+C7+D7</v>
      </c>
    </row>
    <row r="8" spans="1:6">
      <c r="A8" s="3">
        <v>56</v>
      </c>
      <c r="B8" s="50">
        <f>E7</f>
        <v>564281.99984071637</v>
      </c>
      <c r="C8" s="50">
        <f t="shared" ref="C8:C16" si="0">$B$3</f>
        <v>37411.428419729928</v>
      </c>
      <c r="D8" s="50">
        <f t="shared" ref="D8:D36" si="1">(B8+C8)*$B$4</f>
        <v>30084.671413022315</v>
      </c>
      <c r="E8" s="50">
        <f t="shared" ref="E8:E36" si="2">B8+C8+D8</f>
        <v>631778.09967346862</v>
      </c>
      <c r="F8" t="str">
        <f ca="1">getformula(E8)</f>
        <v>&lt;-- =B8+C8+D8</v>
      </c>
    </row>
    <row r="9" spans="1:6">
      <c r="A9" s="3">
        <v>57</v>
      </c>
      <c r="B9" s="50">
        <f t="shared" ref="B9:B36" si="3">E8</f>
        <v>631778.09967346862</v>
      </c>
      <c r="C9" s="50">
        <f t="shared" si="0"/>
        <v>37411.428419729928</v>
      </c>
      <c r="D9" s="50">
        <f t="shared" si="1"/>
        <v>33459.47640465993</v>
      </c>
      <c r="E9" s="50">
        <f t="shared" si="2"/>
        <v>702649.00449785846</v>
      </c>
    </row>
    <row r="10" spans="1:6">
      <c r="A10" s="3">
        <v>58</v>
      </c>
      <c r="B10" s="50">
        <f t="shared" si="3"/>
        <v>702649.00449785846</v>
      </c>
      <c r="C10" s="50">
        <f t="shared" si="0"/>
        <v>37411.428419729928</v>
      </c>
      <c r="D10" s="50">
        <f t="shared" si="1"/>
        <v>37003.021645879424</v>
      </c>
      <c r="E10" s="50">
        <f t="shared" si="2"/>
        <v>777063.45456346776</v>
      </c>
    </row>
    <row r="11" spans="1:6">
      <c r="A11" s="3">
        <v>59</v>
      </c>
      <c r="B11" s="50">
        <f t="shared" si="3"/>
        <v>777063.45456346776</v>
      </c>
      <c r="C11" s="50">
        <f t="shared" si="0"/>
        <v>37411.428419729928</v>
      </c>
      <c r="D11" s="50">
        <f t="shared" si="1"/>
        <v>40723.744149159887</v>
      </c>
      <c r="E11" s="50">
        <f t="shared" si="2"/>
        <v>855198.62713235756</v>
      </c>
    </row>
    <row r="12" spans="1:6">
      <c r="A12" s="3">
        <v>60</v>
      </c>
      <c r="B12" s="50">
        <f t="shared" si="3"/>
        <v>855198.62713235756</v>
      </c>
      <c r="C12" s="50">
        <f t="shared" si="0"/>
        <v>37411.428419729928</v>
      </c>
      <c r="D12" s="50">
        <f t="shared" si="1"/>
        <v>44630.502777604379</v>
      </c>
      <c r="E12" s="50">
        <f t="shared" si="2"/>
        <v>937240.55832969188</v>
      </c>
    </row>
    <row r="13" spans="1:6">
      <c r="A13" s="3">
        <v>61</v>
      </c>
      <c r="B13" s="50">
        <f t="shared" si="3"/>
        <v>937240.55832969188</v>
      </c>
      <c r="C13" s="50">
        <f t="shared" si="0"/>
        <v>37411.428419729928</v>
      </c>
      <c r="D13" s="50">
        <f t="shared" si="1"/>
        <v>48732.599337471096</v>
      </c>
      <c r="E13" s="50">
        <f t="shared" si="2"/>
        <v>1023384.5860868929</v>
      </c>
    </row>
    <row r="14" spans="1:6">
      <c r="A14" s="3">
        <v>62</v>
      </c>
      <c r="B14" s="50">
        <f t="shared" si="3"/>
        <v>1023384.5860868929</v>
      </c>
      <c r="C14" s="50">
        <f t="shared" si="0"/>
        <v>37411.428419729928</v>
      </c>
      <c r="D14" s="50">
        <f t="shared" si="1"/>
        <v>53039.800725331137</v>
      </c>
      <c r="E14" s="50">
        <f t="shared" si="2"/>
        <v>1113835.8152319537</v>
      </c>
    </row>
    <row r="15" spans="1:6">
      <c r="A15" s="3">
        <v>63</v>
      </c>
      <c r="B15" s="50">
        <f t="shared" si="3"/>
        <v>1113835.8152319537</v>
      </c>
      <c r="C15" s="50">
        <f t="shared" si="0"/>
        <v>37411.428419729928</v>
      </c>
      <c r="D15" s="50">
        <f t="shared" si="1"/>
        <v>57562.362182584184</v>
      </c>
      <c r="E15" s="50">
        <f t="shared" si="2"/>
        <v>1208809.6058342678</v>
      </c>
    </row>
    <row r="16" spans="1:6">
      <c r="A16" s="3">
        <v>64</v>
      </c>
      <c r="B16" s="50">
        <f t="shared" si="3"/>
        <v>1208809.6058342678</v>
      </c>
      <c r="C16" s="50">
        <f t="shared" si="0"/>
        <v>37411.428419729928</v>
      </c>
      <c r="D16" s="50">
        <f t="shared" si="1"/>
        <v>62311.051712699889</v>
      </c>
      <c r="E16" s="50">
        <f t="shared" si="2"/>
        <v>1308532.0859666977</v>
      </c>
    </row>
    <row r="17" spans="1:7">
      <c r="A17" s="3">
        <v>65</v>
      </c>
      <c r="B17" s="50">
        <f t="shared" si="3"/>
        <v>1308532.0859666977</v>
      </c>
      <c r="C17" s="50">
        <f>-$B$2</f>
        <v>-100000</v>
      </c>
      <c r="D17" s="50">
        <f t="shared" si="1"/>
        <v>60426.604298334889</v>
      </c>
      <c r="E17" s="50">
        <f t="shared" si="2"/>
        <v>1268958.6902650325</v>
      </c>
      <c r="G17" s="15"/>
    </row>
    <row r="18" spans="1:7">
      <c r="A18" s="3">
        <v>66</v>
      </c>
      <c r="B18" s="50">
        <f t="shared" si="3"/>
        <v>1268958.6902650325</v>
      </c>
      <c r="C18" s="50">
        <f t="shared" ref="C18:C36" si="4">-$B$2</f>
        <v>-100000</v>
      </c>
      <c r="D18" s="50">
        <f t="shared" si="1"/>
        <v>58447.934513251625</v>
      </c>
      <c r="E18" s="50">
        <f t="shared" si="2"/>
        <v>1227406.624778284</v>
      </c>
    </row>
    <row r="19" spans="1:7">
      <c r="A19" s="3">
        <v>67</v>
      </c>
      <c r="B19" s="50">
        <f t="shared" si="3"/>
        <v>1227406.624778284</v>
      </c>
      <c r="C19" s="50">
        <f t="shared" si="4"/>
        <v>-100000</v>
      </c>
      <c r="D19" s="50">
        <f t="shared" si="1"/>
        <v>56370.331238914201</v>
      </c>
      <c r="E19" s="50">
        <f t="shared" si="2"/>
        <v>1183776.9560171983</v>
      </c>
    </row>
    <row r="20" spans="1:7">
      <c r="A20" s="3">
        <v>68</v>
      </c>
      <c r="B20" s="50">
        <f t="shared" si="3"/>
        <v>1183776.9560171983</v>
      </c>
      <c r="C20" s="50">
        <f t="shared" si="4"/>
        <v>-100000</v>
      </c>
      <c r="D20" s="50">
        <f t="shared" si="1"/>
        <v>54188.84780085992</v>
      </c>
      <c r="E20" s="50">
        <f t="shared" si="2"/>
        <v>1137965.8038180582</v>
      </c>
    </row>
    <row r="21" spans="1:7">
      <c r="A21" s="3">
        <v>69</v>
      </c>
      <c r="B21" s="50">
        <f t="shared" si="3"/>
        <v>1137965.8038180582</v>
      </c>
      <c r="C21" s="50">
        <f t="shared" si="4"/>
        <v>-100000</v>
      </c>
      <c r="D21" s="50">
        <f t="shared" si="1"/>
        <v>51898.290190902917</v>
      </c>
      <c r="E21" s="50">
        <f t="shared" si="2"/>
        <v>1089864.0940089612</v>
      </c>
    </row>
    <row r="22" spans="1:7">
      <c r="A22" s="3">
        <v>70</v>
      </c>
      <c r="B22" s="50">
        <f t="shared" si="3"/>
        <v>1089864.0940089612</v>
      </c>
      <c r="C22" s="50">
        <f t="shared" si="4"/>
        <v>-100000</v>
      </c>
      <c r="D22" s="50">
        <f t="shared" si="1"/>
        <v>49493.204700448063</v>
      </c>
      <c r="E22" s="50">
        <f t="shared" si="2"/>
        <v>1039357.2987094093</v>
      </c>
    </row>
    <row r="23" spans="1:7">
      <c r="A23" s="3">
        <v>71</v>
      </c>
      <c r="B23" s="50">
        <f t="shared" si="3"/>
        <v>1039357.2987094093</v>
      </c>
      <c r="C23" s="50">
        <f t="shared" si="4"/>
        <v>-100000</v>
      </c>
      <c r="D23" s="50">
        <f t="shared" si="1"/>
        <v>46967.864935470468</v>
      </c>
      <c r="E23" s="50">
        <f t="shared" si="2"/>
        <v>986325.16364487982</v>
      </c>
    </row>
    <row r="24" spans="1:7">
      <c r="A24" s="3">
        <v>72</v>
      </c>
      <c r="B24" s="50">
        <f t="shared" si="3"/>
        <v>986325.16364487982</v>
      </c>
      <c r="C24" s="50">
        <f t="shared" si="4"/>
        <v>-100000</v>
      </c>
      <c r="D24" s="50">
        <f t="shared" si="1"/>
        <v>44316.258182243997</v>
      </c>
      <c r="E24" s="50">
        <f t="shared" si="2"/>
        <v>930641.42182712385</v>
      </c>
    </row>
    <row r="25" spans="1:7">
      <c r="A25" s="3">
        <v>73</v>
      </c>
      <c r="B25" s="50">
        <f t="shared" si="3"/>
        <v>930641.42182712385</v>
      </c>
      <c r="C25" s="50">
        <f t="shared" si="4"/>
        <v>-100000</v>
      </c>
      <c r="D25" s="50">
        <f t="shared" si="1"/>
        <v>41532.071091356192</v>
      </c>
      <c r="E25" s="50">
        <f t="shared" si="2"/>
        <v>872173.49291848007</v>
      </c>
    </row>
    <row r="26" spans="1:7">
      <c r="A26" s="3">
        <v>74</v>
      </c>
      <c r="B26" s="50">
        <f t="shared" si="3"/>
        <v>872173.49291848007</v>
      </c>
      <c r="C26" s="50">
        <f t="shared" si="4"/>
        <v>-100000</v>
      </c>
      <c r="D26" s="50">
        <f t="shared" si="1"/>
        <v>38608.674645924002</v>
      </c>
      <c r="E26" s="50">
        <f t="shared" si="2"/>
        <v>810782.16756440408</v>
      </c>
    </row>
    <row r="27" spans="1:7">
      <c r="A27" s="3">
        <v>75</v>
      </c>
      <c r="B27" s="50">
        <f t="shared" si="3"/>
        <v>810782.16756440408</v>
      </c>
      <c r="C27" s="50">
        <f t="shared" si="4"/>
        <v>-100000</v>
      </c>
      <c r="D27" s="50">
        <f t="shared" si="1"/>
        <v>35539.108378220204</v>
      </c>
      <c r="E27" s="50">
        <f t="shared" si="2"/>
        <v>746321.27594262431</v>
      </c>
    </row>
    <row r="28" spans="1:7">
      <c r="A28" s="3">
        <v>76</v>
      </c>
      <c r="B28" s="50">
        <f t="shared" si="3"/>
        <v>746321.27594262431</v>
      </c>
      <c r="C28" s="50">
        <f t="shared" si="4"/>
        <v>-100000</v>
      </c>
      <c r="D28" s="50">
        <f t="shared" si="1"/>
        <v>32316.063797131217</v>
      </c>
      <c r="E28" s="50">
        <f t="shared" si="2"/>
        <v>678637.33973975549</v>
      </c>
    </row>
    <row r="29" spans="1:7">
      <c r="A29" s="3">
        <v>77</v>
      </c>
      <c r="B29" s="50">
        <f t="shared" si="3"/>
        <v>678637.33973975549</v>
      </c>
      <c r="C29" s="50">
        <f t="shared" si="4"/>
        <v>-100000</v>
      </c>
      <c r="D29" s="50">
        <f t="shared" si="1"/>
        <v>28931.866986987778</v>
      </c>
      <c r="E29" s="50">
        <f t="shared" si="2"/>
        <v>607569.20672674326</v>
      </c>
    </row>
    <row r="30" spans="1:7">
      <c r="A30" s="3">
        <v>78</v>
      </c>
      <c r="B30" s="50">
        <f t="shared" si="3"/>
        <v>607569.20672674326</v>
      </c>
      <c r="C30" s="50">
        <f t="shared" si="4"/>
        <v>-100000</v>
      </c>
      <c r="D30" s="50">
        <f t="shared" si="1"/>
        <v>25378.460336337164</v>
      </c>
      <c r="E30" s="50">
        <f t="shared" si="2"/>
        <v>532947.66706308047</v>
      </c>
    </row>
    <row r="31" spans="1:7">
      <c r="A31" s="3">
        <v>79</v>
      </c>
      <c r="B31" s="50">
        <f t="shared" si="3"/>
        <v>532947.66706308047</v>
      </c>
      <c r="C31" s="50">
        <f t="shared" si="4"/>
        <v>-100000</v>
      </c>
      <c r="D31" s="50">
        <f t="shared" si="1"/>
        <v>21647.383353154026</v>
      </c>
      <c r="E31" s="50">
        <f t="shared" si="2"/>
        <v>454595.05041623447</v>
      </c>
    </row>
    <row r="32" spans="1:7">
      <c r="A32" s="3">
        <v>80</v>
      </c>
      <c r="B32" s="50">
        <f t="shared" si="3"/>
        <v>454595.05041623447</v>
      </c>
      <c r="C32" s="50">
        <f t="shared" si="4"/>
        <v>-100000</v>
      </c>
      <c r="D32" s="50">
        <f t="shared" si="1"/>
        <v>17729.752520811726</v>
      </c>
      <c r="E32" s="50">
        <f t="shared" si="2"/>
        <v>372324.80293704622</v>
      </c>
    </row>
    <row r="33" spans="1:5">
      <c r="A33" s="3">
        <v>81</v>
      </c>
      <c r="B33" s="50">
        <f t="shared" si="3"/>
        <v>372324.80293704622</v>
      </c>
      <c r="C33" s="50">
        <f t="shared" si="4"/>
        <v>-100000</v>
      </c>
      <c r="D33" s="50">
        <f t="shared" si="1"/>
        <v>13616.240146852311</v>
      </c>
      <c r="E33" s="50">
        <f t="shared" si="2"/>
        <v>285941.04308389855</v>
      </c>
    </row>
    <row r="34" spans="1:5">
      <c r="A34" s="3">
        <v>82</v>
      </c>
      <c r="B34" s="50">
        <f t="shared" si="3"/>
        <v>285941.04308389855</v>
      </c>
      <c r="C34" s="50">
        <f t="shared" si="4"/>
        <v>-100000</v>
      </c>
      <c r="D34" s="50">
        <f t="shared" si="1"/>
        <v>9297.0521541949274</v>
      </c>
      <c r="E34" s="50">
        <f t="shared" si="2"/>
        <v>195238.09523809346</v>
      </c>
    </row>
    <row r="35" spans="1:5">
      <c r="A35" s="3">
        <v>83</v>
      </c>
      <c r="B35" s="50">
        <f t="shared" si="3"/>
        <v>195238.09523809346</v>
      </c>
      <c r="C35" s="50">
        <f t="shared" si="4"/>
        <v>-100000</v>
      </c>
      <c r="D35" s="50">
        <f t="shared" si="1"/>
        <v>4761.9047619046733</v>
      </c>
      <c r="E35" s="50">
        <f t="shared" si="2"/>
        <v>99999.999999998137</v>
      </c>
    </row>
    <row r="36" spans="1:5">
      <c r="A36" s="3">
        <v>84</v>
      </c>
      <c r="B36" s="50">
        <f t="shared" si="3"/>
        <v>99999.999999998137</v>
      </c>
      <c r="C36" s="50">
        <f t="shared" si="4"/>
        <v>-100000</v>
      </c>
      <c r="D36" s="50">
        <f t="shared" si="1"/>
        <v>-9.3132257461547857E-11</v>
      </c>
      <c r="E36" s="50">
        <f t="shared" si="2"/>
        <v>-1.955777406692505E-9</v>
      </c>
    </row>
    <row r="37" spans="1:5">
      <c r="A37" s="3"/>
      <c r="B37" s="50"/>
      <c r="C37" s="13"/>
      <c r="D37" s="13"/>
      <c r="E37" s="13"/>
    </row>
    <row r="38" spans="1:5">
      <c r="B38" s="13"/>
      <c r="C38" s="13"/>
      <c r="D38" s="13"/>
      <c r="E38" s="13"/>
    </row>
    <row r="39" spans="1:5">
      <c r="B39" s="13"/>
      <c r="C39" s="13"/>
      <c r="D39" s="13"/>
      <c r="E39" s="13"/>
    </row>
  </sheetData>
  <mergeCells count="1">
    <mergeCell ref="A1:F1"/>
  </mergeCells>
  <phoneticPr fontId="1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E9"/>
  <sheetViews>
    <sheetView workbookViewId="0">
      <selection activeCell="C21" sqref="C21"/>
    </sheetView>
  </sheetViews>
  <sheetFormatPr baseColWidth="10" defaultColWidth="8.83203125" defaultRowHeight="13"/>
  <cols>
    <col min="1" max="1" width="45.83203125" bestFit="1" customWidth="1"/>
    <col min="2" max="2" width="14.5" bestFit="1" customWidth="1"/>
    <col min="3" max="3" width="29.5" bestFit="1" customWidth="1"/>
  </cols>
  <sheetData>
    <row r="1" spans="1:5" ht="18">
      <c r="A1" s="81" t="s">
        <v>79</v>
      </c>
      <c r="B1" s="81"/>
      <c r="C1" s="81"/>
      <c r="D1" s="52"/>
      <c r="E1" s="52"/>
    </row>
    <row r="2" spans="1:5" ht="16">
      <c r="A2" s="41" t="s">
        <v>87</v>
      </c>
      <c r="B2" s="53">
        <v>500000</v>
      </c>
      <c r="C2" s="54"/>
      <c r="D2" s="54"/>
      <c r="E2" s="54"/>
    </row>
    <row r="3" spans="1:5">
      <c r="A3" t="s">
        <v>80</v>
      </c>
      <c r="B3" s="12">
        <v>100000</v>
      </c>
    </row>
    <row r="4" spans="1:5">
      <c r="A4" s="4" t="s">
        <v>88</v>
      </c>
      <c r="B4" s="12">
        <v>10</v>
      </c>
    </row>
    <row r="5" spans="1:5">
      <c r="A5" s="4" t="s">
        <v>89</v>
      </c>
      <c r="B5" s="55">
        <v>20</v>
      </c>
    </row>
    <row r="6" spans="1:5">
      <c r="A6" t="s">
        <v>1</v>
      </c>
      <c r="B6" s="1">
        <v>0.05</v>
      </c>
    </row>
    <row r="8" spans="1:5">
      <c r="A8" s="4" t="s">
        <v>90</v>
      </c>
      <c r="B8" s="56">
        <f>PV(B6,B5,-B3,0,1)</f>
        <v>1308532.0859666986</v>
      </c>
    </row>
    <row r="9" spans="1:5">
      <c r="A9" s="4" t="s">
        <v>91</v>
      </c>
      <c r="B9" s="5">
        <f>PMT(B6,B4,-B2,B8,1)</f>
        <v>-37411.428419729935</v>
      </c>
    </row>
  </sheetData>
  <mergeCells count="1">
    <mergeCell ref="A1:C1"/>
  </mergeCells>
  <phoneticPr fontId="1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AFD8-CB63-B54B-A3F7-EDB1CB2107CF}">
  <dimension ref="A1:G17"/>
  <sheetViews>
    <sheetView workbookViewId="0">
      <selection activeCell="B17" sqref="A1:B17"/>
    </sheetView>
  </sheetViews>
  <sheetFormatPr baseColWidth="10" defaultRowHeight="13"/>
  <cols>
    <col min="1" max="1" width="20.5" bestFit="1" customWidth="1"/>
    <col min="2" max="2" width="11.83203125" bestFit="1" customWidth="1"/>
    <col min="4" max="4" width="11.83203125" bestFit="1" customWidth="1"/>
    <col min="7" max="7" width="12.33203125" bestFit="1" customWidth="1"/>
  </cols>
  <sheetData>
    <row r="1" spans="1:7">
      <c r="A1" s="4" t="s">
        <v>123</v>
      </c>
      <c r="B1">
        <v>40</v>
      </c>
    </row>
    <row r="2" spans="1:7">
      <c r="A2" s="4" t="s">
        <v>124</v>
      </c>
      <c r="B2">
        <v>65</v>
      </c>
    </row>
    <row r="3" spans="1:7">
      <c r="A3" s="4" t="s">
        <v>125</v>
      </c>
      <c r="B3">
        <v>100</v>
      </c>
    </row>
    <row r="4" spans="1:7">
      <c r="A4" s="4" t="s">
        <v>126</v>
      </c>
      <c r="B4">
        <v>200000</v>
      </c>
    </row>
    <row r="5" spans="1:7">
      <c r="A5" t="s">
        <v>127</v>
      </c>
      <c r="B5">
        <v>25000</v>
      </c>
    </row>
    <row r="6" spans="1:7">
      <c r="A6" s="4" t="s">
        <v>128</v>
      </c>
      <c r="B6" s="1">
        <v>7.0000000000000007E-2</v>
      </c>
    </row>
    <row r="8" spans="1:7">
      <c r="A8" s="4" t="s">
        <v>109</v>
      </c>
    </row>
    <row r="9" spans="1:7">
      <c r="A9" s="4" t="s">
        <v>129</v>
      </c>
      <c r="B9" s="73">
        <f>B4+PV(B6,B3-B2,-B5,0,1)</f>
        <v>546350.23403652757</v>
      </c>
    </row>
    <row r="10" spans="1:7">
      <c r="A10" s="4"/>
      <c r="B10" s="73"/>
    </row>
    <row r="11" spans="1:7">
      <c r="A11" s="4" t="s">
        <v>107</v>
      </c>
    </row>
    <row r="12" spans="1:7">
      <c r="A12" s="4" t="s">
        <v>130</v>
      </c>
      <c r="B12">
        <v>50000</v>
      </c>
    </row>
    <row r="13" spans="1:7">
      <c r="A13" s="4" t="s">
        <v>131</v>
      </c>
      <c r="B13" s="73">
        <f>PMT(B6,B2-B1,-B12,B9,1)</f>
        <v>-4063.1345072111508</v>
      </c>
      <c r="D13" s="73"/>
      <c r="G13" s="73"/>
    </row>
    <row r="14" spans="1:7">
      <c r="G14" s="73"/>
    </row>
    <row r="15" spans="1:7">
      <c r="A15" s="4" t="s">
        <v>114</v>
      </c>
      <c r="G15" s="73"/>
    </row>
    <row r="16" spans="1:7">
      <c r="A16" s="4" t="s">
        <v>133</v>
      </c>
      <c r="B16">
        <v>45</v>
      </c>
    </row>
    <row r="17" spans="1:2">
      <c r="A17" s="4" t="s">
        <v>131</v>
      </c>
      <c r="B17" s="73">
        <f>PMT(B6,B2-B16,0,B9,1)</f>
        <v>-12455.215596881664</v>
      </c>
    </row>
  </sheetData>
  <phoneticPr fontId="1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30789-3321-E74C-AE7A-FCDE5A3EAF7F}">
  <dimension ref="A1:B21"/>
  <sheetViews>
    <sheetView workbookViewId="0">
      <selection activeCell="A10" sqref="A10"/>
    </sheetView>
  </sheetViews>
  <sheetFormatPr baseColWidth="10" defaultRowHeight="13"/>
  <cols>
    <col min="1" max="1" width="23.6640625" bestFit="1" customWidth="1"/>
    <col min="2" max="2" width="11.5" bestFit="1" customWidth="1"/>
  </cols>
  <sheetData>
    <row r="1" spans="1:2">
      <c r="A1" s="4" t="s">
        <v>122</v>
      </c>
      <c r="B1" s="4">
        <v>13</v>
      </c>
    </row>
    <row r="2" spans="1:2">
      <c r="A2" s="4" t="s">
        <v>134</v>
      </c>
      <c r="B2" s="4">
        <v>18</v>
      </c>
    </row>
    <row r="3" spans="1:2">
      <c r="A3" s="4" t="s">
        <v>135</v>
      </c>
      <c r="B3" s="76">
        <v>0.02</v>
      </c>
    </row>
    <row r="4" spans="1:2">
      <c r="A4" s="4" t="s">
        <v>136</v>
      </c>
      <c r="B4" s="76">
        <v>0.05</v>
      </c>
    </row>
    <row r="5" spans="1:2">
      <c r="A5" s="4" t="s">
        <v>137</v>
      </c>
      <c r="B5" s="4">
        <v>1000</v>
      </c>
    </row>
    <row r="6" spans="1:2">
      <c r="A6" s="4" t="s">
        <v>138</v>
      </c>
      <c r="B6" s="83">
        <v>15000</v>
      </c>
    </row>
    <row r="7" spans="1:2">
      <c r="A7" s="4" t="s">
        <v>142</v>
      </c>
      <c r="B7" s="83">
        <v>7</v>
      </c>
    </row>
    <row r="8" spans="1:2">
      <c r="A8" s="4" t="s">
        <v>143</v>
      </c>
      <c r="B8" s="84">
        <v>7.0000000000000007E-2</v>
      </c>
    </row>
    <row r="9" spans="1:2">
      <c r="A9" s="4"/>
      <c r="B9" s="4"/>
    </row>
    <row r="10" spans="1:2">
      <c r="A10" s="4" t="s">
        <v>8</v>
      </c>
      <c r="B10" s="4"/>
    </row>
    <row r="11" spans="1:2">
      <c r="A11" s="4" t="s">
        <v>139</v>
      </c>
      <c r="B11" s="75">
        <f>FV(B3,B2-B1,0,-B6)</f>
        <v>16561.212048000001</v>
      </c>
    </row>
    <row r="12" spans="1:2">
      <c r="A12" s="4" t="s">
        <v>140</v>
      </c>
      <c r="B12" s="75">
        <f>FV(B4,B2-B1,-B5,0,1)+B5</f>
        <v>6801.9128125000034</v>
      </c>
    </row>
    <row r="13" spans="1:2">
      <c r="A13" s="4" t="s">
        <v>141</v>
      </c>
      <c r="B13" s="75">
        <f>B11-B12</f>
        <v>9759.2992354999988</v>
      </c>
    </row>
    <row r="14" spans="1:2">
      <c r="A14" s="4"/>
      <c r="B14" s="75"/>
    </row>
    <row r="15" spans="1:2">
      <c r="A15" s="4" t="s">
        <v>132</v>
      </c>
      <c r="B15" s="4"/>
    </row>
    <row r="16" spans="1:2">
      <c r="A16" s="4" t="s">
        <v>144</v>
      </c>
      <c r="B16" s="75">
        <f>PMT(B8,B7,B13,0,0)</f>
        <v>-1810.8693944909367</v>
      </c>
    </row>
    <row r="17" spans="1:2">
      <c r="A17" s="4"/>
      <c r="B17" s="75"/>
    </row>
    <row r="18" spans="1:2">
      <c r="A18" s="4"/>
      <c r="B18" s="4"/>
    </row>
    <row r="19" spans="1:2">
      <c r="A19" s="4"/>
      <c r="B19" s="4"/>
    </row>
    <row r="20" spans="1:2">
      <c r="A20" s="4"/>
      <c r="B20" s="4"/>
    </row>
    <row r="21" spans="1:2">
      <c r="A21" s="4"/>
      <c r="B21" s="75"/>
    </row>
  </sheetData>
  <phoneticPr fontId="1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41"/>
  <sheetViews>
    <sheetView workbookViewId="0">
      <selection activeCell="F18" sqref="F18"/>
    </sheetView>
  </sheetViews>
  <sheetFormatPr baseColWidth="10" defaultColWidth="9.1640625" defaultRowHeight="13"/>
  <cols>
    <col min="1" max="1" width="12.83203125" style="26" customWidth="1"/>
    <col min="2" max="2" width="16.1640625" style="26" bestFit="1" customWidth="1"/>
    <col min="3" max="3" width="11.83203125" style="63" bestFit="1" customWidth="1"/>
    <col min="4" max="4" width="10.83203125" style="26" bestFit="1" customWidth="1"/>
    <col min="5" max="5" width="10.5" style="26" bestFit="1" customWidth="1"/>
    <col min="6" max="6" width="11" style="26" bestFit="1" customWidth="1"/>
    <col min="7" max="16384" width="9.1640625" style="26"/>
  </cols>
  <sheetData>
    <row r="1" spans="1:12" ht="18" customHeight="1">
      <c r="A1" s="81" t="s">
        <v>92</v>
      </c>
      <c r="B1" s="81"/>
      <c r="C1" s="81"/>
      <c r="D1" s="81"/>
      <c r="E1" s="81"/>
      <c r="F1" s="81"/>
      <c r="G1"/>
      <c r="H1"/>
      <c r="I1"/>
      <c r="J1"/>
      <c r="K1"/>
      <c r="L1"/>
    </row>
    <row r="2" spans="1:12" s="58" customFormat="1" ht="42">
      <c r="A2" s="9" t="s">
        <v>0</v>
      </c>
      <c r="B2" s="10" t="s">
        <v>146</v>
      </c>
      <c r="C2" s="57" t="s">
        <v>147</v>
      </c>
      <c r="D2" s="10" t="s">
        <v>145</v>
      </c>
      <c r="E2" s="10" t="s">
        <v>93</v>
      </c>
      <c r="F2" s="10" t="s">
        <v>94</v>
      </c>
      <c r="G2" s="11"/>
      <c r="H2" s="11"/>
      <c r="I2" s="11"/>
      <c r="J2" s="11"/>
      <c r="K2" s="11"/>
      <c r="L2" s="11"/>
    </row>
    <row r="3" spans="1:12">
      <c r="A3" s="3">
        <v>0</v>
      </c>
      <c r="B3" s="59">
        <v>0</v>
      </c>
      <c r="C3" s="56"/>
      <c r="D3" s="5">
        <f>B3+C3</f>
        <v>0</v>
      </c>
      <c r="E3" s="60">
        <f>$B$40</f>
        <v>41444.394697685289</v>
      </c>
      <c r="F3" s="61">
        <f>D3*(1+$B$41)+E3</f>
        <v>41444.394697685289</v>
      </c>
      <c r="G3"/>
      <c r="H3"/>
      <c r="I3"/>
      <c r="J3"/>
      <c r="K3"/>
      <c r="L3"/>
    </row>
    <row r="4" spans="1:12">
      <c r="A4" s="3">
        <v>1</v>
      </c>
      <c r="B4" s="5">
        <f>F3</f>
        <v>41444.394697685289</v>
      </c>
      <c r="C4" s="56"/>
      <c r="D4" s="5">
        <f t="shared" ref="D4:D37" si="0">B4+C4</f>
        <v>41444.394697685289</v>
      </c>
      <c r="E4" s="60">
        <f t="shared" ref="E4:E6" si="1">$B$40</f>
        <v>41444.394697685289</v>
      </c>
      <c r="F4" s="61">
        <f t="shared" ref="F4:F37" si="2">D4*(1+$B$41)+E4</f>
        <v>85789.897024208549</v>
      </c>
      <c r="G4"/>
      <c r="H4"/>
      <c r="I4"/>
      <c r="J4"/>
      <c r="K4"/>
      <c r="L4"/>
    </row>
    <row r="5" spans="1:12">
      <c r="A5" s="3">
        <v>2</v>
      </c>
      <c r="B5" s="5">
        <f t="shared" ref="B5:B37" si="3">F4</f>
        <v>85789.897024208549</v>
      </c>
      <c r="C5" s="56"/>
      <c r="D5" s="5">
        <f t="shared" si="0"/>
        <v>85789.897024208549</v>
      </c>
      <c r="E5" s="60">
        <f t="shared" si="1"/>
        <v>41444.394697685289</v>
      </c>
      <c r="F5" s="61">
        <f t="shared" si="2"/>
        <v>133239.58451358846</v>
      </c>
      <c r="G5"/>
      <c r="H5"/>
      <c r="I5"/>
      <c r="J5"/>
      <c r="K5"/>
      <c r="L5"/>
    </row>
    <row r="6" spans="1:12">
      <c r="A6" s="3">
        <v>3</v>
      </c>
      <c r="B6" s="5">
        <f t="shared" si="3"/>
        <v>133239.58451358846</v>
      </c>
      <c r="C6" s="56"/>
      <c r="D6" s="5">
        <f t="shared" si="0"/>
        <v>133239.58451358846</v>
      </c>
      <c r="E6" s="60">
        <f t="shared" si="1"/>
        <v>41444.394697685289</v>
      </c>
      <c r="F6" s="61">
        <f t="shared" si="2"/>
        <v>184010.75012722495</v>
      </c>
      <c r="G6"/>
      <c r="H6" s="62" t="s">
        <v>95</v>
      </c>
      <c r="I6"/>
      <c r="J6"/>
      <c r="K6"/>
      <c r="L6"/>
    </row>
    <row r="7" spans="1:12">
      <c r="A7" s="3">
        <v>4</v>
      </c>
      <c r="B7" s="5">
        <f t="shared" si="3"/>
        <v>184010.75012722495</v>
      </c>
      <c r="C7" s="56">
        <v>-50000</v>
      </c>
      <c r="D7" s="5">
        <f t="shared" si="0"/>
        <v>134010.75012722495</v>
      </c>
      <c r="E7" s="60"/>
      <c r="F7" s="61">
        <f t="shared" si="2"/>
        <v>143391.5026361307</v>
      </c>
      <c r="G7"/>
      <c r="H7" t="s">
        <v>96</v>
      </c>
      <c r="I7"/>
      <c r="J7"/>
      <c r="K7"/>
      <c r="L7"/>
    </row>
    <row r="8" spans="1:12">
      <c r="A8" s="3">
        <v>5</v>
      </c>
      <c r="B8" s="5">
        <f t="shared" si="3"/>
        <v>143391.5026361307</v>
      </c>
      <c r="C8" s="56">
        <v>-50000</v>
      </c>
      <c r="D8" s="5">
        <f t="shared" si="0"/>
        <v>93391.502636130695</v>
      </c>
      <c r="E8" s="60"/>
      <c r="F8" s="61">
        <f t="shared" si="2"/>
        <v>99928.90782065985</v>
      </c>
      <c r="G8"/>
      <c r="H8"/>
      <c r="I8"/>
      <c r="J8"/>
      <c r="K8"/>
      <c r="L8"/>
    </row>
    <row r="9" spans="1:12">
      <c r="A9" s="3">
        <v>6</v>
      </c>
      <c r="B9" s="5">
        <f t="shared" si="3"/>
        <v>99928.90782065985</v>
      </c>
      <c r="C9" s="56"/>
      <c r="D9" s="5">
        <f t="shared" si="0"/>
        <v>99928.90782065985</v>
      </c>
      <c r="E9" s="60">
        <f>$B$40</f>
        <v>41444.394697685289</v>
      </c>
      <c r="F9" s="61">
        <f t="shared" si="2"/>
        <v>148368.32606579133</v>
      </c>
      <c r="G9"/>
      <c r="H9"/>
      <c r="I9"/>
      <c r="J9"/>
      <c r="K9"/>
      <c r="L9"/>
    </row>
    <row r="10" spans="1:12">
      <c r="A10" s="3">
        <v>7</v>
      </c>
      <c r="B10" s="5">
        <f t="shared" si="3"/>
        <v>148368.32606579133</v>
      </c>
      <c r="C10" s="56"/>
      <c r="D10" s="5">
        <f t="shared" si="0"/>
        <v>148368.32606579133</v>
      </c>
      <c r="E10" s="60">
        <f t="shared" ref="E10:E16" si="4">$B$40</f>
        <v>41444.394697685289</v>
      </c>
      <c r="F10" s="61">
        <f t="shared" si="2"/>
        <v>200198.50358808204</v>
      </c>
      <c r="G10"/>
      <c r="H10"/>
      <c r="I10"/>
      <c r="J10"/>
      <c r="K10"/>
      <c r="L10"/>
    </row>
    <row r="11" spans="1:12">
      <c r="A11" s="3">
        <v>8</v>
      </c>
      <c r="B11" s="5">
        <f t="shared" si="3"/>
        <v>200198.50358808204</v>
      </c>
      <c r="C11" s="56"/>
      <c r="D11" s="5">
        <f t="shared" si="0"/>
        <v>200198.50358808204</v>
      </c>
      <c r="E11" s="60">
        <f t="shared" si="4"/>
        <v>41444.394697685289</v>
      </c>
      <c r="F11" s="61">
        <f t="shared" si="2"/>
        <v>255656.79353693308</v>
      </c>
      <c r="G11"/>
      <c r="H11"/>
      <c r="I11"/>
      <c r="J11"/>
      <c r="K11"/>
      <c r="L11"/>
    </row>
    <row r="12" spans="1:12">
      <c r="A12" s="3">
        <v>9</v>
      </c>
      <c r="B12" s="5">
        <f t="shared" si="3"/>
        <v>255656.79353693308</v>
      </c>
      <c r="C12" s="56"/>
      <c r="D12" s="5">
        <f t="shared" si="0"/>
        <v>255656.79353693308</v>
      </c>
      <c r="E12" s="60">
        <f t="shared" si="4"/>
        <v>41444.394697685289</v>
      </c>
      <c r="F12" s="61">
        <f t="shared" si="2"/>
        <v>314997.16378220369</v>
      </c>
      <c r="G12"/>
      <c r="H12"/>
      <c r="I12"/>
      <c r="J12"/>
      <c r="K12"/>
      <c r="L12"/>
    </row>
    <row r="13" spans="1:12">
      <c r="A13" s="3">
        <v>10</v>
      </c>
      <c r="B13" s="5">
        <f t="shared" si="3"/>
        <v>314997.16378220369</v>
      </c>
      <c r="C13" s="56"/>
      <c r="D13" s="5">
        <f t="shared" si="0"/>
        <v>314997.16378220369</v>
      </c>
      <c r="E13" s="60">
        <f t="shared" si="4"/>
        <v>41444.394697685289</v>
      </c>
      <c r="F13" s="61">
        <f t="shared" si="2"/>
        <v>378491.35994464322</v>
      </c>
      <c r="G13"/>
      <c r="H13"/>
      <c r="I13"/>
      <c r="J13"/>
      <c r="K13"/>
      <c r="L13"/>
    </row>
    <row r="14" spans="1:12">
      <c r="A14" s="3">
        <v>11</v>
      </c>
      <c r="B14" s="5">
        <f t="shared" si="3"/>
        <v>378491.35994464322</v>
      </c>
      <c r="C14" s="56"/>
      <c r="D14" s="5">
        <f t="shared" si="0"/>
        <v>378491.35994464322</v>
      </c>
      <c r="E14" s="60">
        <f t="shared" si="4"/>
        <v>41444.394697685289</v>
      </c>
      <c r="F14" s="61">
        <f t="shared" si="2"/>
        <v>446430.14983845351</v>
      </c>
      <c r="G14"/>
      <c r="H14"/>
      <c r="I14"/>
      <c r="J14"/>
      <c r="K14"/>
      <c r="L14"/>
    </row>
    <row r="15" spans="1:12">
      <c r="A15" s="3">
        <v>12</v>
      </c>
      <c r="B15" s="5">
        <f t="shared" si="3"/>
        <v>446430.14983845351</v>
      </c>
      <c r="C15" s="56"/>
      <c r="D15" s="5">
        <f t="shared" si="0"/>
        <v>446430.14983845351</v>
      </c>
      <c r="E15" s="60">
        <f t="shared" si="4"/>
        <v>41444.394697685289</v>
      </c>
      <c r="F15" s="61">
        <f t="shared" si="2"/>
        <v>519124.6550248306</v>
      </c>
      <c r="G15"/>
      <c r="H15"/>
      <c r="I15"/>
      <c r="J15"/>
      <c r="K15"/>
      <c r="L15"/>
    </row>
    <row r="16" spans="1:12">
      <c r="A16" s="3">
        <v>13</v>
      </c>
      <c r="B16" s="5">
        <f t="shared" si="3"/>
        <v>519124.6550248306</v>
      </c>
      <c r="C16" s="56"/>
      <c r="D16" s="5">
        <f t="shared" si="0"/>
        <v>519124.6550248306</v>
      </c>
      <c r="E16" s="60">
        <f t="shared" si="4"/>
        <v>41444.394697685289</v>
      </c>
      <c r="F16" s="61">
        <f t="shared" si="2"/>
        <v>596907.77557425399</v>
      </c>
      <c r="G16"/>
      <c r="H16"/>
      <c r="I16"/>
      <c r="J16"/>
      <c r="K16"/>
      <c r="L16"/>
    </row>
    <row r="17" spans="1:12">
      <c r="A17" s="3">
        <v>14</v>
      </c>
      <c r="B17" s="5">
        <f t="shared" si="3"/>
        <v>596907.77557425399</v>
      </c>
      <c r="C17" s="56"/>
      <c r="D17" s="5">
        <f t="shared" si="0"/>
        <v>596907.77557425399</v>
      </c>
      <c r="E17" s="60">
        <f>$B$40</f>
        <v>41444.394697685289</v>
      </c>
      <c r="F17" s="61">
        <f t="shared" si="2"/>
        <v>680135.71456213703</v>
      </c>
      <c r="G17"/>
      <c r="H17"/>
      <c r="I17"/>
      <c r="J17"/>
      <c r="K17"/>
      <c r="L17"/>
    </row>
    <row r="18" spans="1:12">
      <c r="A18" s="3">
        <v>15</v>
      </c>
      <c r="B18" s="5">
        <f t="shared" si="3"/>
        <v>680135.71456213703</v>
      </c>
      <c r="C18" s="56">
        <v>-60000</v>
      </c>
      <c r="D18" s="5">
        <f t="shared" si="0"/>
        <v>620135.71456213703</v>
      </c>
      <c r="E18" s="61"/>
      <c r="F18" s="61">
        <f t="shared" si="2"/>
        <v>663545.21458148665</v>
      </c>
      <c r="G18"/>
      <c r="H18"/>
      <c r="I18"/>
      <c r="J18"/>
      <c r="K18"/>
      <c r="L18"/>
    </row>
    <row r="19" spans="1:12">
      <c r="A19" s="3">
        <v>16</v>
      </c>
      <c r="B19" s="5">
        <f t="shared" si="3"/>
        <v>663545.21458148665</v>
      </c>
      <c r="C19" s="56">
        <v>-60000</v>
      </c>
      <c r="D19" s="5">
        <f t="shared" si="0"/>
        <v>603545.21458148665</v>
      </c>
      <c r="E19" s="61"/>
      <c r="F19" s="61">
        <f t="shared" si="2"/>
        <v>645793.37960219081</v>
      </c>
      <c r="G19"/>
      <c r="H19"/>
      <c r="I19"/>
      <c r="J19"/>
      <c r="K19"/>
      <c r="L19"/>
    </row>
    <row r="20" spans="1:12">
      <c r="A20" s="3">
        <v>17</v>
      </c>
      <c r="B20" s="5">
        <f t="shared" si="3"/>
        <v>645793.37960219081</v>
      </c>
      <c r="C20" s="56">
        <v>-60000</v>
      </c>
      <c r="D20" s="5">
        <f t="shared" si="0"/>
        <v>585793.37960219081</v>
      </c>
      <c r="E20" s="61"/>
      <c r="F20" s="61">
        <f t="shared" si="2"/>
        <v>626798.91617434425</v>
      </c>
      <c r="G20"/>
      <c r="H20"/>
      <c r="I20"/>
      <c r="J20"/>
      <c r="K20"/>
      <c r="L20"/>
    </row>
    <row r="21" spans="1:12">
      <c r="A21" s="3">
        <v>18</v>
      </c>
      <c r="B21" s="5">
        <f t="shared" si="3"/>
        <v>626798.91617434425</v>
      </c>
      <c r="C21" s="56">
        <v>-60000</v>
      </c>
      <c r="D21" s="5">
        <f t="shared" si="0"/>
        <v>566798.91617434425</v>
      </c>
      <c r="E21" s="61"/>
      <c r="F21" s="61">
        <f t="shared" si="2"/>
        <v>606474.8403065484</v>
      </c>
      <c r="G21"/>
      <c r="H21"/>
      <c r="I21"/>
      <c r="J21"/>
      <c r="K21"/>
      <c r="L21"/>
    </row>
    <row r="22" spans="1:12">
      <c r="A22" s="3">
        <v>19</v>
      </c>
      <c r="B22" s="5">
        <f t="shared" si="3"/>
        <v>606474.8403065484</v>
      </c>
      <c r="C22" s="56">
        <v>-60000</v>
      </c>
      <c r="D22" s="5">
        <f t="shared" si="0"/>
        <v>546474.8403065484</v>
      </c>
      <c r="E22" s="61"/>
      <c r="F22" s="61">
        <f t="shared" si="2"/>
        <v>584728.07912800682</v>
      </c>
      <c r="G22"/>
      <c r="H22"/>
      <c r="I22"/>
      <c r="J22"/>
      <c r="K22"/>
      <c r="L22"/>
    </row>
    <row r="23" spans="1:12">
      <c r="A23" s="3">
        <v>20</v>
      </c>
      <c r="B23" s="5">
        <f t="shared" si="3"/>
        <v>584728.07912800682</v>
      </c>
      <c r="C23" s="56">
        <v>-60000</v>
      </c>
      <c r="D23" s="5">
        <f t="shared" si="0"/>
        <v>524728.07912800682</v>
      </c>
      <c r="E23" s="61"/>
      <c r="F23" s="61">
        <f t="shared" si="2"/>
        <v>561459.04466696735</v>
      </c>
      <c r="G23"/>
      <c r="H23"/>
      <c r="I23"/>
      <c r="J23"/>
      <c r="K23"/>
      <c r="L23"/>
    </row>
    <row r="24" spans="1:12">
      <c r="A24" s="3">
        <v>21</v>
      </c>
      <c r="B24" s="5">
        <f t="shared" si="3"/>
        <v>561459.04466696735</v>
      </c>
      <c r="C24" s="56">
        <v>-60000</v>
      </c>
      <c r="D24" s="5">
        <f t="shared" si="0"/>
        <v>501459.04466696735</v>
      </c>
      <c r="E24" s="61"/>
      <c r="F24" s="61">
        <f t="shared" si="2"/>
        <v>536561.17779365508</v>
      </c>
      <c r="G24"/>
      <c r="H24"/>
      <c r="I24"/>
      <c r="J24"/>
      <c r="K24"/>
      <c r="L24"/>
    </row>
    <row r="25" spans="1:12">
      <c r="A25" s="3">
        <v>22</v>
      </c>
      <c r="B25" s="5">
        <f t="shared" si="3"/>
        <v>536561.17779365508</v>
      </c>
      <c r="C25" s="56">
        <v>-60000</v>
      </c>
      <c r="D25" s="5">
        <f t="shared" si="0"/>
        <v>476561.17779365508</v>
      </c>
      <c r="E25" s="61"/>
      <c r="F25" s="61">
        <f t="shared" si="2"/>
        <v>509920.46023921098</v>
      </c>
      <c r="G25"/>
      <c r="H25"/>
      <c r="I25"/>
      <c r="J25"/>
      <c r="K25"/>
      <c r="L25"/>
    </row>
    <row r="26" spans="1:12">
      <c r="A26" s="3">
        <v>23</v>
      </c>
      <c r="B26" s="5">
        <f t="shared" si="3"/>
        <v>509920.46023921098</v>
      </c>
      <c r="C26" s="56">
        <v>-60000</v>
      </c>
      <c r="D26" s="5">
        <f t="shared" si="0"/>
        <v>449920.46023921098</v>
      </c>
      <c r="E26" s="61"/>
      <c r="F26" s="61">
        <f t="shared" si="2"/>
        <v>481414.89245595579</v>
      </c>
      <c r="G26"/>
      <c r="H26"/>
      <c r="I26"/>
      <c r="J26"/>
      <c r="K26"/>
      <c r="L26"/>
    </row>
    <row r="27" spans="1:12">
      <c r="A27" s="3">
        <v>24</v>
      </c>
      <c r="B27" s="5">
        <f t="shared" si="3"/>
        <v>481414.89245595579</v>
      </c>
      <c r="C27" s="56">
        <v>-60000</v>
      </c>
      <c r="D27" s="5">
        <f t="shared" si="0"/>
        <v>421414.89245595579</v>
      </c>
      <c r="E27" s="61"/>
      <c r="F27" s="61">
        <f t="shared" si="2"/>
        <v>450913.93492787273</v>
      </c>
      <c r="G27"/>
      <c r="H27"/>
      <c r="I27"/>
      <c r="J27"/>
      <c r="K27"/>
      <c r="L27"/>
    </row>
    <row r="28" spans="1:12">
      <c r="A28" s="3">
        <v>25</v>
      </c>
      <c r="B28" s="5">
        <f t="shared" si="3"/>
        <v>450913.93492787273</v>
      </c>
      <c r="C28" s="56">
        <v>-60000</v>
      </c>
      <c r="D28" s="5">
        <f t="shared" si="0"/>
        <v>390913.93492787273</v>
      </c>
      <c r="E28" s="61"/>
      <c r="F28" s="61">
        <f t="shared" si="2"/>
        <v>418277.91037282383</v>
      </c>
      <c r="G28"/>
      <c r="H28"/>
      <c r="I28"/>
      <c r="J28"/>
      <c r="K28"/>
      <c r="L28"/>
    </row>
    <row r="29" spans="1:12">
      <c r="A29" s="3">
        <v>26</v>
      </c>
      <c r="B29" s="5">
        <f t="shared" si="3"/>
        <v>418277.91037282383</v>
      </c>
      <c r="C29" s="56">
        <v>-60000</v>
      </c>
      <c r="D29" s="5">
        <f t="shared" si="0"/>
        <v>358277.91037282383</v>
      </c>
      <c r="E29" s="61"/>
      <c r="F29" s="61">
        <f t="shared" si="2"/>
        <v>383357.36409892153</v>
      </c>
      <c r="G29"/>
      <c r="H29"/>
      <c r="I29"/>
      <c r="J29"/>
      <c r="K29"/>
      <c r="L29"/>
    </row>
    <row r="30" spans="1:12">
      <c r="A30" s="3">
        <v>27</v>
      </c>
      <c r="B30" s="5">
        <f t="shared" si="3"/>
        <v>383357.36409892153</v>
      </c>
      <c r="C30" s="56">
        <v>-60000</v>
      </c>
      <c r="D30" s="5">
        <f t="shared" si="0"/>
        <v>323357.36409892153</v>
      </c>
      <c r="E30" s="61"/>
      <c r="F30" s="61">
        <f t="shared" si="2"/>
        <v>345992.37958584604</v>
      </c>
      <c r="G30"/>
      <c r="H30"/>
      <c r="I30"/>
      <c r="J30"/>
      <c r="K30"/>
      <c r="L30"/>
    </row>
    <row r="31" spans="1:12">
      <c r="A31" s="3">
        <v>28</v>
      </c>
      <c r="B31" s="5">
        <f t="shared" si="3"/>
        <v>345992.37958584604</v>
      </c>
      <c r="C31" s="56">
        <v>-60000</v>
      </c>
      <c r="D31" s="5">
        <f t="shared" si="0"/>
        <v>285992.37958584604</v>
      </c>
      <c r="E31" s="61"/>
      <c r="F31" s="61">
        <f t="shared" si="2"/>
        <v>306011.84615685529</v>
      </c>
      <c r="G31"/>
      <c r="H31"/>
      <c r="I31"/>
      <c r="J31"/>
      <c r="K31"/>
      <c r="L31"/>
    </row>
    <row r="32" spans="1:12">
      <c r="A32" s="3">
        <v>29</v>
      </c>
      <c r="B32" s="5">
        <f t="shared" si="3"/>
        <v>306011.84615685529</v>
      </c>
      <c r="C32" s="56">
        <v>-60000</v>
      </c>
      <c r="D32" s="5">
        <f t="shared" si="0"/>
        <v>246011.84615685529</v>
      </c>
      <c r="E32" s="61"/>
      <c r="F32" s="61">
        <f t="shared" si="2"/>
        <v>263232.67538783519</v>
      </c>
      <c r="G32"/>
      <c r="H32"/>
      <c r="I32"/>
      <c r="J32"/>
      <c r="K32"/>
      <c r="L32"/>
    </row>
    <row r="33" spans="1:12">
      <c r="A33" s="3">
        <v>30</v>
      </c>
      <c r="B33" s="5">
        <f t="shared" si="3"/>
        <v>263232.67538783519</v>
      </c>
      <c r="C33" s="56">
        <v>-60000</v>
      </c>
      <c r="D33" s="5">
        <f t="shared" si="0"/>
        <v>203232.67538783519</v>
      </c>
      <c r="E33" s="61"/>
      <c r="F33" s="61">
        <f t="shared" si="2"/>
        <v>217458.96266498367</v>
      </c>
      <c r="G33"/>
      <c r="H33"/>
      <c r="I33"/>
      <c r="J33"/>
      <c r="K33"/>
      <c r="L33"/>
    </row>
    <row r="34" spans="1:12">
      <c r="A34" s="3">
        <v>31</v>
      </c>
      <c r="B34" s="5">
        <f t="shared" si="3"/>
        <v>217458.96266498367</v>
      </c>
      <c r="C34" s="56">
        <v>-60000</v>
      </c>
      <c r="D34" s="5">
        <f t="shared" si="0"/>
        <v>157458.96266498367</v>
      </c>
      <c r="E34" s="61"/>
      <c r="F34" s="61">
        <f t="shared" si="2"/>
        <v>168481.09005153255</v>
      </c>
      <c r="G34"/>
      <c r="H34"/>
      <c r="I34"/>
      <c r="J34"/>
      <c r="K34"/>
      <c r="L34"/>
    </row>
    <row r="35" spans="1:12">
      <c r="A35" s="3">
        <v>32</v>
      </c>
      <c r="B35" s="5">
        <f t="shared" si="3"/>
        <v>168481.09005153255</v>
      </c>
      <c r="C35" s="56">
        <v>-60000</v>
      </c>
      <c r="D35" s="5">
        <f t="shared" si="0"/>
        <v>108481.09005153255</v>
      </c>
      <c r="E35" s="61"/>
      <c r="F35" s="61">
        <f t="shared" si="2"/>
        <v>116074.76635513983</v>
      </c>
      <c r="G35"/>
      <c r="H35"/>
      <c r="I35"/>
      <c r="J35"/>
      <c r="K35"/>
      <c r="L35"/>
    </row>
    <row r="36" spans="1:12">
      <c r="A36" s="3">
        <v>33</v>
      </c>
      <c r="B36" s="5">
        <f t="shared" si="3"/>
        <v>116074.76635513983</v>
      </c>
      <c r="C36" s="56">
        <v>-60000</v>
      </c>
      <c r="D36" s="5">
        <f t="shared" si="0"/>
        <v>56074.766355139829</v>
      </c>
      <c r="E36" s="61"/>
      <c r="F36" s="61">
        <f t="shared" si="2"/>
        <v>59999.999999999622</v>
      </c>
      <c r="G36"/>
      <c r="H36"/>
      <c r="I36"/>
      <c r="J36"/>
      <c r="K36"/>
      <c r="L36"/>
    </row>
    <row r="37" spans="1:12">
      <c r="A37" s="3">
        <v>34</v>
      </c>
      <c r="B37" s="5">
        <f t="shared" si="3"/>
        <v>59999.999999999622</v>
      </c>
      <c r="C37" s="56">
        <v>-60000</v>
      </c>
      <c r="D37" s="5">
        <f t="shared" si="0"/>
        <v>-3.7834979593753815E-10</v>
      </c>
      <c r="E37" s="61"/>
      <c r="F37" s="61">
        <f t="shared" si="2"/>
        <v>-4.0483428165316582E-10</v>
      </c>
      <c r="G37"/>
      <c r="H37"/>
      <c r="I37"/>
      <c r="J37"/>
      <c r="K37"/>
      <c r="L37"/>
    </row>
    <row r="38" spans="1:12">
      <c r="A38"/>
      <c r="B38"/>
      <c r="C38" s="21"/>
      <c r="D38"/>
      <c r="E38"/>
      <c r="F38"/>
      <c r="G38"/>
      <c r="H38"/>
      <c r="I38"/>
      <c r="J38"/>
      <c r="K38"/>
      <c r="L38"/>
    </row>
    <row r="39" spans="1:12">
      <c r="A39"/>
      <c r="B39"/>
      <c r="C39" s="21"/>
      <c r="D39"/>
      <c r="E39"/>
      <c r="F39"/>
      <c r="G39"/>
      <c r="H39"/>
      <c r="I39"/>
      <c r="J39"/>
      <c r="K39"/>
      <c r="L39"/>
    </row>
    <row r="40" spans="1:12">
      <c r="A40" s="26" t="s">
        <v>148</v>
      </c>
      <c r="B40" s="26">
        <v>41444.394697685289</v>
      </c>
    </row>
    <row r="41" spans="1:12">
      <c r="A41" s="26" t="s">
        <v>149</v>
      </c>
      <c r="B41" s="28">
        <v>7.0000000000000007E-2</v>
      </c>
    </row>
  </sheetData>
  <mergeCells count="1">
    <mergeCell ref="A1:F1"/>
  </mergeCells>
  <phoneticPr fontId="1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817F-9C55-D043-BB5E-7CF26466F737}">
  <dimension ref="A1:C48"/>
  <sheetViews>
    <sheetView workbookViewId="0">
      <selection activeCell="C48" sqref="A1:C48"/>
    </sheetView>
  </sheetViews>
  <sheetFormatPr baseColWidth="10" defaultRowHeight="13"/>
  <cols>
    <col min="1" max="1" width="24.1640625" bestFit="1" customWidth="1"/>
    <col min="2" max="2" width="12.33203125" bestFit="1" customWidth="1"/>
    <col min="3" max="3" width="13.1640625" bestFit="1" customWidth="1"/>
  </cols>
  <sheetData>
    <row r="1" spans="1:3">
      <c r="A1" s="4" t="s">
        <v>122</v>
      </c>
      <c r="B1" s="4">
        <v>30</v>
      </c>
    </row>
    <row r="2" spans="1:3">
      <c r="A2" s="4" t="s">
        <v>124</v>
      </c>
      <c r="B2" s="4">
        <v>65</v>
      </c>
    </row>
    <row r="3" spans="1:3">
      <c r="A3" s="4" t="s">
        <v>150</v>
      </c>
      <c r="B3" s="76">
        <v>0.08</v>
      </c>
    </row>
    <row r="4" spans="1:3">
      <c r="A4" s="4" t="s">
        <v>151</v>
      </c>
      <c r="B4" s="85">
        <v>50000</v>
      </c>
    </row>
    <row r="5" spans="1:3">
      <c r="A5" s="4" t="s">
        <v>152</v>
      </c>
      <c r="B5" s="76">
        <v>0.03</v>
      </c>
    </row>
    <row r="6" spans="1:3">
      <c r="A6" s="4" t="s">
        <v>153</v>
      </c>
      <c r="B6" s="83">
        <v>80000</v>
      </c>
    </row>
    <row r="7" spans="1:3">
      <c r="A7" s="4" t="s">
        <v>154</v>
      </c>
      <c r="B7" s="84">
        <v>0.04</v>
      </c>
    </row>
    <row r="8" spans="1:3">
      <c r="A8" s="4" t="s">
        <v>155</v>
      </c>
      <c r="B8" s="83">
        <v>2</v>
      </c>
    </row>
    <row r="9" spans="1:3">
      <c r="A9" s="4" t="s">
        <v>156</v>
      </c>
      <c r="B9" s="83">
        <v>30000</v>
      </c>
    </row>
    <row r="10" spans="1:3">
      <c r="A10" s="4"/>
      <c r="B10" s="4"/>
    </row>
    <row r="11" spans="1:3">
      <c r="A11" s="4" t="s">
        <v>157</v>
      </c>
      <c r="B11" s="75" t="s">
        <v>159</v>
      </c>
      <c r="C11" s="4" t="s">
        <v>160</v>
      </c>
    </row>
    <row r="12" spans="1:3">
      <c r="A12" s="4">
        <v>30</v>
      </c>
      <c r="B12" s="75">
        <f>B4*(1+$B$5)</f>
        <v>51500</v>
      </c>
      <c r="C12">
        <v>-30000</v>
      </c>
    </row>
    <row r="13" spans="1:3">
      <c r="A13" s="4">
        <v>31</v>
      </c>
      <c r="B13" s="75">
        <f t="shared" ref="B13:B47" si="0">B12*(1+$B$5)</f>
        <v>53045</v>
      </c>
      <c r="C13">
        <v>-30000</v>
      </c>
    </row>
    <row r="14" spans="1:3">
      <c r="A14" s="4">
        <v>32</v>
      </c>
      <c r="B14" s="75">
        <f t="shared" si="0"/>
        <v>54636.35</v>
      </c>
      <c r="C14">
        <f>B6</f>
        <v>80000</v>
      </c>
    </row>
    <row r="15" spans="1:3">
      <c r="A15" s="4">
        <v>33</v>
      </c>
      <c r="B15" s="75">
        <f t="shared" si="0"/>
        <v>56275.440499999997</v>
      </c>
      <c r="C15">
        <f>C14*(1+$B$7)</f>
        <v>83200</v>
      </c>
    </row>
    <row r="16" spans="1:3">
      <c r="A16" s="4">
        <v>34</v>
      </c>
      <c r="B16" s="75">
        <f t="shared" si="0"/>
        <v>57963.703714999996</v>
      </c>
      <c r="C16">
        <f t="shared" ref="C16:C47" si="1">C15*(1+$B$7)</f>
        <v>86528</v>
      </c>
    </row>
    <row r="17" spans="1:3">
      <c r="A17" s="4">
        <v>35</v>
      </c>
      <c r="B17" s="75">
        <f t="shared" si="0"/>
        <v>59702.614826450001</v>
      </c>
      <c r="C17">
        <f t="shared" si="1"/>
        <v>89989.12000000001</v>
      </c>
    </row>
    <row r="18" spans="1:3">
      <c r="A18" s="4">
        <v>36</v>
      </c>
      <c r="B18" s="75">
        <f t="shared" si="0"/>
        <v>61493.693271243501</v>
      </c>
      <c r="C18">
        <f t="shared" si="1"/>
        <v>93588.684800000017</v>
      </c>
    </row>
    <row r="19" spans="1:3">
      <c r="A19" s="4">
        <v>37</v>
      </c>
      <c r="B19" s="75">
        <f t="shared" si="0"/>
        <v>63338.504069380804</v>
      </c>
      <c r="C19">
        <f t="shared" si="1"/>
        <v>97332.232192000025</v>
      </c>
    </row>
    <row r="20" spans="1:3">
      <c r="A20" s="4">
        <v>38</v>
      </c>
      <c r="B20" s="75">
        <f t="shared" si="0"/>
        <v>65238.659191462233</v>
      </c>
      <c r="C20">
        <f t="shared" si="1"/>
        <v>101225.52147968003</v>
      </c>
    </row>
    <row r="21" spans="1:3">
      <c r="A21" s="4">
        <v>39</v>
      </c>
      <c r="B21" s="75">
        <f t="shared" si="0"/>
        <v>67195.818967206098</v>
      </c>
      <c r="C21">
        <f t="shared" si="1"/>
        <v>105274.54233886724</v>
      </c>
    </row>
    <row r="22" spans="1:3">
      <c r="A22" s="4">
        <v>40</v>
      </c>
      <c r="B22" s="75">
        <f t="shared" si="0"/>
        <v>69211.693536222287</v>
      </c>
      <c r="C22">
        <f t="shared" si="1"/>
        <v>109485.52403242193</v>
      </c>
    </row>
    <row r="23" spans="1:3">
      <c r="A23" s="4">
        <v>41</v>
      </c>
      <c r="B23" s="75">
        <f t="shared" si="0"/>
        <v>71288.04434230896</v>
      </c>
      <c r="C23">
        <f t="shared" si="1"/>
        <v>113864.94499371882</v>
      </c>
    </row>
    <row r="24" spans="1:3">
      <c r="A24" s="4">
        <v>42</v>
      </c>
      <c r="B24" s="75">
        <f t="shared" si="0"/>
        <v>73426.685672578227</v>
      </c>
      <c r="C24">
        <f t="shared" si="1"/>
        <v>118419.54279346757</v>
      </c>
    </row>
    <row r="25" spans="1:3">
      <c r="A25" s="4">
        <v>43</v>
      </c>
      <c r="B25" s="75">
        <f t="shared" si="0"/>
        <v>75629.486242755578</v>
      </c>
      <c r="C25">
        <f t="shared" si="1"/>
        <v>123156.32450520627</v>
      </c>
    </row>
    <row r="26" spans="1:3">
      <c r="A26" s="4">
        <v>44</v>
      </c>
      <c r="B26" s="75">
        <f t="shared" si="0"/>
        <v>77898.370830038242</v>
      </c>
      <c r="C26">
        <f t="shared" si="1"/>
        <v>128082.57748541453</v>
      </c>
    </row>
    <row r="27" spans="1:3">
      <c r="A27" s="4">
        <v>45</v>
      </c>
      <c r="B27" s="75">
        <f t="shared" si="0"/>
        <v>80235.321954939398</v>
      </c>
      <c r="C27">
        <f t="shared" si="1"/>
        <v>133205.88058483112</v>
      </c>
    </row>
    <row r="28" spans="1:3">
      <c r="A28" s="4">
        <v>46</v>
      </c>
      <c r="B28" s="75">
        <f t="shared" si="0"/>
        <v>82642.381613587582</v>
      </c>
      <c r="C28">
        <f t="shared" si="1"/>
        <v>138534.11580822436</v>
      </c>
    </row>
    <row r="29" spans="1:3">
      <c r="A29" s="4">
        <v>47</v>
      </c>
      <c r="B29" s="75">
        <f t="shared" si="0"/>
        <v>85121.65306199521</v>
      </c>
      <c r="C29">
        <f t="shared" si="1"/>
        <v>144075.48044055334</v>
      </c>
    </row>
    <row r="30" spans="1:3">
      <c r="A30" s="4">
        <v>48</v>
      </c>
      <c r="B30" s="75">
        <f t="shared" si="0"/>
        <v>87675.302653855062</v>
      </c>
      <c r="C30">
        <f t="shared" si="1"/>
        <v>149838.49965817548</v>
      </c>
    </row>
    <row r="31" spans="1:3">
      <c r="A31" s="4">
        <v>49</v>
      </c>
      <c r="B31" s="75">
        <f t="shared" si="0"/>
        <v>90305.56173347072</v>
      </c>
      <c r="C31">
        <f t="shared" si="1"/>
        <v>155832.03964450251</v>
      </c>
    </row>
    <row r="32" spans="1:3">
      <c r="A32" s="4">
        <v>50</v>
      </c>
      <c r="B32" s="75">
        <f t="shared" si="0"/>
        <v>93014.728585474848</v>
      </c>
      <c r="C32">
        <f t="shared" si="1"/>
        <v>162065.32123028263</v>
      </c>
    </row>
    <row r="33" spans="1:3">
      <c r="A33" s="4">
        <v>51</v>
      </c>
      <c r="B33" s="75">
        <f t="shared" si="0"/>
        <v>95805.170443039096</v>
      </c>
      <c r="C33">
        <f t="shared" si="1"/>
        <v>168547.93407949395</v>
      </c>
    </row>
    <row r="34" spans="1:3">
      <c r="A34" s="4">
        <v>52</v>
      </c>
      <c r="B34" s="75">
        <f t="shared" si="0"/>
        <v>98679.325556330266</v>
      </c>
      <c r="C34">
        <f t="shared" si="1"/>
        <v>175289.85144267371</v>
      </c>
    </row>
    <row r="35" spans="1:3">
      <c r="A35" s="4">
        <v>53</v>
      </c>
      <c r="B35" s="75">
        <f t="shared" si="0"/>
        <v>101639.70532302017</v>
      </c>
      <c r="C35">
        <f t="shared" si="1"/>
        <v>182301.44550038065</v>
      </c>
    </row>
    <row r="36" spans="1:3">
      <c r="A36" s="4">
        <v>54</v>
      </c>
      <c r="B36" s="75">
        <f t="shared" si="0"/>
        <v>104688.89648271078</v>
      </c>
      <c r="C36">
        <f t="shared" si="1"/>
        <v>189593.50332039589</v>
      </c>
    </row>
    <row r="37" spans="1:3">
      <c r="A37" s="4">
        <v>55</v>
      </c>
      <c r="B37" s="75">
        <f t="shared" si="0"/>
        <v>107829.56337719211</v>
      </c>
      <c r="C37">
        <f t="shared" si="1"/>
        <v>197177.24345321173</v>
      </c>
    </row>
    <row r="38" spans="1:3">
      <c r="A38" s="4">
        <v>56</v>
      </c>
      <c r="B38" s="75">
        <f t="shared" si="0"/>
        <v>111064.45027850788</v>
      </c>
      <c r="C38">
        <f t="shared" si="1"/>
        <v>205064.33319134021</v>
      </c>
    </row>
    <row r="39" spans="1:3">
      <c r="A39" s="4">
        <v>57</v>
      </c>
      <c r="B39" s="75">
        <f t="shared" si="0"/>
        <v>114396.38378686312</v>
      </c>
      <c r="C39">
        <f t="shared" si="1"/>
        <v>213266.90651899381</v>
      </c>
    </row>
    <row r="40" spans="1:3">
      <c r="A40" s="4">
        <v>58</v>
      </c>
      <c r="B40" s="75">
        <f t="shared" si="0"/>
        <v>117828.27530046902</v>
      </c>
      <c r="C40">
        <f t="shared" si="1"/>
        <v>221797.58277975357</v>
      </c>
    </row>
    <row r="41" spans="1:3">
      <c r="A41" s="4">
        <v>59</v>
      </c>
      <c r="B41" s="75">
        <f t="shared" si="0"/>
        <v>121363.12355948309</v>
      </c>
      <c r="C41">
        <f t="shared" si="1"/>
        <v>230669.48609094371</v>
      </c>
    </row>
    <row r="42" spans="1:3">
      <c r="A42" s="4">
        <v>60</v>
      </c>
      <c r="B42" s="75">
        <f t="shared" si="0"/>
        <v>125004.01726626759</v>
      </c>
      <c r="C42">
        <f t="shared" si="1"/>
        <v>239896.26553458147</v>
      </c>
    </row>
    <row r="43" spans="1:3">
      <c r="A43" s="4">
        <v>61</v>
      </c>
      <c r="B43" s="75">
        <f t="shared" si="0"/>
        <v>128754.13778425562</v>
      </c>
      <c r="C43">
        <f t="shared" si="1"/>
        <v>249492.11615596473</v>
      </c>
    </row>
    <row r="44" spans="1:3">
      <c r="A44" s="4">
        <v>62</v>
      </c>
      <c r="B44" s="75">
        <f t="shared" si="0"/>
        <v>132616.7619177833</v>
      </c>
      <c r="C44">
        <f t="shared" si="1"/>
        <v>259471.80080220333</v>
      </c>
    </row>
    <row r="45" spans="1:3">
      <c r="A45" s="4">
        <v>63</v>
      </c>
      <c r="B45" s="75">
        <f t="shared" si="0"/>
        <v>136595.26477531681</v>
      </c>
      <c r="C45">
        <f t="shared" si="1"/>
        <v>269850.67283429147</v>
      </c>
    </row>
    <row r="46" spans="1:3">
      <c r="A46" s="4">
        <v>64</v>
      </c>
      <c r="B46" s="75">
        <f t="shared" si="0"/>
        <v>140693.12271857631</v>
      </c>
      <c r="C46">
        <f t="shared" si="1"/>
        <v>280644.69974766317</v>
      </c>
    </row>
    <row r="47" spans="1:3">
      <c r="A47" s="4">
        <v>65</v>
      </c>
      <c r="B47" s="75">
        <f t="shared" si="0"/>
        <v>144913.9164001336</v>
      </c>
      <c r="C47">
        <f t="shared" si="1"/>
        <v>291870.48773756973</v>
      </c>
    </row>
    <row r="48" spans="1:3">
      <c r="A48" s="4" t="s">
        <v>158</v>
      </c>
      <c r="B48" s="73">
        <f>NPV(B3,B12:B47)</f>
        <v>843051.44332404213</v>
      </c>
      <c r="C48" s="73">
        <f>NPV(B3,C12:C47)</f>
        <v>1185944.7897858601</v>
      </c>
    </row>
  </sheetData>
  <phoneticPr fontId="1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65ECF-C387-B44E-9511-11095FA1CB05}">
  <dimension ref="A1:C44"/>
  <sheetViews>
    <sheetView workbookViewId="0">
      <selection activeCell="M26" sqref="M26"/>
    </sheetView>
  </sheetViews>
  <sheetFormatPr baseColWidth="10" defaultRowHeight="13"/>
  <cols>
    <col min="1" max="1" width="15.83203125" bestFit="1" customWidth="1"/>
    <col min="2" max="2" width="13.33203125" bestFit="1" customWidth="1"/>
  </cols>
  <sheetData>
    <row r="1" spans="1:3">
      <c r="A1" s="4" t="s">
        <v>122</v>
      </c>
      <c r="B1" s="4">
        <v>55</v>
      </c>
    </row>
    <row r="2" spans="1:3">
      <c r="A2" s="4" t="s">
        <v>124</v>
      </c>
      <c r="B2" s="4">
        <v>65</v>
      </c>
    </row>
    <row r="3" spans="1:3">
      <c r="A3" s="4" t="s">
        <v>125</v>
      </c>
      <c r="B3" s="4">
        <v>84</v>
      </c>
    </row>
    <row r="4" spans="1:3">
      <c r="A4" s="4" t="s">
        <v>161</v>
      </c>
      <c r="B4" s="76">
        <v>0.12</v>
      </c>
    </row>
    <row r="5" spans="1:3">
      <c r="A5" s="4" t="s">
        <v>162</v>
      </c>
      <c r="B5" s="85">
        <v>50000</v>
      </c>
    </row>
    <row r="6" spans="1:3">
      <c r="A6" s="4"/>
      <c r="B6" s="4"/>
    </row>
    <row r="7" spans="1:3">
      <c r="A7" s="4" t="s">
        <v>8</v>
      </c>
      <c r="B7" s="75"/>
      <c r="C7" s="4"/>
    </row>
    <row r="8" spans="1:3">
      <c r="A8" s="4" t="s">
        <v>164</v>
      </c>
      <c r="B8" s="75">
        <f>PV(B4,B3-B2,-B5,0,1)</f>
        <v>412483.50411782693</v>
      </c>
    </row>
    <row r="9" spans="1:3">
      <c r="A9" s="4" t="s">
        <v>163</v>
      </c>
      <c r="B9" s="75">
        <f>PMT(B4,B2-B1,0,B8,1)</f>
        <v>-20986.63188560534</v>
      </c>
    </row>
    <row r="10" spans="1:3">
      <c r="A10" s="4"/>
      <c r="B10" s="75"/>
    </row>
    <row r="11" spans="1:3">
      <c r="A11" s="4" t="s">
        <v>107</v>
      </c>
      <c r="B11" s="75"/>
    </row>
    <row r="12" spans="1:3">
      <c r="A12" s="4" t="s">
        <v>163</v>
      </c>
      <c r="B12" s="75">
        <f>PMT(B4,B2-60,0,B8,1)</f>
        <v>-57972.248047581852</v>
      </c>
    </row>
    <row r="13" spans="1:3">
      <c r="A13" s="4"/>
      <c r="B13" s="75"/>
    </row>
    <row r="14" spans="1:3">
      <c r="A14" s="4" t="s">
        <v>114</v>
      </c>
      <c r="B14" s="75"/>
    </row>
    <row r="15" spans="1:3">
      <c r="A15" s="4" t="s">
        <v>165</v>
      </c>
      <c r="B15" s="75" t="s">
        <v>166</v>
      </c>
    </row>
    <row r="16" spans="1:3">
      <c r="A16" s="4">
        <v>55</v>
      </c>
      <c r="B16" s="75">
        <f>PMT($B$4,$B$2-A16,0,$B$8,1)</f>
        <v>-20986.63188560534</v>
      </c>
    </row>
    <row r="17" spans="1:2">
      <c r="A17" s="4">
        <v>56</v>
      </c>
      <c r="B17" s="75">
        <f t="shared" ref="B17:B25" si="0">PMT($B$4,$B$2-A17,0,$B$8,1)</f>
        <v>-24925.379636850714</v>
      </c>
    </row>
    <row r="18" spans="1:2">
      <c r="A18" s="4">
        <v>57</v>
      </c>
      <c r="B18" s="75">
        <f t="shared" si="0"/>
        <v>-29942.929380139227</v>
      </c>
    </row>
    <row r="19" spans="1:2">
      <c r="A19" s="4">
        <v>58</v>
      </c>
      <c r="B19" s="75">
        <f t="shared" si="0"/>
        <v>-36503.956272170581</v>
      </c>
    </row>
    <row r="20" spans="1:2">
      <c r="A20" s="4">
        <v>59</v>
      </c>
      <c r="B20" s="75">
        <f t="shared" si="0"/>
        <v>-45382.657261810506</v>
      </c>
    </row>
    <row r="21" spans="1:2">
      <c r="A21" s="4">
        <v>60</v>
      </c>
      <c r="B21" s="75">
        <f t="shared" si="0"/>
        <v>-57972.248047581852</v>
      </c>
    </row>
    <row r="22" spans="1:2">
      <c r="A22" s="4">
        <v>61</v>
      </c>
      <c r="B22" s="75">
        <f t="shared" si="0"/>
        <v>-77058.708454901105</v>
      </c>
    </row>
    <row r="23" spans="1:2">
      <c r="A23" s="4">
        <v>62</v>
      </c>
      <c r="B23" s="75">
        <f t="shared" si="0"/>
        <v>-109142.0231633314</v>
      </c>
    </row>
    <row r="24" spans="1:2">
      <c r="A24" s="4">
        <v>63</v>
      </c>
      <c r="B24" s="75">
        <f t="shared" si="0"/>
        <v>-173721.15234072905</v>
      </c>
    </row>
    <row r="25" spans="1:2">
      <c r="A25" s="4">
        <v>64</v>
      </c>
      <c r="B25" s="75">
        <f t="shared" si="0"/>
        <v>-368288.84296234552</v>
      </c>
    </row>
    <row r="26" spans="1:2">
      <c r="A26" s="4"/>
      <c r="B26" s="75"/>
    </row>
    <row r="27" spans="1:2">
      <c r="A27" s="4"/>
      <c r="B27" s="75"/>
    </row>
    <row r="28" spans="1:2">
      <c r="A28" s="4"/>
      <c r="B28" s="75"/>
    </row>
    <row r="29" spans="1:2">
      <c r="A29" s="4"/>
      <c r="B29" s="75"/>
    </row>
    <row r="30" spans="1:2">
      <c r="A30" s="4"/>
      <c r="B30" s="75"/>
    </row>
    <row r="31" spans="1:2">
      <c r="A31" s="4"/>
      <c r="B31" s="75"/>
    </row>
    <row r="32" spans="1:2">
      <c r="A32" s="4"/>
      <c r="B32" s="75"/>
    </row>
    <row r="33" spans="1:3">
      <c r="A33" s="4"/>
      <c r="B33" s="75"/>
    </row>
    <row r="34" spans="1:3">
      <c r="A34" s="4"/>
      <c r="B34" s="75"/>
    </row>
    <row r="35" spans="1:3">
      <c r="A35" s="4"/>
      <c r="B35" s="75"/>
    </row>
    <row r="36" spans="1:3">
      <c r="A36" s="4"/>
      <c r="B36" s="75"/>
    </row>
    <row r="37" spans="1:3">
      <c r="A37" s="4"/>
      <c r="B37" s="75"/>
    </row>
    <row r="38" spans="1:3">
      <c r="A38" s="4"/>
      <c r="B38" s="75"/>
    </row>
    <row r="39" spans="1:3">
      <c r="A39" s="4"/>
      <c r="B39" s="75"/>
    </row>
    <row r="40" spans="1:3">
      <c r="A40" s="4"/>
      <c r="B40" s="75"/>
    </row>
    <row r="41" spans="1:3">
      <c r="A41" s="4"/>
      <c r="B41" s="75"/>
    </row>
    <row r="42" spans="1:3">
      <c r="A42" s="4"/>
      <c r="B42" s="75"/>
    </row>
    <row r="43" spans="1:3">
      <c r="A43" s="4"/>
      <c r="B43" s="75"/>
    </row>
    <row r="44" spans="1:3">
      <c r="A44" s="4"/>
      <c r="B44" s="73"/>
      <c r="C44" s="73"/>
    </row>
  </sheetData>
  <phoneticPr fontId="13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22"/>
  <sheetViews>
    <sheetView tabSelected="1" workbookViewId="0">
      <selection activeCell="E26" sqref="E26"/>
    </sheetView>
  </sheetViews>
  <sheetFormatPr baseColWidth="10" defaultColWidth="8.6640625" defaultRowHeight="14"/>
  <cols>
    <col min="1" max="2" width="22" style="64" customWidth="1"/>
    <col min="3" max="3" width="18.5" style="64" customWidth="1"/>
    <col min="4" max="4" width="11.6640625" style="64" customWidth="1"/>
    <col min="5" max="5" width="13.1640625" style="64" customWidth="1"/>
    <col min="6" max="6" width="38.5" style="64" bestFit="1" customWidth="1"/>
    <col min="7" max="16384" width="8.6640625" style="64"/>
  </cols>
  <sheetData>
    <row r="1" spans="1:5" ht="18">
      <c r="A1" s="82" t="s">
        <v>4</v>
      </c>
      <c r="B1" s="82"/>
      <c r="C1" s="82"/>
      <c r="D1" s="82"/>
      <c r="E1" s="82"/>
    </row>
    <row r="2" spans="1:5">
      <c r="A2" s="64" t="s">
        <v>33</v>
      </c>
      <c r="B2" s="65"/>
    </row>
    <row r="3" spans="1:5">
      <c r="A3" s="64" t="s">
        <v>97</v>
      </c>
      <c r="B3" s="65">
        <v>0.08</v>
      </c>
    </row>
    <row r="4" spans="1:5">
      <c r="A4" s="64" t="s">
        <v>98</v>
      </c>
      <c r="B4" s="65">
        <v>0.1</v>
      </c>
    </row>
    <row r="5" spans="1:5">
      <c r="A5" s="64" t="s">
        <v>2</v>
      </c>
      <c r="B5" s="66">
        <v>4000</v>
      </c>
    </row>
    <row r="6" spans="1:5">
      <c r="A6" s="64" t="s">
        <v>7</v>
      </c>
      <c r="B6" s="67">
        <v>20000</v>
      </c>
    </row>
    <row r="8" spans="1:5" s="70" customFormat="1" ht="42">
      <c r="A8" s="68" t="s">
        <v>3</v>
      </c>
      <c r="B8" s="69" t="s">
        <v>99</v>
      </c>
      <c r="C8" s="69" t="s">
        <v>100</v>
      </c>
      <c r="D8" s="68" t="s">
        <v>78</v>
      </c>
      <c r="E8" s="69" t="s">
        <v>101</v>
      </c>
    </row>
    <row r="9" spans="1:5">
      <c r="A9" s="70">
        <v>10</v>
      </c>
      <c r="B9" s="66">
        <v>0</v>
      </c>
      <c r="C9" s="66">
        <f t="shared" ref="C9:C16" si="0">$B$5</f>
        <v>4000</v>
      </c>
      <c r="D9" s="66">
        <f>C9+B9</f>
        <v>4000</v>
      </c>
      <c r="E9" s="66">
        <f>IF(D9&gt;=0,D9*(1+$B$3),D9*(1+$B$4))</f>
        <v>4320</v>
      </c>
    </row>
    <row r="10" spans="1:5">
      <c r="A10" s="70">
        <v>11</v>
      </c>
      <c r="B10" s="66">
        <f>E9</f>
        <v>4320</v>
      </c>
      <c r="C10" s="66">
        <f t="shared" si="0"/>
        <v>4000</v>
      </c>
      <c r="D10" s="66">
        <f t="shared" ref="D10:D20" si="1">C10+B10</f>
        <v>8320</v>
      </c>
      <c r="E10" s="66">
        <f t="shared" ref="E10:E19" si="2">IF(D10&gt;=0,D10*(1+$B$3),D10*(1+$B$4))</f>
        <v>8985.6</v>
      </c>
    </row>
    <row r="11" spans="1:5">
      <c r="A11" s="70">
        <v>12</v>
      </c>
      <c r="B11" s="66">
        <f t="shared" ref="B11:B21" si="3">E10</f>
        <v>8985.6</v>
      </c>
      <c r="C11" s="66">
        <f t="shared" si="0"/>
        <v>4000</v>
      </c>
      <c r="D11" s="66">
        <f t="shared" si="1"/>
        <v>12985.6</v>
      </c>
      <c r="E11" s="66">
        <f t="shared" si="2"/>
        <v>14024.448000000002</v>
      </c>
    </row>
    <row r="12" spans="1:5">
      <c r="A12" s="70">
        <v>13</v>
      </c>
      <c r="B12" s="66">
        <f t="shared" si="3"/>
        <v>14024.448000000002</v>
      </c>
      <c r="C12" s="66">
        <f t="shared" si="0"/>
        <v>4000</v>
      </c>
      <c r="D12" s="66">
        <f t="shared" si="1"/>
        <v>18024.448000000004</v>
      </c>
      <c r="E12" s="66">
        <f t="shared" si="2"/>
        <v>19466.403840000006</v>
      </c>
    </row>
    <row r="13" spans="1:5">
      <c r="A13" s="70">
        <v>14</v>
      </c>
      <c r="B13" s="66">
        <f t="shared" si="3"/>
        <v>19466.403840000006</v>
      </c>
      <c r="C13" s="66">
        <f t="shared" si="0"/>
        <v>4000</v>
      </c>
      <c r="D13" s="66">
        <f t="shared" si="1"/>
        <v>23466.403840000006</v>
      </c>
      <c r="E13" s="66">
        <f t="shared" si="2"/>
        <v>25343.716147200008</v>
      </c>
    </row>
    <row r="14" spans="1:5">
      <c r="A14" s="70">
        <v>15</v>
      </c>
      <c r="B14" s="66">
        <f t="shared" si="3"/>
        <v>25343.716147200008</v>
      </c>
      <c r="C14" s="66">
        <f t="shared" si="0"/>
        <v>4000</v>
      </c>
      <c r="D14" s="66">
        <f t="shared" si="1"/>
        <v>29343.716147200008</v>
      </c>
      <c r="E14" s="66">
        <f t="shared" si="2"/>
        <v>31691.21343897601</v>
      </c>
    </row>
    <row r="15" spans="1:5">
      <c r="A15" s="70">
        <v>16</v>
      </c>
      <c r="B15" s="66">
        <f t="shared" si="3"/>
        <v>31691.21343897601</v>
      </c>
      <c r="C15" s="66">
        <f t="shared" si="0"/>
        <v>4000</v>
      </c>
      <c r="D15" s="66">
        <f t="shared" si="1"/>
        <v>35691.21343897601</v>
      </c>
      <c r="E15" s="66">
        <f t="shared" si="2"/>
        <v>38546.510514094094</v>
      </c>
    </row>
    <row r="16" spans="1:5">
      <c r="A16" s="70">
        <v>17</v>
      </c>
      <c r="B16" s="66">
        <f t="shared" si="3"/>
        <v>38546.510514094094</v>
      </c>
      <c r="C16" s="66">
        <f t="shared" si="0"/>
        <v>4000</v>
      </c>
      <c r="D16" s="66">
        <f t="shared" si="1"/>
        <v>42546.510514094094</v>
      </c>
      <c r="E16" s="66">
        <f t="shared" si="2"/>
        <v>45950.231355221622</v>
      </c>
    </row>
    <row r="17" spans="1:5">
      <c r="A17" s="70">
        <v>18</v>
      </c>
      <c r="B17" s="66">
        <f t="shared" si="3"/>
        <v>45950.231355221622</v>
      </c>
      <c r="C17" s="66">
        <f>-$B$6</f>
        <v>-20000</v>
      </c>
      <c r="D17" s="66">
        <f t="shared" si="1"/>
        <v>25950.231355221622</v>
      </c>
      <c r="E17" s="66">
        <f t="shared" si="2"/>
        <v>28026.249863639354</v>
      </c>
    </row>
    <row r="18" spans="1:5">
      <c r="A18" s="70">
        <v>19</v>
      </c>
      <c r="B18" s="66">
        <f t="shared" si="3"/>
        <v>28026.249863639354</v>
      </c>
      <c r="C18" s="66">
        <f>-$B$6</f>
        <v>-20000</v>
      </c>
      <c r="D18" s="66">
        <f t="shared" si="1"/>
        <v>8026.2498636393539</v>
      </c>
      <c r="E18" s="66">
        <f t="shared" si="2"/>
        <v>8668.3498527305019</v>
      </c>
    </row>
    <row r="19" spans="1:5">
      <c r="A19" s="70">
        <v>20</v>
      </c>
      <c r="B19" s="66">
        <f t="shared" si="3"/>
        <v>8668.3498527305019</v>
      </c>
      <c r="C19" s="66">
        <f>-$B$6</f>
        <v>-20000</v>
      </c>
      <c r="D19" s="66">
        <f t="shared" si="1"/>
        <v>-11331.650147269498</v>
      </c>
      <c r="E19" s="66">
        <f t="shared" si="2"/>
        <v>-12464.815161996448</v>
      </c>
    </row>
    <row r="20" spans="1:5">
      <c r="A20" s="70">
        <v>21</v>
      </c>
      <c r="B20" s="66">
        <f t="shared" si="3"/>
        <v>-12464.815161996448</v>
      </c>
      <c r="C20" s="66">
        <f>-$B$6</f>
        <v>-20000</v>
      </c>
      <c r="D20" s="66">
        <f t="shared" si="1"/>
        <v>-32464.815161996448</v>
      </c>
      <c r="E20" s="66">
        <f>IF(D20&gt;=0,D20*(1+$B$3),D20*(1+$B$4))</f>
        <v>-35711.296678196093</v>
      </c>
    </row>
    <row r="21" spans="1:5">
      <c r="A21" s="70">
        <v>22</v>
      </c>
      <c r="B21" s="66">
        <f t="shared" si="3"/>
        <v>-35711.296678196093</v>
      </c>
    </row>
    <row r="22" spans="1:5">
      <c r="C22" s="71"/>
    </row>
  </sheetData>
  <mergeCells count="1">
    <mergeCell ref="A1:E1"/>
  </mergeCells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Exercsie 1 Template</vt:lpstr>
      <vt:lpstr>Exercsie 2 Template</vt:lpstr>
      <vt:lpstr>Exercise 3 Template</vt:lpstr>
      <vt:lpstr>Exercise 4 Template</vt:lpstr>
      <vt:lpstr>Exercise 5 Template</vt:lpstr>
      <vt:lpstr>Exercise 6 Template</vt:lpstr>
      <vt:lpstr>Exercise 7 Template</vt:lpstr>
      <vt:lpstr>Exercise 8 Template</vt:lpstr>
      <vt:lpstr>Exercise 9 Template</vt:lpstr>
      <vt:lpstr>Exercise 10 Template</vt:lpstr>
      <vt:lpstr>Exercise 12 Template</vt:lpstr>
      <vt:lpstr>Exercise 13 Template</vt:lpstr>
      <vt:lpstr>Exercise 14 Template</vt:lpstr>
      <vt:lpstr>Exercise 15 Template</vt:lpstr>
      <vt:lpstr>Exercise 16 Template</vt:lpstr>
      <vt:lpstr>Exercise 17 Template</vt:lpstr>
      <vt:lpstr>Exercise 18 Template</vt:lpstr>
      <vt:lpstr>Exercise 19 Template</vt:lpstr>
      <vt:lpstr>Exercise 20 Template</vt:lpstr>
      <vt:lpstr>Exercise 21 Template</vt:lpstr>
      <vt:lpstr>Exercise 22 Template</vt:lpstr>
      <vt:lpstr>Exercise 23 Template</vt:lpstr>
      <vt:lpstr>Exercise 24 Template</vt:lpstr>
      <vt:lpstr>Exercise 25 Template</vt:lpstr>
      <vt:lpstr>Exercise 26 Template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2006-01-08T17:57:28Z</dcterms:created>
  <dcterms:modified xsi:type="dcterms:W3CDTF">2023-10-12T16:10:59Z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PFE3_Ch02_student materials.xlsm</vt:lpwstr>
  </property>
</Properties>
</file>