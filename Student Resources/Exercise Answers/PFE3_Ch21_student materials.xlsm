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16" codeName="{C80E003A-6C80-AF87-3323-10F97C11A349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/Users/tianqiang/workspace/PFE3-Resources/Student Resources/Exercise Answers/"/>
    </mc:Choice>
  </mc:AlternateContent>
  <xr:revisionPtr revIDLastSave="0" documentId="13_ncr:1_{41FE240A-5C05-7C43-A765-022A050CAFB8}" xr6:coauthVersionLast="47" xr6:coauthVersionMax="47" xr10:uidLastSave="{00000000-0000-0000-0000-000000000000}"/>
  <bookViews>
    <workbookView xWindow="0" yWindow="500" windowWidth="28800" windowHeight="16060" activeTab="6" xr2:uid="{00000000-000D-0000-FFFF-FFFF00000000}"/>
  </bookViews>
  <sheets>
    <sheet name="Exercise 1 template" sheetId="16" r:id="rId1"/>
    <sheet name="Exercise 2 template" sheetId="17" r:id="rId2"/>
    <sheet name="Exercise 3 template" sheetId="18" r:id="rId3"/>
    <sheet name="Exercise 4 template" sheetId="19" r:id="rId4"/>
    <sheet name="Exercise 5 template" sheetId="20" r:id="rId5"/>
    <sheet name="Exercise 6 template" sheetId="15" r:id="rId6"/>
    <sheet name="Exercise 7 template" sheetId="6" r:id="rId7"/>
  </sheets>
  <functionGroups builtInGroupCount="19"/>
  <definedNames>
    <definedName name="newAVLmonthlyPobs" localSheetId="5">'Exercise 6 template'!$A$1:$N$21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6" l="1"/>
  <c r="B8" i="6" s="1"/>
  <c r="B9" i="6" s="1"/>
  <c r="B10" i="6" s="1"/>
  <c r="B6" i="6"/>
  <c r="B5" i="6"/>
  <c r="C21" i="15"/>
  <c r="D21" i="15"/>
  <c r="E21" i="15"/>
  <c r="F21" i="15"/>
  <c r="G21" i="15"/>
  <c r="H21" i="15"/>
  <c r="I21" i="15"/>
  <c r="J21" i="15"/>
  <c r="K21" i="15"/>
  <c r="L21" i="15"/>
  <c r="M21" i="15"/>
  <c r="N21" i="15"/>
  <c r="B21" i="15"/>
  <c r="C19" i="15"/>
  <c r="D19" i="15"/>
  <c r="E19" i="15"/>
  <c r="F19" i="15"/>
  <c r="G19" i="15"/>
  <c r="H19" i="15"/>
  <c r="I19" i="15"/>
  <c r="J19" i="15"/>
  <c r="K19" i="15"/>
  <c r="L19" i="15"/>
  <c r="M19" i="15"/>
  <c r="N19" i="15"/>
  <c r="B19" i="15"/>
  <c r="N4" i="15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3" i="15"/>
  <c r="A5" i="20"/>
  <c r="A5" i="19"/>
  <c r="A6" i="18"/>
  <c r="A4" i="18"/>
  <c r="A4" i="17"/>
  <c r="A4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5" background="1" saveData="1">
    <webPr sourceData="1" parsePre="1" consecutive="1" xl2000="1" url="http://www.erh.noaa.gov/gsp/climate/newAVLmonthlyPobs.htm" htmlTables="1"/>
  </connection>
</connections>
</file>

<file path=xl/sharedStrings.xml><?xml version="1.0" encoding="utf-8"?>
<sst xmlns="http://schemas.openxmlformats.org/spreadsheetml/2006/main" count="23" uniqueCount="22">
  <si>
    <t>Interest</t>
  </si>
  <si>
    <t>Year</t>
  </si>
  <si>
    <t>Initial deposit</t>
  </si>
  <si>
    <t>In bank
account</t>
  </si>
  <si>
    <t>APR</t>
  </si>
  <si>
    <t xml:space="preserve">YEAR </t>
  </si>
  <si>
    <t>JAN</t>
  </si>
  <si>
    <t>FEB</t>
  </si>
  <si>
    <t>MAR</t>
  </si>
  <si>
    <t>MAY</t>
  </si>
  <si>
    <t>JUN</t>
  </si>
  <si>
    <t>JUL</t>
  </si>
  <si>
    <t>AUG</t>
  </si>
  <si>
    <t>SEP</t>
  </si>
  <si>
    <t>OCT</t>
  </si>
  <si>
    <t>NOV</t>
  </si>
  <si>
    <t>DEC</t>
  </si>
  <si>
    <t>MAX</t>
  </si>
  <si>
    <t>MIN</t>
  </si>
  <si>
    <t>Annual</t>
  </si>
  <si>
    <t>ASHEVILLE, N.C. MONTHLY PRECIPITATION</t>
  </si>
  <si>
    <t>John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</si>
</sst>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$&quot;#,##0_);[Red]\(&quot;$&quot;#,##0\)"/>
  </numFmts>
  <fonts count="6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9"/>
      <name val="宋体"/>
      <family val="3"/>
      <charset val="134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9" fontId="0" fillId="0" borderId="0" xfId="0" applyNumberFormat="1"/>
    <xf numFmtId="176" fontId="0" fillId="0" borderId="0" xfId="0" applyNumberForma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2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4" fontId="0" fillId="0" borderId="0" xfId="0" applyNumberFormat="1"/>
    <xf numFmtId="4" fontId="0" fillId="2" borderId="0" xfId="0" applyNumberFormat="1" applyFill="1"/>
    <xf numFmtId="0" fontId="3" fillId="0" borderId="0" xfId="0" applyFont="1" applyAlignment="1">
      <alignment horizontal="center"/>
    </xf>
    <xf numFmtId="0" fontId="5" fillId="0" borderId="0" xfId="0" applyFo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'Exercise 7 template'!$B$4</c:f>
              <c:strCache>
                <c:ptCount val="1"/>
                <c:pt idx="0">
                  <c:v>In bank
account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'Exercise 7 template'!$A$5:$A$10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'Exercise 7 template'!$B$5:$B$10</c:f>
              <c:numCache>
                <c:formatCode>0.00</c:formatCode>
                <c:ptCount val="6"/>
                <c:pt idx="0">
                  <c:v>155</c:v>
                </c:pt>
                <c:pt idx="1">
                  <c:v>167.4</c:v>
                </c:pt>
                <c:pt idx="2">
                  <c:v>180.79200000000003</c:v>
                </c:pt>
                <c:pt idx="3">
                  <c:v>195.25536000000005</c:v>
                </c:pt>
                <c:pt idx="4">
                  <c:v>210.87578880000007</c:v>
                </c:pt>
                <c:pt idx="5">
                  <c:v>227.74585190400009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C7-A040-805F-CB2D1247A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452432"/>
        <c:axId val="461454704"/>
      </c:lineChart>
      <c:catAx>
        <c:axId val="461452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1454704"/>
        <c:crosses val="autoZero"/>
        <c:auto val="1"/>
        <c:lblAlgn val="ctr"/>
        <c:lblOffset val="100"/>
        <c:noMultiLvlLbl val="0"/>
      </c:catAx>
      <c:valAx>
        <c:axId val="46145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1452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755650</xdr:colOff>
      <xdr:row>3</xdr:row>
      <xdr:rowOff>127000</xdr:rowOff>
    </xdr:from>
    <xdr:to>
      <xdr:col>9</xdr:col>
      <xdr:colOff>82550</xdr:colOff>
      <xdr:row>19</xdr:row>
      <xdr:rowOff>38100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1D8CF991-203C-7B6D-B880-2F8866C88B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ewAVLmonthlyPobs" connectionId="1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A231B-E9AF-E144-B961-7A54E5695D6E}">
  <dimension ref="A1:A4"/>
  <sheetViews>
    <sheetView workbookViewId="0">
      <selection sqref="A1:A3"/>
    </sheetView>
  </sheetViews>
  <sheetFormatPr baseColWidth="10" defaultRowHeight="13"/>
  <sheetData>
    <row r="1" spans="1:1">
      <c r="A1">
        <v>28</v>
      </c>
    </row>
    <row r="2" spans="1:1">
      <c r="A2">
        <v>15</v>
      </c>
    </row>
    <row r="3" spans="1:1">
      <c r="A3">
        <v>22</v>
      </c>
    </row>
    <row r="4" spans="1:1">
      <c r="A4">
        <f>SUM(A1:A3)</f>
        <v>65</v>
      </c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6A32E-7E6E-4A4E-B312-DE27FFA94F3B}">
  <dimension ref="A1:A4"/>
  <sheetViews>
    <sheetView workbookViewId="0">
      <selection activeCell="A4" sqref="A1:XFD1048576"/>
    </sheetView>
  </sheetViews>
  <sheetFormatPr baseColWidth="10" defaultRowHeight="13"/>
  <sheetData>
    <row r="1" spans="1:1">
      <c r="A1">
        <v>28</v>
      </c>
    </row>
    <row r="2" spans="1:1">
      <c r="A2">
        <v>15</v>
      </c>
    </row>
    <row r="3" spans="1:1">
      <c r="A3">
        <v>22</v>
      </c>
    </row>
    <row r="4" spans="1:1">
      <c r="A4">
        <f>SUM(A1:A3)/3</f>
        <v>21.666666666666668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CE1D9-D2FE-884B-9EB6-36DFFD925DB6}">
  <dimension ref="A1:A6"/>
  <sheetViews>
    <sheetView workbookViewId="0">
      <selection activeCell="A7" sqref="A7"/>
    </sheetView>
  </sheetViews>
  <sheetFormatPr baseColWidth="10" defaultRowHeight="13"/>
  <sheetData>
    <row r="1" spans="1:1">
      <c r="A1">
        <v>28</v>
      </c>
    </row>
    <row r="2" spans="1:1">
      <c r="A2">
        <v>15</v>
      </c>
    </row>
    <row r="3" spans="1:1">
      <c r="A3">
        <v>22</v>
      </c>
    </row>
    <row r="4" spans="1:1">
      <c r="A4">
        <f>SUM(A1:A3)/3</f>
        <v>21.666666666666668</v>
      </c>
    </row>
    <row r="6" spans="1:1">
      <c r="A6">
        <f>AVERAGE(A1:A3)</f>
        <v>21.666666666666668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F5E17-EAB8-664B-AAD0-7639C6493793}">
  <dimension ref="A1:A5"/>
  <sheetViews>
    <sheetView workbookViewId="0">
      <selection sqref="A1:A5"/>
    </sheetView>
  </sheetViews>
  <sheetFormatPr baseColWidth="10" defaultRowHeight="13"/>
  <sheetData>
    <row r="1" spans="1:1">
      <c r="A1">
        <v>15</v>
      </c>
    </row>
    <row r="2" spans="1:1">
      <c r="A2">
        <v>-11</v>
      </c>
    </row>
    <row r="3" spans="1:1">
      <c r="A3" s="11" t="s">
        <v>21</v>
      </c>
    </row>
    <row r="4" spans="1:1">
      <c r="A4">
        <v>23</v>
      </c>
    </row>
    <row r="5" spans="1:1">
      <c r="A5">
        <f>COUNT(A1:A4)</f>
        <v>3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EA1A6-3CB9-A14B-9538-B0D9E60561A6}">
  <dimension ref="A1:A5"/>
  <sheetViews>
    <sheetView workbookViewId="0">
      <selection activeCell="A6" sqref="A6"/>
    </sheetView>
  </sheetViews>
  <sheetFormatPr baseColWidth="10" defaultRowHeight="13"/>
  <sheetData>
    <row r="1" spans="1:1">
      <c r="A1">
        <v>15</v>
      </c>
    </row>
    <row r="2" spans="1:1">
      <c r="A2">
        <v>-11</v>
      </c>
    </row>
    <row r="3" spans="1:1">
      <c r="A3" s="11" t="s">
        <v>21</v>
      </c>
    </row>
    <row r="4" spans="1:1">
      <c r="A4">
        <v>23</v>
      </c>
    </row>
    <row r="5" spans="1:1">
      <c r="A5">
        <f>COUNTA(A1:A4)</f>
        <v>4</v>
      </c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21"/>
  <sheetViews>
    <sheetView workbookViewId="0">
      <selection activeCell="B21" sqref="B21:N21"/>
    </sheetView>
  </sheetViews>
  <sheetFormatPr baseColWidth="10" defaultColWidth="8.83203125" defaultRowHeight="13"/>
  <cols>
    <col min="1" max="14" width="8.5" customWidth="1"/>
  </cols>
  <sheetData>
    <row r="1" spans="1:14" ht="18">
      <c r="A1" s="10" t="s">
        <v>20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</row>
    <row r="2" spans="1:14" s="7" customFormat="1">
      <c r="A2" s="7" t="s">
        <v>5</v>
      </c>
      <c r="B2" s="7" t="s">
        <v>6</v>
      </c>
      <c r="C2" s="7" t="s">
        <v>7</v>
      </c>
      <c r="D2" s="7" t="s">
        <v>8</v>
      </c>
      <c r="E2" s="7" t="s">
        <v>4</v>
      </c>
      <c r="F2" s="7" t="s">
        <v>9</v>
      </c>
      <c r="G2" s="7" t="s">
        <v>10</v>
      </c>
      <c r="H2" s="7" t="s">
        <v>11</v>
      </c>
      <c r="I2" s="7" t="s">
        <v>12</v>
      </c>
      <c r="J2" s="7" t="s">
        <v>13</v>
      </c>
      <c r="K2" s="7" t="s">
        <v>14</v>
      </c>
      <c r="L2" s="7" t="s">
        <v>15</v>
      </c>
      <c r="M2" s="7" t="s">
        <v>16</v>
      </c>
      <c r="N2" s="7" t="s">
        <v>19</v>
      </c>
    </row>
    <row r="3" spans="1:14">
      <c r="A3" s="6">
        <v>2000</v>
      </c>
      <c r="B3" s="8">
        <v>3.1</v>
      </c>
      <c r="C3" s="8">
        <v>2.33</v>
      </c>
      <c r="D3" s="8">
        <v>3.82</v>
      </c>
      <c r="E3" s="8">
        <v>5.1100000000000003</v>
      </c>
      <c r="F3" s="8">
        <v>1.27</v>
      </c>
      <c r="G3" s="8">
        <v>2.54</v>
      </c>
      <c r="H3" s="8">
        <v>2.84</v>
      </c>
      <c r="I3" s="8">
        <v>4.45</v>
      </c>
      <c r="J3" s="8">
        <v>3.27</v>
      </c>
      <c r="K3" s="8">
        <v>0</v>
      </c>
      <c r="L3" s="8">
        <v>4.25</v>
      </c>
      <c r="M3" s="8">
        <v>2.37</v>
      </c>
      <c r="N3" s="9">
        <f>SUM(B3:M3)</f>
        <v>35.349999999999994</v>
      </c>
    </row>
    <row r="4" spans="1:14">
      <c r="A4" s="6">
        <v>2001</v>
      </c>
      <c r="B4" s="8">
        <v>2.63</v>
      </c>
      <c r="C4" s="8">
        <v>2.73</v>
      </c>
      <c r="D4" s="8">
        <v>5</v>
      </c>
      <c r="E4" s="8">
        <v>1.32</v>
      </c>
      <c r="F4" s="8">
        <v>2.4700000000000002</v>
      </c>
      <c r="G4" s="8">
        <v>2.91</v>
      </c>
      <c r="H4" s="8">
        <v>5.5</v>
      </c>
      <c r="I4" s="8">
        <v>3.2</v>
      </c>
      <c r="J4" s="8">
        <v>4.37</v>
      </c>
      <c r="K4" s="8">
        <v>0.6</v>
      </c>
      <c r="L4" s="8">
        <v>1.42</v>
      </c>
      <c r="M4" s="8">
        <v>2.34</v>
      </c>
      <c r="N4" s="9">
        <f t="shared" ref="N4:N17" si="0">SUM(B4:M4)</f>
        <v>34.490000000000009</v>
      </c>
    </row>
    <row r="5" spans="1:14">
      <c r="A5" s="6">
        <v>2002</v>
      </c>
      <c r="B5" s="8">
        <v>3.64</v>
      </c>
      <c r="C5" s="8">
        <v>1.3</v>
      </c>
      <c r="D5" s="8">
        <v>4.3600000000000003</v>
      </c>
      <c r="E5" s="8">
        <v>1.73</v>
      </c>
      <c r="F5" s="8">
        <v>3.42</v>
      </c>
      <c r="G5" s="8">
        <v>6.13</v>
      </c>
      <c r="H5" s="8">
        <v>1.98</v>
      </c>
      <c r="I5" s="8">
        <v>2.09</v>
      </c>
      <c r="J5" s="8">
        <v>6.05</v>
      </c>
      <c r="K5" s="8">
        <v>3.14</v>
      </c>
      <c r="L5" s="8">
        <v>4.2300000000000004</v>
      </c>
      <c r="M5" s="8">
        <v>6.4</v>
      </c>
      <c r="N5" s="9">
        <f t="shared" si="0"/>
        <v>44.470000000000006</v>
      </c>
    </row>
    <row r="6" spans="1:14">
      <c r="A6" s="6">
        <v>2003</v>
      </c>
      <c r="B6" s="8">
        <v>1.19</v>
      </c>
      <c r="C6" s="8">
        <v>4.47</v>
      </c>
      <c r="D6" s="8">
        <v>4.34</v>
      </c>
      <c r="E6" s="8">
        <v>5.25</v>
      </c>
      <c r="F6" s="8">
        <v>8.36</v>
      </c>
      <c r="G6" s="8">
        <v>6.16</v>
      </c>
      <c r="H6" s="8">
        <v>10.88</v>
      </c>
      <c r="I6" s="8">
        <v>6.8</v>
      </c>
      <c r="J6" s="8">
        <v>3.01</v>
      </c>
      <c r="K6" s="8">
        <v>2.33</v>
      </c>
      <c r="L6" s="8">
        <v>3.89</v>
      </c>
      <c r="M6" s="8">
        <v>2.78</v>
      </c>
      <c r="N6" s="9">
        <f t="shared" si="0"/>
        <v>59.459999999999994</v>
      </c>
    </row>
    <row r="7" spans="1:14">
      <c r="A7" s="6">
        <v>2004</v>
      </c>
      <c r="B7" s="8">
        <v>0.83</v>
      </c>
      <c r="C7" s="8">
        <v>4.2</v>
      </c>
      <c r="D7" s="8">
        <v>2.02</v>
      </c>
      <c r="E7" s="8">
        <v>2.95</v>
      </c>
      <c r="F7" s="8">
        <v>3.23</v>
      </c>
      <c r="G7" s="8">
        <v>7.39</v>
      </c>
      <c r="H7" s="8">
        <v>4.68</v>
      </c>
      <c r="I7" s="8">
        <v>3.79</v>
      </c>
      <c r="J7" s="8">
        <v>13.71</v>
      </c>
      <c r="K7" s="8">
        <v>1.1100000000000001</v>
      </c>
      <c r="L7" s="8">
        <v>5.0199999999999996</v>
      </c>
      <c r="M7" s="8">
        <v>3.43</v>
      </c>
      <c r="N7" s="9">
        <f t="shared" si="0"/>
        <v>52.359999999999992</v>
      </c>
    </row>
    <row r="8" spans="1:14">
      <c r="A8" s="6">
        <v>2005</v>
      </c>
      <c r="B8" s="8">
        <v>2</v>
      </c>
      <c r="C8" s="8">
        <v>2.57</v>
      </c>
      <c r="D8" s="8">
        <v>3.33</v>
      </c>
      <c r="E8" s="8">
        <v>2.86</v>
      </c>
      <c r="F8" s="8">
        <v>1.65</v>
      </c>
      <c r="G8" s="8">
        <v>10.09</v>
      </c>
      <c r="H8" s="8">
        <v>10.26</v>
      </c>
      <c r="I8" s="8">
        <v>5.71</v>
      </c>
      <c r="J8" s="8">
        <v>0.34</v>
      </c>
      <c r="K8" s="8">
        <v>1.2</v>
      </c>
      <c r="L8" s="8">
        <v>3.74</v>
      </c>
      <c r="M8" s="8">
        <v>3.51</v>
      </c>
      <c r="N8" s="9">
        <f t="shared" si="0"/>
        <v>47.260000000000005</v>
      </c>
    </row>
    <row r="9" spans="1:14">
      <c r="A9" s="6">
        <v>2006</v>
      </c>
      <c r="B9" s="8">
        <v>3.58</v>
      </c>
      <c r="C9" s="8">
        <v>2.5499999999999998</v>
      </c>
      <c r="D9" s="8">
        <v>0.91</v>
      </c>
      <c r="E9" s="8">
        <v>4.58</v>
      </c>
      <c r="F9" s="8">
        <v>1.69</v>
      </c>
      <c r="G9" s="8">
        <v>5.16</v>
      </c>
      <c r="H9" s="8">
        <v>2.81</v>
      </c>
      <c r="I9" s="8">
        <v>7.12</v>
      </c>
      <c r="J9" s="8">
        <v>7.8</v>
      </c>
      <c r="K9" s="8">
        <v>2.93</v>
      </c>
      <c r="L9" s="8">
        <v>4.5199999999999996</v>
      </c>
      <c r="M9" s="8">
        <v>4.6399999999999997</v>
      </c>
      <c r="N9" s="9">
        <f t="shared" si="0"/>
        <v>48.289999999999992</v>
      </c>
    </row>
    <row r="10" spans="1:14">
      <c r="A10" s="6">
        <v>2007</v>
      </c>
      <c r="B10" s="8">
        <v>3.35</v>
      </c>
      <c r="C10" s="8">
        <v>1.45</v>
      </c>
      <c r="D10" s="8">
        <v>4.29</v>
      </c>
      <c r="E10" s="8">
        <v>1.77</v>
      </c>
      <c r="F10" s="8">
        <v>0.96</v>
      </c>
      <c r="G10" s="8">
        <v>2.91</v>
      </c>
      <c r="H10" s="8">
        <v>4.8499999999999996</v>
      </c>
      <c r="I10" s="8">
        <v>2.84</v>
      </c>
      <c r="J10" s="8">
        <v>3.4</v>
      </c>
      <c r="K10" s="8">
        <v>3.02</v>
      </c>
      <c r="L10" s="8">
        <v>1.49</v>
      </c>
      <c r="M10" s="8">
        <v>4.0599999999999996</v>
      </c>
      <c r="N10" s="9">
        <f t="shared" si="0"/>
        <v>34.389999999999993</v>
      </c>
    </row>
    <row r="11" spans="1:14">
      <c r="A11" s="6">
        <v>2008</v>
      </c>
      <c r="B11" s="8">
        <v>2.56</v>
      </c>
      <c r="C11" s="8">
        <v>3.79</v>
      </c>
      <c r="D11" s="8">
        <v>4.51</v>
      </c>
      <c r="E11" s="8">
        <v>2.84</v>
      </c>
      <c r="F11" s="8">
        <v>1.33</v>
      </c>
      <c r="G11" s="8">
        <v>0.85</v>
      </c>
      <c r="H11" s="8">
        <v>4.0199999999999996</v>
      </c>
      <c r="I11" s="8">
        <v>5.84</v>
      </c>
      <c r="J11" s="8">
        <v>1.7</v>
      </c>
      <c r="K11" s="8">
        <v>1.84</v>
      </c>
      <c r="L11" s="8">
        <v>1.61</v>
      </c>
      <c r="M11" s="8">
        <v>4.74</v>
      </c>
      <c r="N11" s="9">
        <f t="shared" si="0"/>
        <v>35.629999999999995</v>
      </c>
    </row>
    <row r="12" spans="1:14">
      <c r="A12" s="6">
        <v>2009</v>
      </c>
      <c r="B12" s="8">
        <v>2.4</v>
      </c>
      <c r="C12" s="8">
        <v>1.87</v>
      </c>
      <c r="D12" s="8">
        <v>4.07</v>
      </c>
      <c r="E12" s="8">
        <v>3.54</v>
      </c>
      <c r="F12" s="8">
        <v>9.18</v>
      </c>
      <c r="G12" s="8">
        <v>6.41</v>
      </c>
      <c r="H12" s="8">
        <v>2.88</v>
      </c>
      <c r="I12" s="8">
        <v>3.69</v>
      </c>
      <c r="J12" s="8">
        <v>8.17</v>
      </c>
      <c r="K12" s="8">
        <v>5.5</v>
      </c>
      <c r="L12" s="8">
        <v>5.26</v>
      </c>
      <c r="M12" s="8">
        <v>9.16</v>
      </c>
      <c r="N12" s="9">
        <f t="shared" si="0"/>
        <v>62.129999999999995</v>
      </c>
    </row>
    <row r="13" spans="1:14">
      <c r="A13" s="6">
        <v>2010</v>
      </c>
      <c r="B13" s="8">
        <v>7</v>
      </c>
      <c r="C13" s="8">
        <v>3.35</v>
      </c>
      <c r="D13" s="8">
        <v>4.18</v>
      </c>
      <c r="E13" s="8">
        <v>2.2400000000000002</v>
      </c>
      <c r="F13" s="8">
        <v>4.8899999999999997</v>
      </c>
      <c r="G13" s="8">
        <v>1.75</v>
      </c>
      <c r="H13" s="8">
        <v>3.54</v>
      </c>
      <c r="I13" s="8">
        <v>3.47</v>
      </c>
      <c r="J13" s="8">
        <v>4.1500000000000004</v>
      </c>
      <c r="K13" s="8">
        <v>2.94</v>
      </c>
      <c r="L13" s="8">
        <v>5.49</v>
      </c>
      <c r="M13" s="8">
        <v>1.26</v>
      </c>
      <c r="N13" s="9">
        <f t="shared" si="0"/>
        <v>44.26</v>
      </c>
    </row>
    <row r="14" spans="1:14">
      <c r="A14" s="6">
        <v>2011</v>
      </c>
      <c r="B14" s="8">
        <v>2.12</v>
      </c>
      <c r="C14" s="8">
        <v>2.97</v>
      </c>
      <c r="D14" s="8">
        <v>6.95</v>
      </c>
      <c r="E14" s="8">
        <v>4.33</v>
      </c>
      <c r="F14" s="8">
        <v>2.95</v>
      </c>
      <c r="G14" s="8">
        <v>3.83</v>
      </c>
      <c r="H14" s="8">
        <v>3.33</v>
      </c>
      <c r="I14" s="8">
        <v>3</v>
      </c>
      <c r="J14" s="8">
        <v>3.74</v>
      </c>
      <c r="K14" s="8">
        <v>2.39</v>
      </c>
      <c r="L14" s="8">
        <v>5.32</v>
      </c>
      <c r="M14" s="8">
        <v>5.1100000000000003</v>
      </c>
      <c r="N14" s="9">
        <f t="shared" si="0"/>
        <v>46.04</v>
      </c>
    </row>
    <row r="15" spans="1:14">
      <c r="A15" s="6">
        <v>2012</v>
      </c>
      <c r="B15" s="8">
        <v>3.85</v>
      </c>
      <c r="C15" s="8">
        <v>1.59</v>
      </c>
      <c r="D15" s="8">
        <v>2.72</v>
      </c>
      <c r="E15" s="8">
        <v>4.66</v>
      </c>
      <c r="F15" s="8">
        <v>5.82</v>
      </c>
      <c r="G15" s="8">
        <v>1.68</v>
      </c>
      <c r="H15" s="8">
        <v>5.78</v>
      </c>
      <c r="I15" s="8">
        <v>3.39</v>
      </c>
      <c r="J15" s="8">
        <v>5.93</v>
      </c>
      <c r="K15" s="8">
        <v>4.01</v>
      </c>
      <c r="L15" s="8">
        <v>0.85</v>
      </c>
      <c r="M15" s="8">
        <v>4.38</v>
      </c>
      <c r="N15" s="9">
        <f t="shared" si="0"/>
        <v>44.660000000000004</v>
      </c>
    </row>
    <row r="16" spans="1:14">
      <c r="A16" s="6">
        <v>2013</v>
      </c>
      <c r="B16" s="8">
        <v>8.58</v>
      </c>
      <c r="C16" s="8">
        <v>3.56</v>
      </c>
      <c r="D16" s="8">
        <v>3.32</v>
      </c>
      <c r="E16" s="8">
        <v>5.88</v>
      </c>
      <c r="F16" s="8">
        <v>7.78</v>
      </c>
      <c r="G16" s="8">
        <v>8.9700000000000006</v>
      </c>
      <c r="H16" s="8">
        <v>13.69</v>
      </c>
      <c r="I16" s="8">
        <v>6.98</v>
      </c>
      <c r="J16" s="8">
        <v>3.05</v>
      </c>
      <c r="K16" s="8">
        <v>2.19</v>
      </c>
      <c r="L16" s="8">
        <v>3.55</v>
      </c>
      <c r="M16" s="8">
        <v>7.67</v>
      </c>
      <c r="N16" s="9">
        <f t="shared" si="0"/>
        <v>75.22</v>
      </c>
    </row>
    <row r="17" spans="1:14">
      <c r="A17" s="6">
        <v>2014</v>
      </c>
      <c r="B17">
        <v>2.33</v>
      </c>
      <c r="C17">
        <v>2.4500000000000002</v>
      </c>
      <c r="D17">
        <v>1.76</v>
      </c>
      <c r="E17">
        <v>3.5500000000000007</v>
      </c>
      <c r="F17">
        <v>2.8200000000000003</v>
      </c>
      <c r="G17">
        <v>1.03</v>
      </c>
      <c r="H17">
        <v>4.6500000000000004</v>
      </c>
      <c r="I17">
        <v>2.02</v>
      </c>
      <c r="J17">
        <v>5.92</v>
      </c>
      <c r="K17">
        <v>3.35</v>
      </c>
      <c r="L17">
        <v>2.5099999999999998</v>
      </c>
      <c r="M17">
        <v>1.3599999999999999</v>
      </c>
      <c r="N17" s="9">
        <f t="shared" si="0"/>
        <v>33.75</v>
      </c>
    </row>
    <row r="19" spans="1:14">
      <c r="A19" t="s">
        <v>17</v>
      </c>
      <c r="B19" s="9">
        <f>MAX(B3:B17)</f>
        <v>8.58</v>
      </c>
      <c r="C19" s="9">
        <f t="shared" ref="C19:N19" si="1">MAX(C3:C17)</f>
        <v>4.47</v>
      </c>
      <c r="D19" s="9">
        <f t="shared" si="1"/>
        <v>6.95</v>
      </c>
      <c r="E19" s="9">
        <f t="shared" si="1"/>
        <v>5.88</v>
      </c>
      <c r="F19" s="9">
        <f t="shared" si="1"/>
        <v>9.18</v>
      </c>
      <c r="G19" s="9">
        <f t="shared" si="1"/>
        <v>10.09</v>
      </c>
      <c r="H19" s="9">
        <f t="shared" si="1"/>
        <v>13.69</v>
      </c>
      <c r="I19" s="9">
        <f t="shared" si="1"/>
        <v>7.12</v>
      </c>
      <c r="J19" s="9">
        <f t="shared" si="1"/>
        <v>13.71</v>
      </c>
      <c r="K19" s="9">
        <f t="shared" si="1"/>
        <v>5.5</v>
      </c>
      <c r="L19" s="9">
        <f t="shared" si="1"/>
        <v>5.49</v>
      </c>
      <c r="M19" s="9">
        <f t="shared" si="1"/>
        <v>9.16</v>
      </c>
      <c r="N19" s="9">
        <f t="shared" si="1"/>
        <v>75.22</v>
      </c>
    </row>
    <row r="21" spans="1:14">
      <c r="A21" t="s">
        <v>18</v>
      </c>
      <c r="B21" s="9">
        <f>MIN(B3:B17)</f>
        <v>0.83</v>
      </c>
      <c r="C21" s="9">
        <f t="shared" ref="C21:N21" si="2">MIN(C3:C17)</f>
        <v>1.3</v>
      </c>
      <c r="D21" s="9">
        <f t="shared" si="2"/>
        <v>0.91</v>
      </c>
      <c r="E21" s="9">
        <f t="shared" si="2"/>
        <v>1.32</v>
      </c>
      <c r="F21" s="9">
        <f t="shared" si="2"/>
        <v>0.96</v>
      </c>
      <c r="G21" s="9">
        <f t="shared" si="2"/>
        <v>0.85</v>
      </c>
      <c r="H21" s="9">
        <f t="shared" si="2"/>
        <v>1.98</v>
      </c>
      <c r="I21" s="9">
        <f t="shared" si="2"/>
        <v>2.02</v>
      </c>
      <c r="J21" s="9">
        <f t="shared" si="2"/>
        <v>0.34</v>
      </c>
      <c r="K21" s="9">
        <f t="shared" si="2"/>
        <v>0</v>
      </c>
      <c r="L21" s="9">
        <f t="shared" si="2"/>
        <v>0.85</v>
      </c>
      <c r="M21" s="9">
        <f t="shared" si="2"/>
        <v>1.26</v>
      </c>
      <c r="N21" s="9">
        <f t="shared" si="2"/>
        <v>33.75</v>
      </c>
    </row>
  </sheetData>
  <mergeCells count="1">
    <mergeCell ref="A1:N1"/>
  </mergeCells>
  <phoneticPr fontId="4" type="noConversion"/>
  <printOptions headings="1" gridLines="1"/>
  <pageMargins left="0.7" right="0.7" top="0.75" bottom="0.75" header="0.3" footer="0.3"/>
  <pageSetup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B10"/>
  <sheetViews>
    <sheetView tabSelected="1" topLeftCell="A22" workbookViewId="0">
      <selection activeCell="A4" sqref="A4:B10"/>
    </sheetView>
  </sheetViews>
  <sheetFormatPr baseColWidth="10" defaultColWidth="8.83203125" defaultRowHeight="13"/>
  <cols>
    <col min="1" max="1" width="11.5" bestFit="1" customWidth="1"/>
    <col min="3" max="3" width="15.83203125" bestFit="1" customWidth="1"/>
  </cols>
  <sheetData>
    <row r="1" spans="1:2">
      <c r="A1" t="s">
        <v>0</v>
      </c>
      <c r="B1" s="1">
        <v>0.08</v>
      </c>
    </row>
    <row r="2" spans="1:2">
      <c r="A2" t="s">
        <v>2</v>
      </c>
      <c r="B2" s="2">
        <v>155</v>
      </c>
    </row>
    <row r="3" spans="1:2">
      <c r="B3" s="2"/>
    </row>
    <row r="4" spans="1:2" ht="28">
      <c r="A4" s="3" t="s">
        <v>1</v>
      </c>
      <c r="B4" s="4" t="s">
        <v>3</v>
      </c>
    </row>
    <row r="5" spans="1:2">
      <c r="A5">
        <v>0</v>
      </c>
      <c r="B5" s="5">
        <f>B2</f>
        <v>155</v>
      </c>
    </row>
    <row r="6" spans="1:2">
      <c r="A6">
        <v>1</v>
      </c>
      <c r="B6" s="5">
        <f>B5*(1+$B$1)</f>
        <v>167.4</v>
      </c>
    </row>
    <row r="7" spans="1:2">
      <c r="A7">
        <v>2</v>
      </c>
      <c r="B7" s="5">
        <f t="shared" ref="B7:B10" si="0">B6*(1+$B$1)</f>
        <v>180.79200000000003</v>
      </c>
    </row>
    <row r="8" spans="1:2">
      <c r="A8">
        <v>3</v>
      </c>
      <c r="B8" s="5">
        <f t="shared" si="0"/>
        <v>195.25536000000005</v>
      </c>
    </row>
    <row r="9" spans="1:2">
      <c r="A9">
        <v>4</v>
      </c>
      <c r="B9" s="5">
        <f t="shared" si="0"/>
        <v>210.87578880000007</v>
      </c>
    </row>
    <row r="10" spans="1:2">
      <c r="A10">
        <v>5</v>
      </c>
      <c r="B10" s="5">
        <f t="shared" si="0"/>
        <v>227.74585190400009</v>
      </c>
    </row>
  </sheetData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Exercise 1 template</vt:lpstr>
      <vt:lpstr>Exercise 2 template</vt:lpstr>
      <vt:lpstr>Exercise 3 template</vt:lpstr>
      <vt:lpstr>Exercise 4 template</vt:lpstr>
      <vt:lpstr>Exercise 5 template</vt:lpstr>
      <vt:lpstr>Exercise 6 template</vt:lpstr>
      <vt:lpstr>Exercise 7 template</vt:lpstr>
      <vt:lpstr>'Exercise 6 template'!newAVLmonthlyPobs</vt:lpstr>
    </vt:vector>
  </TitlesOfParts>
  <Company>The Wharton School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天强 帅</cp:lastModifiedBy>
  <dcterms:created xsi:type="dcterms:W3CDTF">2005-01-02T15:42:10Z</dcterms:created>
  <dcterms:modified xsi:type="dcterms:W3CDTF">2023-12-07T15:19:09Z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 Ch21_IM_exercises.xlsm</vt:lpwstr>
  </property>
</Properties>
</file>