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16" codeName="{C80E003A-6C80-AF87-3323-10F97C11A349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/Users/tianqiang/workspace/PFE3-Resources/Student Resources/Exercise Answers/"/>
    </mc:Choice>
  </mc:AlternateContent>
  <xr:revisionPtr revIDLastSave="0" documentId="13_ncr:1_{33D8057F-C546-4548-9B87-95BAC6472819}" xr6:coauthVersionLast="47" xr6:coauthVersionMax="47" xr10:uidLastSave="{00000000-0000-0000-0000-000000000000}"/>
  <bookViews>
    <workbookView xWindow="0" yWindow="500" windowWidth="28800" windowHeight="16060" firstSheet="12" activeTab="17" xr2:uid="{00000000-000D-0000-FFFF-FFFF00000000}"/>
  </bookViews>
  <sheets>
    <sheet name="Exercise 1 template" sheetId="16" r:id="rId1"/>
    <sheet name="Exercise 2 template" sheetId="17" r:id="rId2"/>
    <sheet name="Exercise 3 template" sheetId="18" r:id="rId3"/>
    <sheet name="Exercise 4 template" sheetId="19" r:id="rId4"/>
    <sheet name="Exercise 5 template" sheetId="20" r:id="rId5"/>
    <sheet name="Exercise 6 template" sheetId="23" r:id="rId6"/>
    <sheet name="Exercise 7 template" sheetId="24" r:id="rId7"/>
    <sheet name="Exercise 8 template" sheetId="25" r:id="rId8"/>
    <sheet name="Exercise 9 template" sheetId="26" r:id="rId9"/>
    <sheet name="Exercise 10 template" sheetId="27" r:id="rId10"/>
    <sheet name="Exercise 11 template" sheetId="28" r:id="rId11"/>
    <sheet name="Exercise 12 template" sheetId="29" r:id="rId12"/>
    <sheet name="Exercise 13 template" sheetId="30" r:id="rId13"/>
    <sheet name="Exercise 14 template" sheetId="31" r:id="rId14"/>
    <sheet name="Exercise 15 template" sheetId="32" r:id="rId15"/>
    <sheet name="Exercise 16 template" sheetId="33" r:id="rId16"/>
    <sheet name="Exercise 17 template" sheetId="34" r:id="rId17"/>
    <sheet name="Exercise 18 template" sheetId="35" r:id="rId18"/>
  </sheets>
  <functionGroups builtInGroupCount="19"/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35" l="1"/>
  <c r="B13" i="35"/>
  <c r="B12" i="35"/>
  <c r="B18" i="34"/>
  <c r="B17" i="34"/>
  <c r="B16" i="34"/>
  <c r="B15" i="34"/>
  <c r="B14" i="34"/>
  <c r="B13" i="34"/>
  <c r="B12" i="34"/>
  <c r="C3" i="33"/>
  <c r="C4" i="33"/>
  <c r="C5" i="33"/>
  <c r="C6" i="33"/>
  <c r="C7" i="33"/>
  <c r="C8" i="33"/>
  <c r="C9" i="33"/>
  <c r="C10" i="33"/>
  <c r="C11" i="33"/>
  <c r="C2" i="33"/>
  <c r="C6" i="32"/>
  <c r="D12" i="31"/>
  <c r="D4" i="31"/>
  <c r="D5" i="31"/>
  <c r="D6" i="31"/>
  <c r="D7" i="31"/>
  <c r="D8" i="31"/>
  <c r="D9" i="31"/>
  <c r="D10" i="31"/>
  <c r="D3" i="31"/>
  <c r="B5" i="30" l="1"/>
  <c r="B4" i="30"/>
  <c r="D11" i="29"/>
  <c r="D5" i="29"/>
  <c r="D6" i="29"/>
  <c r="D7" i="29"/>
  <c r="D8" i="29"/>
  <c r="D9" i="29"/>
  <c r="D10" i="29"/>
  <c r="D4" i="29"/>
  <c r="C5" i="29"/>
  <c r="C6" i="29"/>
  <c r="C7" i="29"/>
  <c r="C8" i="29"/>
  <c r="C9" i="29"/>
  <c r="C10" i="29"/>
  <c r="C4" i="29"/>
  <c r="C11" i="28"/>
  <c r="C5" i="28"/>
  <c r="C6" i="28"/>
  <c r="C7" i="28"/>
  <c r="C8" i="28"/>
  <c r="C9" i="28"/>
  <c r="C10" i="28"/>
  <c r="C4" i="28"/>
  <c r="B5" i="27"/>
  <c r="B3" i="27"/>
  <c r="B9" i="26"/>
  <c r="B6" i="26"/>
  <c r="D8" i="25"/>
  <c r="D9" i="25"/>
  <c r="D10" i="25"/>
  <c r="D11" i="25"/>
  <c r="D12" i="25"/>
  <c r="D13" i="25"/>
  <c r="D14" i="25"/>
  <c r="D15" i="25"/>
  <c r="D16" i="25"/>
  <c r="D7" i="25"/>
  <c r="C7" i="25"/>
  <c r="B7" i="25"/>
  <c r="B5" i="25"/>
  <c r="E6" i="24"/>
  <c r="B7" i="24"/>
  <c r="B9" i="24"/>
  <c r="B6" i="24"/>
  <c r="B5" i="23"/>
  <c r="C13" i="20"/>
  <c r="D13" i="20"/>
  <c r="E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D205" i="20"/>
  <c r="D206" i="20"/>
  <c r="D207" i="20"/>
  <c r="D208" i="20"/>
  <c r="D209" i="20"/>
  <c r="D210" i="20"/>
  <c r="D211" i="20"/>
  <c r="D212" i="20"/>
  <c r="D213" i="20"/>
  <c r="D214" i="20"/>
  <c r="D215" i="20"/>
  <c r="D216" i="20"/>
  <c r="D217" i="20"/>
  <c r="D218" i="20"/>
  <c r="D219" i="20"/>
  <c r="D220" i="20"/>
  <c r="D221" i="20"/>
  <c r="D222" i="20"/>
  <c r="D223" i="20"/>
  <c r="D224" i="20"/>
  <c r="D225" i="20"/>
  <c r="D226" i="20"/>
  <c r="D227" i="20"/>
  <c r="D228" i="20"/>
  <c r="D229" i="20"/>
  <c r="D230" i="20"/>
  <c r="D231" i="20"/>
  <c r="D232" i="20"/>
  <c r="D233" i="20"/>
  <c r="D234" i="20"/>
  <c r="D235" i="20"/>
  <c r="D236" i="20"/>
  <c r="D237" i="20"/>
  <c r="D238" i="20"/>
  <c r="D239" i="20"/>
  <c r="D240" i="20"/>
  <c r="D241" i="20"/>
  <c r="D242" i="20"/>
  <c r="D243" i="20"/>
  <c r="D244" i="20"/>
  <c r="D245" i="20"/>
  <c r="D246" i="20"/>
  <c r="D247" i="20"/>
  <c r="D248" i="20"/>
  <c r="D249" i="20"/>
  <c r="D250" i="20"/>
  <c r="D251" i="20"/>
  <c r="D252" i="20"/>
  <c r="D253" i="20"/>
  <c r="D254" i="20"/>
  <c r="D255" i="20"/>
  <c r="D256" i="20"/>
  <c r="D257" i="20"/>
  <c r="D258" i="20"/>
  <c r="D259" i="20"/>
  <c r="D260" i="20"/>
  <c r="D261" i="20"/>
  <c r="D262" i="20"/>
  <c r="D263" i="20"/>
  <c r="D264" i="20"/>
  <c r="D265" i="20"/>
  <c r="D266" i="20"/>
  <c r="D267" i="20"/>
  <c r="D268" i="20"/>
  <c r="D269" i="20"/>
  <c r="D270" i="20"/>
  <c r="D271" i="20"/>
  <c r="D272" i="20"/>
  <c r="D273" i="20"/>
  <c r="D274" i="20"/>
  <c r="D275" i="20"/>
  <c r="D276" i="20"/>
  <c r="D277" i="20"/>
  <c r="D278" i="20"/>
  <c r="D279" i="20"/>
  <c r="D280" i="20"/>
  <c r="D281" i="20"/>
  <c r="D282" i="20"/>
  <c r="D283" i="20"/>
  <c r="D284" i="20"/>
  <c r="D285" i="20"/>
  <c r="D286" i="20"/>
  <c r="D287" i="20"/>
  <c r="D288" i="20"/>
  <c r="D289" i="20"/>
  <c r="D290" i="20"/>
  <c r="D291" i="20"/>
  <c r="D292" i="20"/>
  <c r="D293" i="20"/>
  <c r="D294" i="20"/>
  <c r="D295" i="20"/>
  <c r="D296" i="20"/>
  <c r="D297" i="20"/>
  <c r="D298" i="20"/>
  <c r="D299" i="20"/>
  <c r="D300" i="20"/>
  <c r="D301" i="20"/>
  <c r="D302" i="20"/>
  <c r="D303" i="20"/>
  <c r="D304" i="20"/>
  <c r="D305" i="20"/>
  <c r="D306" i="20"/>
  <c r="D307" i="20"/>
  <c r="D308" i="20"/>
  <c r="D309" i="20"/>
  <c r="D310" i="20"/>
  <c r="D311" i="20"/>
  <c r="D312" i="20"/>
  <c r="D313" i="20"/>
  <c r="D314" i="20"/>
  <c r="D315" i="20"/>
  <c r="D316" i="20"/>
  <c r="D317" i="20"/>
  <c r="D318" i="20"/>
  <c r="D319" i="20"/>
  <c r="D320" i="20"/>
  <c r="D321" i="20"/>
  <c r="D322" i="20"/>
  <c r="D323" i="20"/>
  <c r="D324" i="20"/>
  <c r="D325" i="20"/>
  <c r="D326" i="20"/>
  <c r="D327" i="20"/>
  <c r="D328" i="20"/>
  <c r="D329" i="20"/>
  <c r="D330" i="20"/>
  <c r="D331" i="20"/>
  <c r="D332" i="20"/>
  <c r="D333" i="20"/>
  <c r="D334" i="20"/>
  <c r="D335" i="20"/>
  <c r="D336" i="20"/>
  <c r="D337" i="20"/>
  <c r="D338" i="20"/>
  <c r="D339" i="20"/>
  <c r="D340" i="20"/>
  <c r="D341" i="20"/>
  <c r="D342" i="20"/>
  <c r="D343" i="20"/>
  <c r="D344" i="20"/>
  <c r="D345" i="20"/>
  <c r="D346" i="20"/>
  <c r="D347" i="20"/>
  <c r="D348" i="20"/>
  <c r="D349" i="20"/>
  <c r="D350" i="20"/>
  <c r="D351" i="20"/>
  <c r="D352" i="20"/>
  <c r="D353" i="20"/>
  <c r="D354" i="20"/>
  <c r="D355" i="20"/>
  <c r="D356" i="20"/>
  <c r="D357" i="20"/>
  <c r="D358" i="20"/>
  <c r="D359" i="20"/>
  <c r="D360" i="20"/>
  <c r="D361" i="20"/>
  <c r="D362" i="20"/>
  <c r="D363" i="20"/>
  <c r="D364" i="20"/>
  <c r="D365" i="20"/>
  <c r="D366" i="20"/>
  <c r="D367" i="20"/>
  <c r="D368" i="20"/>
  <c r="D369" i="20"/>
  <c r="D370" i="20"/>
  <c r="D371" i="20"/>
  <c r="B14" i="20"/>
  <c r="B13" i="20"/>
  <c r="D12" i="20"/>
  <c r="C12" i="20"/>
  <c r="E12" i="20" s="1"/>
  <c r="B12" i="20"/>
  <c r="B8" i="20"/>
  <c r="B5" i="20"/>
  <c r="B4" i="20"/>
  <c r="B6" i="18"/>
  <c r="B3" i="19"/>
  <c r="B7" i="19" s="1"/>
  <c r="B10" i="19" s="1"/>
  <c r="B15" i="17"/>
  <c r="B12" i="17"/>
  <c r="B18" i="17" s="1"/>
  <c r="B14" i="16"/>
  <c r="B11" i="16"/>
  <c r="C14" i="20" l="1"/>
  <c r="E14" i="20"/>
  <c r="B15" i="20" s="1"/>
  <c r="C15" i="20" l="1"/>
  <c r="E15" i="20" s="1"/>
  <c r="B16" i="20" s="1"/>
  <c r="C16" i="20" l="1"/>
  <c r="E16" i="20"/>
  <c r="B17" i="20" s="1"/>
  <c r="C17" i="20" l="1"/>
  <c r="E17" i="20"/>
  <c r="B18" i="20" s="1"/>
  <c r="C18" i="20" l="1"/>
  <c r="E18" i="20" s="1"/>
  <c r="B19" i="20" s="1"/>
  <c r="C19" i="20" l="1"/>
  <c r="E19" i="20"/>
  <c r="B20" i="20" s="1"/>
  <c r="C20" i="20" l="1"/>
  <c r="E20" i="20" s="1"/>
  <c r="B21" i="20" s="1"/>
  <c r="C21" i="20" l="1"/>
  <c r="E21" i="20" s="1"/>
  <c r="B22" i="20" s="1"/>
  <c r="C22" i="20" l="1"/>
  <c r="E22" i="20"/>
  <c r="B23" i="20" s="1"/>
  <c r="C23" i="20" l="1"/>
  <c r="E23" i="20" s="1"/>
  <c r="B24" i="20" s="1"/>
  <c r="C24" i="20" l="1"/>
  <c r="E24" i="20"/>
  <c r="B25" i="20" s="1"/>
  <c r="C25" i="20" l="1"/>
  <c r="E25" i="20"/>
  <c r="B26" i="20" s="1"/>
  <c r="C26" i="20" l="1"/>
  <c r="E26" i="20" s="1"/>
  <c r="B27" i="20" s="1"/>
  <c r="C27" i="20" l="1"/>
  <c r="E27" i="20"/>
  <c r="B28" i="20" s="1"/>
  <c r="C28" i="20" l="1"/>
  <c r="E28" i="20"/>
  <c r="B29" i="20" s="1"/>
  <c r="C29" i="20" l="1"/>
  <c r="E29" i="20"/>
  <c r="B30" i="20" s="1"/>
  <c r="C30" i="20" l="1"/>
  <c r="E30" i="20"/>
  <c r="B31" i="20" s="1"/>
  <c r="C31" i="20" l="1"/>
  <c r="E31" i="20" s="1"/>
  <c r="B32" i="20" s="1"/>
  <c r="C32" i="20" l="1"/>
  <c r="E32" i="20"/>
  <c r="B33" i="20" s="1"/>
  <c r="C33" i="20" l="1"/>
  <c r="E33" i="20"/>
  <c r="B34" i="20" s="1"/>
  <c r="C34" i="20" l="1"/>
  <c r="E34" i="20" s="1"/>
  <c r="B35" i="20" s="1"/>
  <c r="C35" i="20" l="1"/>
  <c r="E35" i="20"/>
  <c r="B36" i="20" s="1"/>
  <c r="C36" i="20" l="1"/>
  <c r="E36" i="20"/>
  <c r="B37" i="20" s="1"/>
  <c r="C37" i="20" l="1"/>
  <c r="E37" i="20"/>
  <c r="B38" i="20" s="1"/>
  <c r="C38" i="20" l="1"/>
  <c r="E38" i="20"/>
  <c r="B39" i="20" s="1"/>
  <c r="C39" i="20" l="1"/>
  <c r="E39" i="20" s="1"/>
  <c r="B40" i="20" s="1"/>
  <c r="C40" i="20" l="1"/>
  <c r="E40" i="20"/>
  <c r="B41" i="20" s="1"/>
  <c r="C41" i="20" l="1"/>
  <c r="E41" i="20"/>
  <c r="B42" i="20" s="1"/>
  <c r="C42" i="20" l="1"/>
  <c r="E42" i="20" s="1"/>
  <c r="B43" i="20" s="1"/>
  <c r="C43" i="20" l="1"/>
  <c r="E43" i="20" s="1"/>
  <c r="B44" i="20" s="1"/>
  <c r="C44" i="20" l="1"/>
  <c r="E44" i="20"/>
  <c r="B45" i="20" s="1"/>
  <c r="C45" i="20" l="1"/>
  <c r="E45" i="20"/>
  <c r="B46" i="20" s="1"/>
  <c r="C46" i="20" l="1"/>
  <c r="E46" i="20"/>
  <c r="B47" i="20" s="1"/>
  <c r="C47" i="20" l="1"/>
  <c r="E47" i="20" s="1"/>
  <c r="B48" i="20" s="1"/>
  <c r="C48" i="20" l="1"/>
  <c r="E48" i="20"/>
  <c r="B49" i="20" s="1"/>
  <c r="C49" i="20" l="1"/>
  <c r="E49" i="20"/>
  <c r="B50" i="20" s="1"/>
  <c r="C50" i="20" l="1"/>
  <c r="E50" i="20" s="1"/>
  <c r="B51" i="20" s="1"/>
  <c r="C51" i="20" l="1"/>
  <c r="E51" i="20"/>
  <c r="B52" i="20" s="1"/>
  <c r="C52" i="20" l="1"/>
  <c r="E52" i="20"/>
  <c r="B53" i="20" s="1"/>
  <c r="C53" i="20" l="1"/>
  <c r="E53" i="20"/>
  <c r="B54" i="20" s="1"/>
  <c r="C54" i="20" l="1"/>
  <c r="E54" i="20"/>
  <c r="B55" i="20" s="1"/>
  <c r="C55" i="20" l="1"/>
  <c r="E55" i="20" s="1"/>
  <c r="B56" i="20" s="1"/>
  <c r="C56" i="20" l="1"/>
  <c r="E56" i="20"/>
  <c r="B57" i="20" s="1"/>
  <c r="C57" i="20" l="1"/>
  <c r="E57" i="20"/>
  <c r="B58" i="20" s="1"/>
  <c r="C58" i="20" l="1"/>
  <c r="E58" i="20" s="1"/>
  <c r="B59" i="20" s="1"/>
  <c r="C59" i="20" l="1"/>
  <c r="E59" i="20" s="1"/>
  <c r="B60" i="20" s="1"/>
  <c r="C60" i="20" l="1"/>
  <c r="E60" i="20"/>
  <c r="B61" i="20" s="1"/>
  <c r="C61" i="20" l="1"/>
  <c r="E61" i="20"/>
  <c r="B62" i="20" s="1"/>
  <c r="C62" i="20" l="1"/>
  <c r="E62" i="20"/>
  <c r="B63" i="20" s="1"/>
  <c r="C63" i="20" l="1"/>
  <c r="E63" i="20" s="1"/>
  <c r="B64" i="20" s="1"/>
  <c r="C64" i="20" l="1"/>
  <c r="E64" i="20"/>
  <c r="B65" i="20" s="1"/>
  <c r="C65" i="20" l="1"/>
  <c r="E65" i="20" s="1"/>
  <c r="B66" i="20" s="1"/>
  <c r="E66" i="20" l="1"/>
  <c r="B67" i="20" s="1"/>
  <c r="C66" i="20"/>
  <c r="C67" i="20" l="1"/>
  <c r="E67" i="20" s="1"/>
  <c r="B68" i="20" s="1"/>
  <c r="C68" i="20" l="1"/>
  <c r="E68" i="20" s="1"/>
  <c r="B69" i="20" s="1"/>
  <c r="C69" i="20" l="1"/>
  <c r="E69" i="20"/>
  <c r="B70" i="20" s="1"/>
  <c r="C70" i="20" l="1"/>
  <c r="E70" i="20"/>
  <c r="B71" i="20" s="1"/>
  <c r="C71" i="20" l="1"/>
  <c r="E71" i="20" s="1"/>
  <c r="B72" i="20" s="1"/>
  <c r="C72" i="20" l="1"/>
  <c r="E72" i="20"/>
  <c r="B73" i="20" s="1"/>
  <c r="C73" i="20" l="1"/>
  <c r="E73" i="20"/>
  <c r="B74" i="20" s="1"/>
  <c r="C74" i="20" l="1"/>
  <c r="E74" i="20" s="1"/>
  <c r="B75" i="20" s="1"/>
  <c r="C75" i="20" l="1"/>
  <c r="E75" i="20" s="1"/>
  <c r="B76" i="20" s="1"/>
  <c r="C76" i="20" l="1"/>
  <c r="E76" i="20"/>
  <c r="B77" i="20" s="1"/>
  <c r="C77" i="20" l="1"/>
  <c r="E77" i="20"/>
  <c r="B78" i="20" s="1"/>
  <c r="C78" i="20" l="1"/>
  <c r="E78" i="20"/>
  <c r="B79" i="20" s="1"/>
  <c r="C79" i="20" l="1"/>
  <c r="E79" i="20" s="1"/>
  <c r="B80" i="20" s="1"/>
  <c r="C80" i="20" l="1"/>
  <c r="E80" i="20" s="1"/>
  <c r="B81" i="20" s="1"/>
  <c r="C81" i="20" l="1"/>
  <c r="E81" i="20"/>
  <c r="B82" i="20" s="1"/>
  <c r="C82" i="20" l="1"/>
  <c r="E82" i="20" s="1"/>
  <c r="B83" i="20" s="1"/>
  <c r="C83" i="20" l="1"/>
  <c r="E83" i="20"/>
  <c r="B84" i="20" s="1"/>
  <c r="C84" i="20" l="1"/>
  <c r="E84" i="20" s="1"/>
  <c r="B85" i="20" s="1"/>
  <c r="C85" i="20" l="1"/>
  <c r="E85" i="20"/>
  <c r="B86" i="20" s="1"/>
  <c r="C86" i="20" l="1"/>
  <c r="E86" i="20"/>
  <c r="B87" i="20" s="1"/>
  <c r="C87" i="20" l="1"/>
  <c r="E87" i="20" s="1"/>
  <c r="B88" i="20" s="1"/>
  <c r="C88" i="20" l="1"/>
  <c r="E88" i="20"/>
  <c r="B89" i="20" s="1"/>
  <c r="C89" i="20" l="1"/>
  <c r="E89" i="20" s="1"/>
  <c r="B90" i="20" s="1"/>
  <c r="C90" i="20" l="1"/>
  <c r="E90" i="20" s="1"/>
  <c r="B91" i="20" s="1"/>
  <c r="C91" i="20" l="1"/>
  <c r="E91" i="20"/>
  <c r="B92" i="20" s="1"/>
  <c r="C92" i="20" l="1"/>
  <c r="E92" i="20" s="1"/>
  <c r="B93" i="20" s="1"/>
  <c r="C93" i="20" l="1"/>
  <c r="E93" i="20"/>
  <c r="B94" i="20" s="1"/>
  <c r="C94" i="20" l="1"/>
  <c r="E94" i="20"/>
  <c r="B95" i="20" s="1"/>
  <c r="C95" i="20" l="1"/>
  <c r="E95" i="20" s="1"/>
  <c r="B96" i="20" s="1"/>
  <c r="C96" i="20" l="1"/>
  <c r="E96" i="20"/>
  <c r="B97" i="20" s="1"/>
  <c r="E97" i="20" l="1"/>
  <c r="B98" i="20" s="1"/>
  <c r="C97" i="20"/>
  <c r="C98" i="20" l="1"/>
  <c r="E98" i="20" s="1"/>
  <c r="B99" i="20" s="1"/>
  <c r="C99" i="20" l="1"/>
  <c r="E99" i="20"/>
  <c r="B100" i="20" s="1"/>
  <c r="C100" i="20" l="1"/>
  <c r="E100" i="20" s="1"/>
  <c r="B101" i="20" s="1"/>
  <c r="C101" i="20" l="1"/>
  <c r="E101" i="20"/>
  <c r="B102" i="20" s="1"/>
  <c r="C102" i="20" l="1"/>
  <c r="E102" i="20"/>
  <c r="B103" i="20" s="1"/>
  <c r="C103" i="20" l="1"/>
  <c r="E103" i="20" s="1"/>
  <c r="B104" i="20" s="1"/>
  <c r="C104" i="20" l="1"/>
  <c r="E104" i="20" s="1"/>
  <c r="B105" i="20" s="1"/>
  <c r="C105" i="20" l="1"/>
  <c r="E105" i="20"/>
  <c r="B106" i="20" s="1"/>
  <c r="C106" i="20" l="1"/>
  <c r="E106" i="20" s="1"/>
  <c r="B107" i="20" s="1"/>
  <c r="C107" i="20" l="1"/>
  <c r="E107" i="20" s="1"/>
  <c r="B108" i="20" s="1"/>
  <c r="C108" i="20" l="1"/>
  <c r="E108" i="20"/>
  <c r="B109" i="20" s="1"/>
  <c r="C109" i="20" l="1"/>
  <c r="E109" i="20"/>
  <c r="B110" i="20" s="1"/>
  <c r="C110" i="20" l="1"/>
  <c r="E110" i="20"/>
  <c r="B111" i="20" s="1"/>
  <c r="C111" i="20" l="1"/>
  <c r="E111" i="20" s="1"/>
  <c r="B112" i="20" s="1"/>
  <c r="C112" i="20" l="1"/>
  <c r="E112" i="20"/>
  <c r="B113" i="20" s="1"/>
  <c r="C113" i="20" l="1"/>
  <c r="E113" i="20"/>
  <c r="B114" i="20" s="1"/>
  <c r="C114" i="20" l="1"/>
  <c r="E114" i="20" s="1"/>
  <c r="B115" i="20" s="1"/>
  <c r="C115" i="20" l="1"/>
  <c r="E115" i="20"/>
  <c r="B116" i="20" s="1"/>
  <c r="C116" i="20" l="1"/>
  <c r="E116" i="20"/>
  <c r="B117" i="20" s="1"/>
  <c r="C117" i="20" l="1"/>
  <c r="E117" i="20"/>
  <c r="B118" i="20" s="1"/>
  <c r="C118" i="20" l="1"/>
  <c r="E118" i="20"/>
  <c r="B119" i="20" s="1"/>
  <c r="C119" i="20" l="1"/>
  <c r="E119" i="20" s="1"/>
  <c r="B120" i="20" s="1"/>
  <c r="C120" i="20" l="1"/>
  <c r="E120" i="20" s="1"/>
  <c r="B121" i="20" s="1"/>
  <c r="C121" i="20" l="1"/>
  <c r="E121" i="20" s="1"/>
  <c r="B122" i="20" s="1"/>
  <c r="C122" i="20" l="1"/>
  <c r="E122" i="20"/>
  <c r="B123" i="20" s="1"/>
  <c r="C123" i="20" l="1"/>
  <c r="E123" i="20" s="1"/>
  <c r="B124" i="20" s="1"/>
  <c r="C124" i="20" l="1"/>
  <c r="E124" i="20" s="1"/>
  <c r="B125" i="20" s="1"/>
  <c r="C125" i="20" l="1"/>
  <c r="E125" i="20"/>
  <c r="B126" i="20" s="1"/>
  <c r="C126" i="20" l="1"/>
  <c r="E126" i="20"/>
  <c r="B127" i="20" s="1"/>
  <c r="C127" i="20" l="1"/>
  <c r="E127" i="20" s="1"/>
  <c r="B128" i="20" s="1"/>
  <c r="C128" i="20" l="1"/>
  <c r="E128" i="20" s="1"/>
  <c r="B129" i="20" s="1"/>
  <c r="C129" i="20" l="1"/>
  <c r="E129" i="20"/>
  <c r="B130" i="20" s="1"/>
  <c r="C130" i="20" l="1"/>
  <c r="E130" i="20" s="1"/>
  <c r="B131" i="20" s="1"/>
  <c r="C131" i="20" l="1"/>
  <c r="E131" i="20"/>
  <c r="B132" i="20" s="1"/>
  <c r="C132" i="20" l="1"/>
  <c r="E132" i="20" s="1"/>
  <c r="B133" i="20" s="1"/>
  <c r="C133" i="20" l="1"/>
  <c r="E133" i="20"/>
  <c r="B134" i="20" s="1"/>
  <c r="C134" i="20" l="1"/>
  <c r="E134" i="20"/>
  <c r="B135" i="20" s="1"/>
  <c r="E135" i="20" l="1"/>
  <c r="B136" i="20" s="1"/>
  <c r="C135" i="20"/>
  <c r="C136" i="20" l="1"/>
  <c r="E136" i="20" s="1"/>
  <c r="B137" i="20" s="1"/>
  <c r="C137" i="20" l="1"/>
  <c r="E137" i="20" s="1"/>
  <c r="B138" i="20" s="1"/>
  <c r="C138" i="20" l="1"/>
  <c r="E138" i="20"/>
  <c r="B139" i="20" s="1"/>
  <c r="C139" i="20" l="1"/>
  <c r="E139" i="20"/>
  <c r="B140" i="20" s="1"/>
  <c r="C140" i="20" l="1"/>
  <c r="E140" i="20" s="1"/>
  <c r="B141" i="20" s="1"/>
  <c r="C141" i="20" l="1"/>
  <c r="E141" i="20"/>
  <c r="B142" i="20" s="1"/>
  <c r="C142" i="20" l="1"/>
  <c r="E142" i="20"/>
  <c r="B143" i="20" s="1"/>
  <c r="C143" i="20" l="1"/>
  <c r="E143" i="20" s="1"/>
  <c r="B144" i="20" s="1"/>
  <c r="C144" i="20" l="1"/>
  <c r="E144" i="20" s="1"/>
  <c r="B145" i="20" s="1"/>
  <c r="C145" i="20" l="1"/>
  <c r="E145" i="20"/>
  <c r="B146" i="20" s="1"/>
  <c r="C146" i="20" l="1"/>
  <c r="E146" i="20" s="1"/>
  <c r="B147" i="20" s="1"/>
  <c r="C147" i="20" l="1"/>
  <c r="E147" i="20"/>
  <c r="B148" i="20" s="1"/>
  <c r="C148" i="20" l="1"/>
  <c r="E148" i="20"/>
  <c r="B149" i="20" s="1"/>
  <c r="C149" i="20" l="1"/>
  <c r="E149" i="20"/>
  <c r="B150" i="20" s="1"/>
  <c r="C150" i="20" l="1"/>
  <c r="E150" i="20"/>
  <c r="B151" i="20" s="1"/>
  <c r="C151" i="20" l="1"/>
  <c r="E151" i="20" s="1"/>
  <c r="B152" i="20" s="1"/>
  <c r="C152" i="20" l="1"/>
  <c r="E152" i="20" s="1"/>
  <c r="B153" i="20" s="1"/>
  <c r="C153" i="20" l="1"/>
  <c r="E153" i="20" s="1"/>
  <c r="B154" i="20" s="1"/>
  <c r="C154" i="20" l="1"/>
  <c r="E154" i="20"/>
  <c r="B155" i="20" s="1"/>
  <c r="C155" i="20" l="1"/>
  <c r="E155" i="20" s="1"/>
  <c r="B156" i="20" s="1"/>
  <c r="C156" i="20" l="1"/>
  <c r="E156" i="20" s="1"/>
  <c r="B157" i="20" s="1"/>
  <c r="C157" i="20" l="1"/>
  <c r="E157" i="20"/>
  <c r="B158" i="20" s="1"/>
  <c r="C158" i="20" l="1"/>
  <c r="E158" i="20" s="1"/>
  <c r="B159" i="20" s="1"/>
  <c r="C159" i="20" l="1"/>
  <c r="E159" i="20" s="1"/>
  <c r="B160" i="20" s="1"/>
  <c r="C160" i="20" l="1"/>
  <c r="E160" i="20" s="1"/>
  <c r="B161" i="20" s="1"/>
  <c r="C161" i="20" l="1"/>
  <c r="E161" i="20"/>
  <c r="B162" i="20" s="1"/>
  <c r="C162" i="20" l="1"/>
  <c r="E162" i="20" s="1"/>
  <c r="B163" i="20" s="1"/>
  <c r="C163" i="20" l="1"/>
  <c r="E163" i="20"/>
  <c r="B164" i="20" s="1"/>
  <c r="C164" i="20" l="1"/>
  <c r="E164" i="20" s="1"/>
  <c r="B165" i="20" s="1"/>
  <c r="C165" i="20" l="1"/>
  <c r="E165" i="20"/>
  <c r="B166" i="20" s="1"/>
  <c r="C166" i="20" l="1"/>
  <c r="E166" i="20"/>
  <c r="B167" i="20" s="1"/>
  <c r="C167" i="20" l="1"/>
  <c r="E167" i="20" s="1"/>
  <c r="B168" i="20" s="1"/>
  <c r="C168" i="20" l="1"/>
  <c r="E168" i="20" s="1"/>
  <c r="B169" i="20" s="1"/>
  <c r="C169" i="20" l="1"/>
  <c r="E169" i="20" s="1"/>
  <c r="B170" i="20" s="1"/>
  <c r="C170" i="20" l="1"/>
  <c r="E170" i="20"/>
  <c r="B171" i="20" s="1"/>
  <c r="C171" i="20" l="1"/>
  <c r="E171" i="20"/>
  <c r="B172" i="20" s="1"/>
  <c r="C172" i="20" l="1"/>
  <c r="E172" i="20" s="1"/>
  <c r="B173" i="20" s="1"/>
  <c r="C173" i="20" l="1"/>
  <c r="E173" i="20"/>
  <c r="B174" i="20" s="1"/>
  <c r="C174" i="20" l="1"/>
  <c r="E174" i="20"/>
  <c r="B175" i="20" s="1"/>
  <c r="C175" i="20" l="1"/>
  <c r="E175" i="20" s="1"/>
  <c r="B176" i="20" s="1"/>
  <c r="C176" i="20" l="1"/>
  <c r="E176" i="20" s="1"/>
  <c r="B177" i="20" s="1"/>
  <c r="C177" i="20" l="1"/>
  <c r="E177" i="20"/>
  <c r="B178" i="20" s="1"/>
  <c r="C178" i="20" l="1"/>
  <c r="E178" i="20" s="1"/>
  <c r="B179" i="20" s="1"/>
  <c r="C179" i="20" l="1"/>
  <c r="E179" i="20"/>
  <c r="B180" i="20" s="1"/>
  <c r="C180" i="20" l="1"/>
  <c r="E180" i="20"/>
  <c r="B181" i="20" s="1"/>
  <c r="C181" i="20" l="1"/>
  <c r="E181" i="20"/>
  <c r="B182" i="20" s="1"/>
  <c r="C182" i="20" l="1"/>
  <c r="E182" i="20"/>
  <c r="B183" i="20" s="1"/>
  <c r="C183" i="20" l="1"/>
  <c r="E183" i="20" s="1"/>
  <c r="B184" i="20" s="1"/>
  <c r="C184" i="20" l="1"/>
  <c r="E184" i="20" s="1"/>
  <c r="B185" i="20" s="1"/>
  <c r="C185" i="20" l="1"/>
  <c r="E185" i="20" s="1"/>
  <c r="B186" i="20" s="1"/>
  <c r="C186" i="20" l="1"/>
  <c r="E186" i="20"/>
  <c r="B187" i="20" s="1"/>
  <c r="C187" i="20" l="1"/>
  <c r="E187" i="20" s="1"/>
  <c r="B188" i="20" s="1"/>
  <c r="C188" i="20" l="1"/>
  <c r="E188" i="20" s="1"/>
  <c r="B189" i="20" s="1"/>
  <c r="C189" i="20" l="1"/>
  <c r="E189" i="20"/>
  <c r="B190" i="20" s="1"/>
  <c r="C190" i="20" l="1"/>
  <c r="E190" i="20" s="1"/>
  <c r="B191" i="20" s="1"/>
  <c r="C191" i="20" l="1"/>
  <c r="E191" i="20" s="1"/>
  <c r="B192" i="20" s="1"/>
  <c r="C192" i="20" l="1"/>
  <c r="E192" i="20"/>
  <c r="B193" i="20" s="1"/>
  <c r="C193" i="20" l="1"/>
  <c r="E193" i="20"/>
  <c r="B194" i="20" s="1"/>
  <c r="C194" i="20" l="1"/>
  <c r="E194" i="20" s="1"/>
  <c r="B195" i="20" s="1"/>
  <c r="C195" i="20" l="1"/>
  <c r="E195" i="20" s="1"/>
  <c r="B196" i="20" s="1"/>
  <c r="C196" i="20" l="1"/>
  <c r="E196" i="20" s="1"/>
  <c r="B197" i="20" s="1"/>
  <c r="C197" i="20" l="1"/>
  <c r="E197" i="20"/>
  <c r="B198" i="20" s="1"/>
  <c r="C198" i="20" l="1"/>
  <c r="E198" i="20"/>
  <c r="B199" i="20" s="1"/>
  <c r="C199" i="20" l="1"/>
  <c r="E199" i="20" s="1"/>
  <c r="B200" i="20" s="1"/>
  <c r="C200" i="20" l="1"/>
  <c r="E200" i="20" s="1"/>
  <c r="B201" i="20" s="1"/>
  <c r="C201" i="20" l="1"/>
  <c r="E201" i="20"/>
  <c r="B202" i="20" s="1"/>
  <c r="C202" i="20" l="1"/>
  <c r="E202" i="20" s="1"/>
  <c r="B203" i="20" s="1"/>
  <c r="C203" i="20" l="1"/>
  <c r="E203" i="20"/>
  <c r="B204" i="20" s="1"/>
  <c r="E204" i="20" l="1"/>
  <c r="B205" i="20" s="1"/>
  <c r="C204" i="20"/>
  <c r="C205" i="20" l="1"/>
  <c r="E205" i="20" s="1"/>
  <c r="B206" i="20" s="1"/>
  <c r="C206" i="20" l="1"/>
  <c r="E206" i="20"/>
  <c r="B207" i="20" s="1"/>
  <c r="C207" i="20" l="1"/>
  <c r="E207" i="20" s="1"/>
  <c r="B208" i="20" s="1"/>
  <c r="C208" i="20" l="1"/>
  <c r="E208" i="20" s="1"/>
  <c r="B209" i="20" s="1"/>
  <c r="C209" i="20" l="1"/>
  <c r="E209" i="20"/>
  <c r="B210" i="20" s="1"/>
  <c r="C210" i="20" l="1"/>
  <c r="E210" i="20"/>
  <c r="B211" i="20" s="1"/>
  <c r="C211" i="20" l="1"/>
  <c r="E211" i="20" s="1"/>
  <c r="B212" i="20" s="1"/>
  <c r="C212" i="20" l="1"/>
  <c r="E212" i="20"/>
  <c r="B213" i="20" s="1"/>
  <c r="C213" i="20" l="1"/>
  <c r="E213" i="20"/>
  <c r="B214" i="20" s="1"/>
  <c r="C214" i="20" l="1"/>
  <c r="E214" i="20" s="1"/>
  <c r="B215" i="20" s="1"/>
  <c r="C215" i="20" l="1"/>
  <c r="E215" i="20" s="1"/>
  <c r="B216" i="20" s="1"/>
  <c r="C216" i="20" l="1"/>
  <c r="E216" i="20"/>
  <c r="B217" i="20" s="1"/>
  <c r="C217" i="20" l="1"/>
  <c r="E217" i="20" s="1"/>
  <c r="B218" i="20" s="1"/>
  <c r="C218" i="20" l="1"/>
  <c r="E218" i="20"/>
  <c r="B219" i="20" s="1"/>
  <c r="C219" i="20" l="1"/>
  <c r="E219" i="20"/>
  <c r="B220" i="20" s="1"/>
  <c r="C220" i="20" l="1"/>
  <c r="E220" i="20" s="1"/>
  <c r="B221" i="20" s="1"/>
  <c r="C221" i="20" l="1"/>
  <c r="E221" i="20"/>
  <c r="B222" i="20" s="1"/>
  <c r="C222" i="20" l="1"/>
  <c r="E222" i="20" s="1"/>
  <c r="B223" i="20" s="1"/>
  <c r="E223" i="20" l="1"/>
  <c r="B224" i="20" s="1"/>
  <c r="C223" i="20"/>
  <c r="C224" i="20" l="1"/>
  <c r="E224" i="20"/>
  <c r="B225" i="20" s="1"/>
  <c r="C225" i="20" l="1"/>
  <c r="E225" i="20" s="1"/>
  <c r="B226" i="20" s="1"/>
  <c r="C226" i="20" l="1"/>
  <c r="E226" i="20" s="1"/>
  <c r="B227" i="20" s="1"/>
  <c r="C227" i="20" l="1"/>
  <c r="E227" i="20"/>
  <c r="B228" i="20" s="1"/>
  <c r="C228" i="20" l="1"/>
  <c r="E228" i="20" s="1"/>
  <c r="B229" i="20" s="1"/>
  <c r="C229" i="20" l="1"/>
  <c r="E229" i="20"/>
  <c r="B230" i="20" s="1"/>
  <c r="C230" i="20" l="1"/>
  <c r="E230" i="20"/>
  <c r="B231" i="20" s="1"/>
  <c r="C231" i="20" l="1"/>
  <c r="E231" i="20" s="1"/>
  <c r="B232" i="20" s="1"/>
  <c r="C232" i="20" l="1"/>
  <c r="E232" i="20" s="1"/>
  <c r="B233" i="20" s="1"/>
  <c r="C233" i="20" l="1"/>
  <c r="E233" i="20" s="1"/>
  <c r="B234" i="20" s="1"/>
  <c r="C234" i="20" l="1"/>
  <c r="E234" i="20" s="1"/>
  <c r="B235" i="20" s="1"/>
  <c r="C235" i="20" l="1"/>
  <c r="E235" i="20"/>
  <c r="B236" i="20" s="1"/>
  <c r="C236" i="20" l="1"/>
  <c r="E236" i="20"/>
  <c r="B237" i="20" s="1"/>
  <c r="C237" i="20" l="1"/>
  <c r="E237" i="20"/>
  <c r="B238" i="20" s="1"/>
  <c r="C238" i="20" l="1"/>
  <c r="E238" i="20"/>
  <c r="B239" i="20" s="1"/>
  <c r="C239" i="20" l="1"/>
  <c r="E239" i="20" s="1"/>
  <c r="B240" i="20" s="1"/>
  <c r="C240" i="20" l="1"/>
  <c r="E240" i="20" s="1"/>
  <c r="B241" i="20" s="1"/>
  <c r="C241" i="20" l="1"/>
  <c r="E241" i="20"/>
  <c r="B242" i="20" s="1"/>
  <c r="C242" i="20" l="1"/>
  <c r="E242" i="20"/>
  <c r="B243" i="20" s="1"/>
  <c r="C243" i="20" l="1"/>
  <c r="E243" i="20" s="1"/>
  <c r="B244" i="20" s="1"/>
  <c r="C244" i="20" l="1"/>
  <c r="E244" i="20"/>
  <c r="B245" i="20" s="1"/>
  <c r="C245" i="20" l="1"/>
  <c r="E245" i="20"/>
  <c r="B246" i="20" s="1"/>
  <c r="C246" i="20" l="1"/>
  <c r="E246" i="20" s="1"/>
  <c r="B247" i="20" s="1"/>
  <c r="C247" i="20" l="1"/>
  <c r="E247" i="20" s="1"/>
  <c r="B248" i="20" s="1"/>
  <c r="C248" i="20" l="1"/>
  <c r="E248" i="20"/>
  <c r="B249" i="20" s="1"/>
  <c r="C249" i="20" l="1"/>
  <c r="E249" i="20" s="1"/>
  <c r="B250" i="20" s="1"/>
  <c r="C250" i="20" l="1"/>
  <c r="E250" i="20"/>
  <c r="B251" i="20" s="1"/>
  <c r="C251" i="20" l="1"/>
  <c r="E251" i="20" s="1"/>
  <c r="B252" i="20" s="1"/>
  <c r="C252" i="20" l="1"/>
  <c r="E252" i="20" s="1"/>
  <c r="B253" i="20" s="1"/>
  <c r="C253" i="20" l="1"/>
  <c r="E253" i="20"/>
  <c r="B254" i="20" s="1"/>
  <c r="C254" i="20" l="1"/>
  <c r="E254" i="20" s="1"/>
  <c r="B255" i="20" s="1"/>
  <c r="C255" i="20" l="1"/>
  <c r="E255" i="20" s="1"/>
  <c r="B256" i="20" s="1"/>
  <c r="C256" i="20" l="1"/>
  <c r="E256" i="20"/>
  <c r="B257" i="20" s="1"/>
  <c r="C257" i="20" l="1"/>
  <c r="E257" i="20"/>
  <c r="B258" i="20" s="1"/>
  <c r="C258" i="20" l="1"/>
  <c r="E258" i="20" s="1"/>
  <c r="B259" i="20" s="1"/>
  <c r="C259" i="20" l="1"/>
  <c r="E259" i="20"/>
  <c r="B260" i="20" s="1"/>
  <c r="E260" i="20" l="1"/>
  <c r="B261" i="20" s="1"/>
  <c r="C260" i="20"/>
  <c r="C261" i="20" l="1"/>
  <c r="E261" i="20"/>
  <c r="B262" i="20" s="1"/>
  <c r="C262" i="20" l="1"/>
  <c r="E262" i="20"/>
  <c r="B263" i="20" s="1"/>
  <c r="C263" i="20" l="1"/>
  <c r="E263" i="20" s="1"/>
  <c r="B264" i="20" s="1"/>
  <c r="C264" i="20" l="1"/>
  <c r="E264" i="20" s="1"/>
  <c r="B265" i="20" s="1"/>
  <c r="C265" i="20" l="1"/>
  <c r="E265" i="20"/>
  <c r="B266" i="20" s="1"/>
  <c r="E266" i="20" l="1"/>
  <c r="B267" i="20" s="1"/>
  <c r="C266" i="20"/>
  <c r="C267" i="20" l="1"/>
  <c r="E267" i="20" s="1"/>
  <c r="B268" i="20" s="1"/>
  <c r="C268" i="20" l="1"/>
  <c r="E268" i="20" s="1"/>
  <c r="B269" i="20" s="1"/>
  <c r="C269" i="20" l="1"/>
  <c r="E269" i="20"/>
  <c r="B270" i="20" s="1"/>
  <c r="C270" i="20" l="1"/>
  <c r="E270" i="20"/>
  <c r="B271" i="20" s="1"/>
  <c r="C271" i="20" l="1"/>
  <c r="E271" i="20" s="1"/>
  <c r="B272" i="20" s="1"/>
  <c r="C272" i="20" l="1"/>
  <c r="E272" i="20" s="1"/>
  <c r="B273" i="20" s="1"/>
  <c r="C273" i="20" l="1"/>
  <c r="E273" i="20"/>
  <c r="B274" i="20" s="1"/>
  <c r="C274" i="20" l="1"/>
  <c r="E274" i="20"/>
  <c r="B275" i="20" s="1"/>
  <c r="C275" i="20" l="1"/>
  <c r="E275" i="20" s="1"/>
  <c r="B276" i="20" s="1"/>
  <c r="C276" i="20" l="1"/>
  <c r="E276" i="20"/>
  <c r="B277" i="20" s="1"/>
  <c r="C277" i="20" l="1"/>
  <c r="E277" i="20"/>
  <c r="B278" i="20" s="1"/>
  <c r="C278" i="20" l="1"/>
  <c r="E278" i="20" s="1"/>
  <c r="B279" i="20" s="1"/>
  <c r="C279" i="20" l="1"/>
  <c r="E279" i="20" s="1"/>
  <c r="B280" i="20" s="1"/>
  <c r="C280" i="20" l="1"/>
  <c r="E280" i="20" s="1"/>
  <c r="B281" i="20" s="1"/>
  <c r="C281" i="20" l="1"/>
  <c r="E281" i="20" s="1"/>
  <c r="B282" i="20" s="1"/>
  <c r="C282" i="20" l="1"/>
  <c r="E282" i="20"/>
  <c r="B283" i="20" s="1"/>
  <c r="C283" i="20" l="1"/>
  <c r="E283" i="20"/>
  <c r="B284" i="20" s="1"/>
  <c r="C284" i="20" l="1"/>
  <c r="E284" i="20" s="1"/>
  <c r="B285" i="20" s="1"/>
  <c r="C285" i="20" l="1"/>
  <c r="E285" i="20"/>
  <c r="B286" i="20" s="1"/>
  <c r="C286" i="20" l="1"/>
  <c r="E286" i="20"/>
  <c r="B287" i="20" s="1"/>
  <c r="C287" i="20" l="1"/>
  <c r="E287" i="20" s="1"/>
  <c r="B288" i="20" s="1"/>
  <c r="C288" i="20" l="1"/>
  <c r="E288" i="20"/>
  <c r="B289" i="20" s="1"/>
  <c r="C289" i="20" l="1"/>
  <c r="E289" i="20" s="1"/>
  <c r="B290" i="20" s="1"/>
  <c r="C290" i="20" l="1"/>
  <c r="E290" i="20" s="1"/>
  <c r="B291" i="20" s="1"/>
  <c r="C291" i="20" l="1"/>
  <c r="E291" i="20" s="1"/>
  <c r="B292" i="20" s="1"/>
  <c r="C292" i="20" l="1"/>
  <c r="E292" i="20" s="1"/>
  <c r="B293" i="20" s="1"/>
  <c r="C293" i="20" l="1"/>
  <c r="E293" i="20"/>
  <c r="B294" i="20" s="1"/>
  <c r="C294" i="20" l="1"/>
  <c r="E294" i="20"/>
  <c r="B295" i="20" s="1"/>
  <c r="C295" i="20" l="1"/>
  <c r="E295" i="20" s="1"/>
  <c r="B296" i="20" s="1"/>
  <c r="C296" i="20" l="1"/>
  <c r="E296" i="20" s="1"/>
  <c r="B297" i="20" s="1"/>
  <c r="C297" i="20" l="1"/>
  <c r="E297" i="20"/>
  <c r="B298" i="20" s="1"/>
  <c r="C298" i="20" l="1"/>
  <c r="E298" i="20" s="1"/>
  <c r="B299" i="20" s="1"/>
  <c r="C299" i="20" l="1"/>
  <c r="E299" i="20"/>
  <c r="B300" i="20" s="1"/>
  <c r="C300" i="20" l="1"/>
  <c r="E300" i="20"/>
  <c r="B301" i="20" s="1"/>
  <c r="C301" i="20" l="1"/>
  <c r="E301" i="20"/>
  <c r="B302" i="20" s="1"/>
  <c r="C302" i="20" l="1"/>
  <c r="E302" i="20"/>
  <c r="B303" i="20" s="1"/>
  <c r="C303" i="20" l="1"/>
  <c r="E303" i="20" s="1"/>
  <c r="B304" i="20" s="1"/>
  <c r="C304" i="20" l="1"/>
  <c r="E304" i="20" s="1"/>
  <c r="B305" i="20" s="1"/>
  <c r="C305" i="20" l="1"/>
  <c r="E305" i="20"/>
  <c r="B306" i="20" s="1"/>
  <c r="C306" i="20" l="1"/>
  <c r="E306" i="20" s="1"/>
  <c r="B307" i="20" s="1"/>
  <c r="C307" i="20" l="1"/>
  <c r="E307" i="20" s="1"/>
  <c r="B308" i="20" s="1"/>
  <c r="C308" i="20" l="1"/>
  <c r="E308" i="20"/>
  <c r="B309" i="20" s="1"/>
  <c r="C309" i="20" l="1"/>
  <c r="E309" i="20" s="1"/>
  <c r="B310" i="20" s="1"/>
  <c r="C310" i="20" l="1"/>
  <c r="E310" i="20" s="1"/>
  <c r="B311" i="20" s="1"/>
  <c r="C311" i="20" l="1"/>
  <c r="E311" i="20" s="1"/>
  <c r="B312" i="20" s="1"/>
  <c r="C312" i="20" l="1"/>
  <c r="E312" i="20"/>
  <c r="B313" i="20" s="1"/>
  <c r="C313" i="20" l="1"/>
  <c r="E313" i="20" s="1"/>
  <c r="B314" i="20" s="1"/>
  <c r="C314" i="20" l="1"/>
  <c r="E314" i="20"/>
  <c r="B315" i="20" s="1"/>
  <c r="C315" i="20" l="1"/>
  <c r="E315" i="20" s="1"/>
  <c r="B316" i="20" s="1"/>
  <c r="C316" i="20" l="1"/>
  <c r="E316" i="20" s="1"/>
  <c r="B317" i="20" s="1"/>
  <c r="C317" i="20" l="1"/>
  <c r="E317" i="20"/>
  <c r="B318" i="20" s="1"/>
  <c r="C318" i="20" l="1"/>
  <c r="E318" i="20" s="1"/>
  <c r="B319" i="20" s="1"/>
  <c r="C319" i="20" l="1"/>
  <c r="E319" i="20" s="1"/>
  <c r="B320" i="20" s="1"/>
  <c r="C320" i="20" l="1"/>
  <c r="E320" i="20"/>
  <c r="B321" i="20" s="1"/>
  <c r="C321" i="20" l="1"/>
  <c r="E321" i="20"/>
  <c r="B322" i="20" s="1"/>
  <c r="C322" i="20" l="1"/>
  <c r="E322" i="20" s="1"/>
  <c r="B323" i="20" s="1"/>
  <c r="C323" i="20" l="1"/>
  <c r="E323" i="20"/>
  <c r="B324" i="20" s="1"/>
  <c r="C324" i="20" l="1"/>
  <c r="E324" i="20" s="1"/>
  <c r="B325" i="20" s="1"/>
  <c r="C325" i="20" l="1"/>
  <c r="E325" i="20"/>
  <c r="B326" i="20" s="1"/>
  <c r="C326" i="20" l="1"/>
  <c r="E326" i="20"/>
  <c r="B327" i="20" s="1"/>
  <c r="C327" i="20" l="1"/>
  <c r="E327" i="20" s="1"/>
  <c r="B328" i="20" s="1"/>
  <c r="C328" i="20" l="1"/>
  <c r="E328" i="20" s="1"/>
  <c r="B329" i="20" s="1"/>
  <c r="C329" i="20" l="1"/>
  <c r="E329" i="20"/>
  <c r="B330" i="20" s="1"/>
  <c r="C330" i="20" l="1"/>
  <c r="E330" i="20" s="1"/>
  <c r="B331" i="20" s="1"/>
  <c r="C331" i="20" l="1"/>
  <c r="E331" i="20"/>
  <c r="B332" i="20" s="1"/>
  <c r="C332" i="20" l="1"/>
  <c r="E332" i="20" s="1"/>
  <c r="B333" i="20" s="1"/>
  <c r="C333" i="20" l="1"/>
  <c r="E333" i="20" s="1"/>
  <c r="B334" i="20" s="1"/>
  <c r="C334" i="20" l="1"/>
  <c r="E334" i="20"/>
  <c r="B335" i="20" s="1"/>
  <c r="C335" i="20" l="1"/>
  <c r="E335" i="20" s="1"/>
  <c r="B336" i="20" s="1"/>
  <c r="C336" i="20" l="1"/>
  <c r="E336" i="20" s="1"/>
  <c r="B337" i="20" s="1"/>
  <c r="C337" i="20" l="1"/>
  <c r="E337" i="20"/>
  <c r="B338" i="20" s="1"/>
  <c r="C338" i="20" l="1"/>
  <c r="E338" i="20"/>
  <c r="B339" i="20" s="1"/>
  <c r="C339" i="20" l="1"/>
  <c r="E339" i="20" s="1"/>
  <c r="B340" i="20" s="1"/>
  <c r="C340" i="20" l="1"/>
  <c r="E340" i="20"/>
  <c r="B341" i="20" s="1"/>
  <c r="C341" i="20" l="1"/>
  <c r="E341" i="20"/>
  <c r="B342" i="20" s="1"/>
  <c r="C342" i="20" l="1"/>
  <c r="E342" i="20" s="1"/>
  <c r="B343" i="20" s="1"/>
  <c r="C343" i="20" l="1"/>
  <c r="E343" i="20" s="1"/>
  <c r="B344" i="20" s="1"/>
  <c r="C344" i="20" l="1"/>
  <c r="E344" i="20" s="1"/>
  <c r="B345" i="20" s="1"/>
  <c r="C345" i="20" l="1"/>
  <c r="E345" i="20" s="1"/>
  <c r="B346" i="20" s="1"/>
  <c r="C346" i="20" l="1"/>
  <c r="E346" i="20"/>
  <c r="B347" i="20" s="1"/>
  <c r="C347" i="20" l="1"/>
  <c r="E347" i="20"/>
  <c r="B348" i="20" s="1"/>
  <c r="C348" i="20" l="1"/>
  <c r="E348" i="20" s="1"/>
  <c r="B349" i="20" s="1"/>
  <c r="C349" i="20" l="1"/>
  <c r="E349" i="20"/>
  <c r="B350" i="20" s="1"/>
  <c r="C350" i="20" l="1"/>
  <c r="E350" i="20"/>
  <c r="B351" i="20" s="1"/>
  <c r="C351" i="20" l="1"/>
  <c r="E351" i="20" s="1"/>
  <c r="B352" i="20" s="1"/>
  <c r="C352" i="20" l="1"/>
  <c r="E352" i="20"/>
  <c r="B353" i="20" s="1"/>
  <c r="C353" i="20" l="1"/>
  <c r="E353" i="20" s="1"/>
  <c r="B354" i="20" s="1"/>
  <c r="C354" i="20" l="1"/>
  <c r="E354" i="20" s="1"/>
  <c r="B355" i="20" s="1"/>
  <c r="C355" i="20" l="1"/>
  <c r="E355" i="20"/>
  <c r="B356" i="20" s="1"/>
  <c r="C356" i="20" l="1"/>
  <c r="E356" i="20" s="1"/>
  <c r="B357" i="20" s="1"/>
  <c r="C357" i="20" l="1"/>
  <c r="E357" i="20"/>
  <c r="B358" i="20" s="1"/>
  <c r="C358" i="20" l="1"/>
  <c r="E358" i="20"/>
  <c r="B359" i="20" s="1"/>
  <c r="C359" i="20" l="1"/>
  <c r="E359" i="20" s="1"/>
  <c r="B360" i="20" s="1"/>
  <c r="C360" i="20" l="1"/>
  <c r="E360" i="20"/>
  <c r="B361" i="20" s="1"/>
  <c r="C361" i="20" l="1"/>
  <c r="E361" i="20" s="1"/>
  <c r="B362" i="20" s="1"/>
  <c r="C362" i="20" l="1"/>
  <c r="E362" i="20" s="1"/>
  <c r="B363" i="20" s="1"/>
  <c r="C363" i="20" l="1"/>
  <c r="E363" i="20"/>
  <c r="B364" i="20" s="1"/>
  <c r="C364" i="20" l="1"/>
  <c r="E364" i="20" s="1"/>
  <c r="B365" i="20" s="1"/>
  <c r="C365" i="20" l="1"/>
  <c r="E365" i="20"/>
  <c r="B366" i="20" s="1"/>
  <c r="C366" i="20" l="1"/>
  <c r="E366" i="20"/>
  <c r="B367" i="20" s="1"/>
  <c r="C367" i="20" l="1"/>
  <c r="E367" i="20" s="1"/>
  <c r="B368" i="20" s="1"/>
  <c r="C368" i="20" l="1"/>
  <c r="E368" i="20"/>
  <c r="B369" i="20" s="1"/>
  <c r="C369" i="20" l="1"/>
  <c r="E369" i="20"/>
  <c r="B370" i="20" s="1"/>
  <c r="E370" i="20" l="1"/>
  <c r="B371" i="20" s="1"/>
  <c r="C370" i="20"/>
  <c r="C371" i="20" l="1"/>
  <c r="E371" i="20"/>
  <c r="E7" i="25"/>
  <c r="B8" i="25" s="1"/>
  <c r="C8" i="25" l="1"/>
  <c r="E8" i="25" s="1"/>
  <c r="B9" i="25" s="1"/>
  <c r="C9" i="25" l="1"/>
  <c r="E9" i="25" l="1"/>
  <c r="B10" i="25" s="1"/>
  <c r="C10" i="25" l="1"/>
  <c r="E10" i="25" s="1"/>
  <c r="B11" i="25" l="1"/>
  <c r="C11" i="25" l="1"/>
  <c r="E11" i="25" s="1"/>
  <c r="B12" i="25" s="1"/>
  <c r="C12" i="25" l="1"/>
  <c r="E12" i="25"/>
  <c r="B13" i="25" s="1"/>
  <c r="C13" i="25" l="1"/>
  <c r="E13" i="25"/>
  <c r="B14" i="25" s="1"/>
  <c r="C14" i="25" l="1"/>
  <c r="E14" i="25"/>
  <c r="B15" i="25" s="1"/>
  <c r="C15" i="25" l="1"/>
  <c r="E15" i="25"/>
  <c r="B16" i="25" s="1"/>
  <c r="C16" i="25" l="1"/>
  <c r="E16" i="25" s="1"/>
</calcChain>
</file>

<file path=xl/sharedStrings.xml><?xml version="1.0" encoding="utf-8"?>
<sst xmlns="http://schemas.openxmlformats.org/spreadsheetml/2006/main" count="150" uniqueCount="91">
  <si>
    <t>Date</t>
    <phoneticPr fontId="1" type="noConversion"/>
  </si>
  <si>
    <t>discount rate</t>
    <phoneticPr fontId="1" type="noConversion"/>
  </si>
  <si>
    <t>year</t>
    <phoneticPr fontId="1" type="noConversion"/>
  </si>
  <si>
    <t>cf</t>
    <phoneticPr fontId="1" type="noConversion"/>
  </si>
  <si>
    <t>Section a.</t>
    <phoneticPr fontId="1" type="noConversion"/>
  </si>
  <si>
    <t>NPV</t>
    <phoneticPr fontId="1" type="noConversion"/>
  </si>
  <si>
    <t>Section b.</t>
    <phoneticPr fontId="1" type="noConversion"/>
  </si>
  <si>
    <t>IRR</t>
    <phoneticPr fontId="1" type="noConversion"/>
  </si>
  <si>
    <t>Section c.</t>
    <phoneticPr fontId="1" type="noConversion"/>
  </si>
  <si>
    <t>total number of deposits</t>
    <phoneticPr fontId="1" type="noConversion"/>
  </si>
  <si>
    <t>ir per month</t>
    <phoneticPr fontId="1" type="noConversion"/>
  </si>
  <si>
    <t>target FV</t>
    <phoneticPr fontId="1" type="noConversion"/>
  </si>
  <si>
    <t>PMT</t>
    <phoneticPr fontId="1" type="noConversion"/>
  </si>
  <si>
    <t>ir per year</t>
    <phoneticPr fontId="1" type="noConversion"/>
  </si>
  <si>
    <t>year now</t>
    <phoneticPr fontId="1" type="noConversion"/>
  </si>
  <si>
    <t>save every year</t>
    <phoneticPr fontId="1" type="noConversion"/>
  </si>
  <si>
    <t>nper</t>
    <phoneticPr fontId="1" type="noConversion"/>
  </si>
  <si>
    <t>ir</t>
    <phoneticPr fontId="1" type="noConversion"/>
  </si>
  <si>
    <t>fv</t>
    <phoneticPr fontId="1" type="noConversion"/>
  </si>
  <si>
    <t>years</t>
    <phoneticPr fontId="1" type="noConversion"/>
  </si>
  <si>
    <t>PV</t>
    <phoneticPr fontId="1" type="noConversion"/>
  </si>
  <si>
    <t>NPER</t>
    <phoneticPr fontId="1" type="noConversion"/>
  </si>
  <si>
    <t>principal at start the month</t>
    <phoneticPr fontId="1" type="noConversion"/>
  </si>
  <si>
    <t>interest</t>
    <phoneticPr fontId="1" type="noConversion"/>
  </si>
  <si>
    <t>pmt</t>
    <phoneticPr fontId="1" type="noConversion"/>
  </si>
  <si>
    <t>principal at end of the month</t>
    <phoneticPr fontId="1" type="noConversion"/>
  </si>
  <si>
    <t>month</t>
    <phoneticPr fontId="1" type="noConversion"/>
  </si>
  <si>
    <t>IR</t>
    <phoneticPr fontId="1" type="noConversion"/>
  </si>
  <si>
    <t>months</t>
    <phoneticPr fontId="1" type="noConversion"/>
  </si>
  <si>
    <t>RATE</t>
    <phoneticPr fontId="1" type="noConversion"/>
  </si>
  <si>
    <t>annual IR</t>
    <phoneticPr fontId="1" type="noConversion"/>
  </si>
  <si>
    <t>principal at start the year</t>
    <phoneticPr fontId="1" type="noConversion"/>
  </si>
  <si>
    <t>principal at end of the year</t>
    <phoneticPr fontId="1" type="noConversion"/>
  </si>
  <si>
    <t>FV</t>
    <phoneticPr fontId="1" type="noConversion"/>
  </si>
  <si>
    <t>EAIR</t>
    <phoneticPr fontId="1" type="noConversion"/>
  </si>
  <si>
    <t>withdraw time</t>
    <phoneticPr fontId="1" type="noConversion"/>
  </si>
  <si>
    <t>DR</t>
    <phoneticPr fontId="1" type="noConversion"/>
  </si>
  <si>
    <t>date</t>
    <phoneticPr fontId="1" type="noConversion"/>
  </si>
  <si>
    <t>Continuously compounded discount rate</t>
    <phoneticPr fontId="1" type="noConversion"/>
  </si>
  <si>
    <t>Date today</t>
    <phoneticPr fontId="1" type="noConversion"/>
  </si>
  <si>
    <t>Cash flow</t>
    <phoneticPr fontId="1" type="noConversion"/>
  </si>
  <si>
    <t>dates between today</t>
    <phoneticPr fontId="1" type="noConversion"/>
  </si>
  <si>
    <t>today</t>
    <phoneticPr fontId="1" type="noConversion"/>
  </si>
  <si>
    <t>after 1 year</t>
    <phoneticPr fontId="1" type="noConversion"/>
  </si>
  <si>
    <t>discretely compounded rate</t>
    <phoneticPr fontId="1" type="noConversion"/>
  </si>
  <si>
    <t>continuously compounded rate</t>
    <phoneticPr fontId="1" type="noConversion"/>
  </si>
  <si>
    <t>IBM Dividends</t>
    <phoneticPr fontId="1" type="noConversion"/>
  </si>
  <si>
    <t>IBM Stock price</t>
    <phoneticPr fontId="1" type="noConversion"/>
  </si>
  <si>
    <t>Stock return</t>
    <phoneticPr fontId="1" type="noConversion"/>
  </si>
  <si>
    <t>SUMIF</t>
    <phoneticPr fontId="1" type="noConversion"/>
  </si>
  <si>
    <t>Stock</t>
    <phoneticPr fontId="1" type="noConversion"/>
  </si>
  <si>
    <t>Percentage of portfolio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</si>
  <si>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</si>
  <si>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</si>
  <si>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</si>
  <si>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return</t>
    <phoneticPr fontId="1" type="noConversion"/>
  </si>
  <si>
    <t>Student</t>
    <phoneticPr fontId="1" type="noConversion"/>
  </si>
  <si>
    <t>Number grade</t>
    <phoneticPr fontId="1" type="noConversion"/>
  </si>
  <si>
    <t>Letter grade</t>
    <phoneticPr fontId="1" type="noConversion"/>
  </si>
  <si>
    <t>Mary</t>
    <phoneticPr fontId="1" type="noConversion"/>
  </si>
  <si>
    <t>John</t>
    <phoneticPr fontId="1" type="noConversion"/>
  </si>
  <si>
    <t>Jennifer</t>
    <phoneticPr fontId="1" type="noConversion"/>
  </si>
  <si>
    <t>Mo</t>
    <phoneticPr fontId="1" type="noConversion"/>
  </si>
  <si>
    <t>Simon</t>
    <phoneticPr fontId="1" type="noConversion"/>
  </si>
  <si>
    <t>Noah</t>
    <phoneticPr fontId="1" type="noConversion"/>
  </si>
  <si>
    <t>Terry</t>
    <phoneticPr fontId="1" type="noConversion"/>
  </si>
  <si>
    <t>Sara</t>
    <phoneticPr fontId="1" type="noConversion"/>
  </si>
  <si>
    <t>Zvi</t>
    <phoneticPr fontId="1" type="noConversion"/>
  </si>
  <si>
    <t>George</t>
    <phoneticPr fontId="1" type="noConversion"/>
  </si>
  <si>
    <t>Grade range</t>
    <phoneticPr fontId="1" type="noConversion"/>
  </si>
  <si>
    <t>F</t>
    <phoneticPr fontId="1" type="noConversion"/>
  </si>
  <si>
    <t>D</t>
    <phoneticPr fontId="1" type="noConversion"/>
  </si>
  <si>
    <t>DOW JONES 30 INDUSTRIALS
Stock prices on 27 August 2004</t>
    <phoneticPr fontId="1" type="noConversion"/>
  </si>
  <si>
    <t>3M Corporation</t>
    <phoneticPr fontId="1" type="noConversion"/>
  </si>
  <si>
    <t>Alcoa Inc</t>
    <phoneticPr fontId="1" type="noConversion"/>
  </si>
  <si>
    <t>Altria Group inc</t>
    <phoneticPr fontId="1" type="noConversion"/>
  </si>
  <si>
    <t>American Express Company</t>
    <phoneticPr fontId="1" type="noConversion"/>
  </si>
  <si>
    <t>American Intl Group Inc</t>
    <phoneticPr fontId="1" type="noConversion"/>
  </si>
  <si>
    <t>Boeing Co.</t>
    <phoneticPr fontId="1" type="noConversion"/>
  </si>
  <si>
    <t>Caterpillar Inc.</t>
    <phoneticPr fontId="1" type="noConversion"/>
  </si>
  <si>
    <t>Citigroup, Inc.</t>
    <phoneticPr fontId="1" type="noConversion"/>
  </si>
  <si>
    <t>E.I. du Pont de Nemours and Company</t>
    <phoneticPr fontId="1" type="noConversion"/>
  </si>
  <si>
    <t>average</t>
    <phoneticPr fontId="1" type="noConversion"/>
  </si>
  <si>
    <t>media</t>
    <phoneticPr fontId="1" type="noConversion"/>
  </si>
  <si>
    <t>large</t>
    <phoneticPr fontId="1" type="noConversion"/>
  </si>
  <si>
    <t>max</t>
    <phoneticPr fontId="1" type="noConversion"/>
  </si>
  <si>
    <t>min</t>
    <phoneticPr fontId="1" type="noConversion"/>
  </si>
  <si>
    <t>rank</t>
    <phoneticPr fontId="1" type="noConversion"/>
  </si>
  <si>
    <t>COUNTA</t>
    <phoneticPr fontId="1" type="noConversion"/>
  </si>
  <si>
    <t>COUNT</t>
    <phoneticPr fontId="1" type="noConversion"/>
  </si>
  <si>
    <t>COUNTIF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</si>
</sst>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¥&quot;#,##0.00_);[Red]\(&quot;¥&quot;#,##0.00\)"/>
    <numFmt numFmtId="184" formatCode="0.000%"/>
    <numFmt numFmtId="185" formatCode="0.0000%"/>
    <numFmt numFmtId="186" formatCode="0.00000%"/>
    <numFmt numFmtId="197" formatCode="0.00000000000"/>
  </numFmts>
  <fonts count="5">
    <font>
      <sz val="10"/>
      <name val="Arial"/>
    </font>
    <font>
      <sz val="9"/>
      <name val="宋体"/>
      <family val="3"/>
      <charset val="134"/>
    </font>
    <font>
      <sz val="10"/>
      <name val="Arial"/>
      <family val="2"/>
    </font>
    <font>
      <sz val="10"/>
      <name val="Arial"/>
    </font>
    <font>
      <sz val="10"/>
      <color rgb="FF1A1819"/>
      <name val="Helvetic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>
      <alignment vertical="center"/>
    </xf>
  </cellStyleXfs>
  <cellXfs count="25">
    <xf numFmtId="0" fontId="0" fillId="0" borderId="0" xfId="0"/>
    <xf numFmtId="0" fontId="2" fillId="0" borderId="0" xfId="0" applyFont="1"/>
    <xf numFmtId="14" fontId="0" fillId="0" borderId="0" xfId="0" applyNumberFormat="1"/>
    <xf numFmtId="9" fontId="2" fillId="0" borderId="0" xfId="0" applyNumberFormat="1" applyFont="1"/>
    <xf numFmtId="14" fontId="2" fillId="0" borderId="0" xfId="0" applyNumberFormat="1" applyFont="1"/>
    <xf numFmtId="0" fontId="0" fillId="0" borderId="0" xfId="0" applyNumberFormat="1"/>
    <xf numFmtId="8" fontId="0" fillId="0" borderId="0" xfId="0" applyNumberFormat="1"/>
    <xf numFmtId="9" fontId="0" fillId="0" borderId="0" xfId="0" applyNumberFormat="1"/>
    <xf numFmtId="10" fontId="0" fillId="0" borderId="0" xfId="0" applyNumberFormat="1"/>
    <xf numFmtId="10" fontId="4" fillId="0" borderId="0" xfId="0" applyNumberFormat="1" applyFont="1"/>
    <xf numFmtId="3" fontId="0" fillId="0" borderId="0" xfId="0" applyNumberFormat="1"/>
    <xf numFmtId="3" fontId="4" fillId="0" borderId="0" xfId="0" applyNumberFormat="1" applyFont="1"/>
    <xf numFmtId="0" fontId="4" fillId="0" borderId="0" xfId="0" applyNumberFormat="1" applyFont="1"/>
    <xf numFmtId="9" fontId="0" fillId="0" borderId="0" xfId="1" applyFont="1" applyAlignment="1"/>
    <xf numFmtId="10" fontId="0" fillId="0" borderId="0" xfId="1" applyNumberFormat="1" applyFont="1" applyAlignment="1"/>
    <xf numFmtId="184" fontId="0" fillId="0" borderId="0" xfId="1" applyNumberFormat="1" applyFont="1" applyAlignment="1"/>
    <xf numFmtId="186" fontId="0" fillId="0" borderId="0" xfId="0" applyNumberFormat="1"/>
    <xf numFmtId="185" fontId="0" fillId="0" borderId="0" xfId="1" applyNumberFormat="1" applyFont="1" applyAlignment="1"/>
    <xf numFmtId="186" fontId="0" fillId="0" borderId="0" xfId="1" applyNumberFormat="1" applyFont="1" applyAlignment="1"/>
    <xf numFmtId="15" fontId="0" fillId="0" borderId="0" xfId="0" applyNumberFormat="1"/>
    <xf numFmtId="197" fontId="0" fillId="0" borderId="0" xfId="0" applyNumberFormat="1"/>
    <xf numFmtId="0" fontId="2" fillId="0" borderId="0" xfId="0" applyFont="1" applyAlignment="1">
      <alignment wrapText="1"/>
    </xf>
    <xf numFmtId="17" fontId="0" fillId="0" borderId="0" xfId="0" applyNumberFormat="1"/>
    <xf numFmtId="0" fontId="0" fillId="0" borderId="0" xfId="1" applyNumberFormat="1" applyFont="1" applyAlignment="1"/>
    <xf numFmtId="0" fontId="2" fillId="0" borderId="0" xfId="0" applyFont="1" applyAlignment="1">
      <alignment horizontal="center" wrapText="1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 2 template'!$A$19:$A$31</c:f>
              <c:numCache>
                <c:formatCode>0%</c:formatCode>
                <c:ptCount val="13"/>
                <c:pt idx="0">
                  <c:v>0</c:v>
                </c:pt>
                <c:pt idx="1">
                  <c:v>0.04</c:v>
                </c:pt>
                <c:pt idx="2">
                  <c:v>0.08</c:v>
                </c:pt>
                <c:pt idx="3">
                  <c:v>0.12</c:v>
                </c:pt>
                <c:pt idx="4">
                  <c:v>0.16</c:v>
                </c:pt>
                <c:pt idx="5">
                  <c:v>0.2</c:v>
                </c:pt>
                <c:pt idx="6">
                  <c:v>0.24</c:v>
                </c:pt>
                <c:pt idx="7">
                  <c:v>0.28000000000000003</c:v>
                </c:pt>
                <c:pt idx="8">
                  <c:v>0.32</c:v>
                </c:pt>
                <c:pt idx="9">
                  <c:v>0.36</c:v>
                </c:pt>
                <c:pt idx="10">
                  <c:v>0.4</c:v>
                </c:pt>
                <c:pt idx="11">
                  <c:v>0.44</c:v>
                </c:pt>
                <c:pt idx="12">
                  <c:v>0.48</c:v>
                </c:pt>
              </c:numCache>
            </c:numRef>
          </c:xVal>
          <c:yVal>
            <c:numRef>
              <c:f>'Exercise 2 template'!$B$19:$B$31</c:f>
              <c:numCache>
                <c:formatCode>General</c:formatCode>
                <c:ptCount val="13"/>
                <c:pt idx="0">
                  <c:v>900</c:v>
                </c:pt>
                <c:pt idx="1">
                  <c:v>700.64922615023693</c:v>
                </c:pt>
                <c:pt idx="2">
                  <c:v>536.51356859445809</c:v>
                </c:pt>
                <c:pt idx="3">
                  <c:v>400.17922336117374</c:v>
                </c:pt>
                <c:pt idx="4">
                  <c:v>286.00972573501394</c:v>
                </c:pt>
                <c:pt idx="5">
                  <c:v>189.67335390946505</c:v>
                </c:pt>
                <c:pt idx="6">
                  <c:v>107.80748964578095</c:v>
                </c:pt>
                <c:pt idx="7">
                  <c:v>37.777224183082581</c:v>
                </c:pt>
                <c:pt idx="8">
                  <c:v>-22.500305541840476</c:v>
                </c:pt>
                <c:pt idx="9">
                  <c:v>-74.685159755524523</c:v>
                </c:pt>
                <c:pt idx="10">
                  <c:v>-120.11066817397506</c:v>
                </c:pt>
                <c:pt idx="11">
                  <c:v>-159.85553807801563</c:v>
                </c:pt>
                <c:pt idx="12">
                  <c:v>-194.79846960565004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D9-5149-88FB-9957BACA3C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738800"/>
        <c:axId val="76741072"/>
      </c:scatterChart>
      <c:valAx>
        <c:axId val="76738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6741072"/>
        <c:crosses val="autoZero"/>
        <c:crossBetween val="midCat"/>
      </c:valAx>
      <c:valAx>
        <c:axId val="7674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6738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317500</xdr:colOff>
      <xdr:row>3</xdr:row>
      <xdr:rowOff>63500</xdr:rowOff>
    </xdr:from>
    <xdr:to>
      <xdr:col>13</xdr:col>
      <xdr:colOff>609600</xdr:colOff>
      <xdr:row>34</xdr:row>
      <xdr:rowOff>73660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C150346D-7692-A506-9F5D-8F051BE54A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A231B-E9AF-E144-B961-7A54E5695D6E}">
  <dimension ref="A1:C272"/>
  <sheetViews>
    <sheetView workbookViewId="0">
      <selection sqref="A1:B8"/>
    </sheetView>
  </sheetViews>
  <sheetFormatPr baseColWidth="10" defaultRowHeight="13"/>
  <cols>
    <col min="2" max="2" width="13" bestFit="1" customWidth="1"/>
  </cols>
  <sheetData>
    <row r="1" spans="1:3">
      <c r="A1" s="1" t="s">
        <v>1</v>
      </c>
      <c r="B1" s="3">
        <v>0.15</v>
      </c>
      <c r="C1" s="1"/>
    </row>
    <row r="2" spans="1:3">
      <c r="A2" s="2"/>
    </row>
    <row r="3" spans="1:3">
      <c r="A3" s="4" t="s">
        <v>2</v>
      </c>
      <c r="B3" s="1" t="s">
        <v>3</v>
      </c>
    </row>
    <row r="4" spans="1:3">
      <c r="A4" s="5">
        <v>1</v>
      </c>
      <c r="B4">
        <v>100</v>
      </c>
    </row>
    <row r="5" spans="1:3">
      <c r="A5" s="5">
        <v>2</v>
      </c>
      <c r="B5">
        <v>200</v>
      </c>
    </row>
    <row r="6" spans="1:3">
      <c r="A6" s="5">
        <v>3</v>
      </c>
      <c r="B6">
        <v>300</v>
      </c>
    </row>
    <row r="7" spans="1:3">
      <c r="A7" s="5">
        <v>4</v>
      </c>
      <c r="B7">
        <v>400</v>
      </c>
    </row>
    <row r="8" spans="1:3">
      <c r="A8" s="5">
        <v>5</v>
      </c>
      <c r="B8">
        <v>500</v>
      </c>
    </row>
    <row r="9" spans="1:3">
      <c r="A9" s="2"/>
    </row>
    <row r="10" spans="1:3">
      <c r="A10" s="4" t="s">
        <v>4</v>
      </c>
    </row>
    <row r="11" spans="1:3">
      <c r="A11" s="4" t="s">
        <v>5</v>
      </c>
      <c r="B11" s="6">
        <f>NPV(B1,B4:B8)</f>
        <v>912.72979081444259</v>
      </c>
    </row>
    <row r="12" spans="1:3">
      <c r="A12" s="2"/>
    </row>
    <row r="13" spans="1:3">
      <c r="A13" s="4" t="s">
        <v>6</v>
      </c>
    </row>
    <row r="14" spans="1:3">
      <c r="A14" s="4" t="s">
        <v>5</v>
      </c>
      <c r="B14" s="5">
        <f>NPV(B1,B4:B8)-600</f>
        <v>312.72979081444259</v>
      </c>
    </row>
    <row r="15" spans="1:3">
      <c r="A15" s="2"/>
    </row>
    <row r="16" spans="1:3">
      <c r="A16" s="2"/>
    </row>
    <row r="17" spans="1:1">
      <c r="A17" s="2"/>
    </row>
    <row r="18" spans="1:1">
      <c r="A18" s="2"/>
    </row>
    <row r="19" spans="1:1">
      <c r="A19" s="2"/>
    </row>
    <row r="20" spans="1:1">
      <c r="A20" s="2"/>
    </row>
    <row r="21" spans="1:1">
      <c r="A21" s="2"/>
    </row>
    <row r="22" spans="1:1">
      <c r="A22" s="2"/>
    </row>
    <row r="23" spans="1:1">
      <c r="A23" s="2"/>
    </row>
    <row r="24" spans="1:1">
      <c r="A24" s="2"/>
    </row>
    <row r="25" spans="1:1">
      <c r="A25" s="2"/>
    </row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  <row r="180" spans="1:1">
      <c r="A180" s="2"/>
    </row>
    <row r="181" spans="1:1">
      <c r="A181" s="2"/>
    </row>
    <row r="182" spans="1:1">
      <c r="A182" s="2"/>
    </row>
    <row r="183" spans="1:1">
      <c r="A183" s="2"/>
    </row>
    <row r="184" spans="1:1">
      <c r="A184" s="2"/>
    </row>
    <row r="185" spans="1:1">
      <c r="A185" s="2"/>
    </row>
    <row r="186" spans="1:1">
      <c r="A186" s="2"/>
    </row>
    <row r="187" spans="1:1">
      <c r="A187" s="2"/>
    </row>
    <row r="188" spans="1:1">
      <c r="A188" s="2"/>
    </row>
    <row r="189" spans="1:1">
      <c r="A189" s="2"/>
    </row>
    <row r="190" spans="1:1">
      <c r="A190" s="2"/>
    </row>
    <row r="191" spans="1:1">
      <c r="A191" s="2"/>
    </row>
    <row r="192" spans="1:1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  <row r="202" spans="1:1">
      <c r="A202" s="2"/>
    </row>
    <row r="203" spans="1:1">
      <c r="A203" s="2"/>
    </row>
    <row r="204" spans="1:1">
      <c r="A204" s="2"/>
    </row>
    <row r="205" spans="1:1">
      <c r="A205" s="2"/>
    </row>
    <row r="206" spans="1:1">
      <c r="A206" s="2"/>
    </row>
    <row r="207" spans="1:1">
      <c r="A207" s="2"/>
    </row>
    <row r="208" spans="1:1">
      <c r="A208" s="2"/>
    </row>
    <row r="209" spans="1:1">
      <c r="A209" s="2"/>
    </row>
    <row r="210" spans="1:1">
      <c r="A210" s="2"/>
    </row>
    <row r="211" spans="1:1">
      <c r="A211" s="2"/>
    </row>
    <row r="212" spans="1:1">
      <c r="A212" s="2"/>
    </row>
    <row r="213" spans="1:1">
      <c r="A213" s="2"/>
    </row>
    <row r="214" spans="1:1">
      <c r="A214" s="2"/>
    </row>
    <row r="215" spans="1:1">
      <c r="A215" s="2"/>
    </row>
    <row r="216" spans="1:1">
      <c r="A216" s="2"/>
    </row>
    <row r="217" spans="1:1">
      <c r="A217" s="2"/>
    </row>
    <row r="218" spans="1:1">
      <c r="A218" s="2"/>
    </row>
    <row r="219" spans="1:1">
      <c r="A219" s="2"/>
    </row>
    <row r="220" spans="1:1">
      <c r="A220" s="2"/>
    </row>
    <row r="221" spans="1:1">
      <c r="A221" s="2"/>
    </row>
    <row r="222" spans="1:1">
      <c r="A222" s="2"/>
    </row>
    <row r="223" spans="1:1">
      <c r="A223" s="2"/>
    </row>
    <row r="224" spans="1:1">
      <c r="A224" s="2"/>
    </row>
    <row r="225" spans="1:1">
      <c r="A225" s="2"/>
    </row>
    <row r="226" spans="1:1">
      <c r="A226" s="2"/>
    </row>
    <row r="227" spans="1:1">
      <c r="A227" s="2"/>
    </row>
    <row r="228" spans="1:1">
      <c r="A228" s="2"/>
    </row>
    <row r="229" spans="1:1">
      <c r="A229" s="2"/>
    </row>
    <row r="230" spans="1:1">
      <c r="A230" s="2"/>
    </row>
    <row r="231" spans="1:1">
      <c r="A231" s="2"/>
    </row>
    <row r="232" spans="1:1">
      <c r="A232" s="2"/>
    </row>
    <row r="233" spans="1:1">
      <c r="A233" s="2"/>
    </row>
    <row r="234" spans="1:1">
      <c r="A234" s="2"/>
    </row>
    <row r="235" spans="1:1">
      <c r="A235" s="2"/>
    </row>
    <row r="236" spans="1:1">
      <c r="A236" s="2"/>
    </row>
    <row r="237" spans="1:1">
      <c r="A237" s="2"/>
    </row>
    <row r="238" spans="1:1">
      <c r="A238" s="2"/>
    </row>
    <row r="239" spans="1:1">
      <c r="A239" s="2"/>
    </row>
    <row r="240" spans="1:1">
      <c r="A240" s="2"/>
    </row>
    <row r="241" spans="1:1">
      <c r="A241" s="2"/>
    </row>
    <row r="242" spans="1:1">
      <c r="A242" s="2"/>
    </row>
    <row r="243" spans="1:1">
      <c r="A243" s="2"/>
    </row>
    <row r="244" spans="1:1">
      <c r="A244" s="2"/>
    </row>
    <row r="245" spans="1:1">
      <c r="A245" s="2"/>
    </row>
    <row r="246" spans="1:1">
      <c r="A246" s="2"/>
    </row>
    <row r="247" spans="1:1">
      <c r="A247" s="2"/>
    </row>
    <row r="248" spans="1:1">
      <c r="A248" s="2"/>
    </row>
    <row r="249" spans="1:1">
      <c r="A249" s="2"/>
    </row>
    <row r="250" spans="1:1">
      <c r="A250" s="2"/>
    </row>
    <row r="251" spans="1:1">
      <c r="A251" s="2"/>
    </row>
    <row r="252" spans="1:1">
      <c r="A252" s="2"/>
    </row>
    <row r="253" spans="1:1">
      <c r="A253" s="2"/>
    </row>
    <row r="254" spans="1:1">
      <c r="A254" s="2"/>
    </row>
    <row r="255" spans="1:1">
      <c r="A255" s="2"/>
    </row>
    <row r="256" spans="1:1">
      <c r="A256" s="2"/>
    </row>
    <row r="257" spans="1:1">
      <c r="A257" s="2"/>
    </row>
    <row r="258" spans="1:1">
      <c r="A258" s="2"/>
    </row>
    <row r="259" spans="1:1">
      <c r="A259" s="2"/>
    </row>
    <row r="260" spans="1:1">
      <c r="A260" s="2"/>
    </row>
    <row r="261" spans="1:1">
      <c r="A261" s="2"/>
    </row>
    <row r="262" spans="1:1">
      <c r="A262" s="2"/>
    </row>
    <row r="263" spans="1:1">
      <c r="A263" s="2"/>
    </row>
    <row r="264" spans="1:1">
      <c r="A264" s="2"/>
    </row>
    <row r="265" spans="1:1">
      <c r="A265" s="2"/>
    </row>
    <row r="266" spans="1:1">
      <c r="A266" s="2"/>
    </row>
    <row r="267" spans="1:1">
      <c r="A267" s="2"/>
    </row>
    <row r="268" spans="1:1">
      <c r="A268" s="2"/>
    </row>
    <row r="269" spans="1:1">
      <c r="A269" s="2"/>
    </row>
    <row r="270" spans="1:1">
      <c r="A270" s="2"/>
    </row>
    <row r="271" spans="1:1">
      <c r="A271" s="2"/>
    </row>
    <row r="272" spans="1:1">
      <c r="A272" s="2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6A32E-7E6E-4A4E-B312-DE27FFA94F3B}">
  <dimension ref="A1:E121"/>
  <sheetViews>
    <sheetView workbookViewId="0">
      <selection activeCell="A19" sqref="A19:B31"/>
    </sheetView>
  </sheetViews>
  <sheetFormatPr baseColWidth="10" defaultRowHeight="13"/>
  <cols>
    <col min="2" max="2" width="22" bestFit="1" customWidth="1"/>
  </cols>
  <sheetData>
    <row r="1" spans="1:5">
      <c r="A1" s="1" t="s">
        <v>1</v>
      </c>
      <c r="B1" s="3">
        <v>0.15</v>
      </c>
      <c r="C1" s="1"/>
      <c r="D1" s="1"/>
      <c r="E1" s="1"/>
    </row>
    <row r="2" spans="1:5">
      <c r="A2" s="2"/>
    </row>
    <row r="3" spans="1:5">
      <c r="A3" s="4" t="s">
        <v>2</v>
      </c>
      <c r="B3" s="1" t="s">
        <v>3</v>
      </c>
    </row>
    <row r="4" spans="1:5">
      <c r="A4">
        <v>0</v>
      </c>
      <c r="B4">
        <v>-600</v>
      </c>
    </row>
    <row r="5" spans="1:5">
      <c r="A5" s="5">
        <v>1</v>
      </c>
      <c r="B5">
        <v>100</v>
      </c>
    </row>
    <row r="6" spans="1:5">
      <c r="A6" s="5">
        <v>2</v>
      </c>
      <c r="B6">
        <v>200</v>
      </c>
    </row>
    <row r="7" spans="1:5">
      <c r="A7" s="5">
        <v>3</v>
      </c>
      <c r="B7">
        <v>300</v>
      </c>
    </row>
    <row r="8" spans="1:5">
      <c r="A8" s="5">
        <v>4</v>
      </c>
      <c r="B8">
        <v>400</v>
      </c>
    </row>
    <row r="9" spans="1:5">
      <c r="A9" s="5">
        <v>5</v>
      </c>
      <c r="B9">
        <v>500</v>
      </c>
    </row>
    <row r="10" spans="1:5">
      <c r="A10" s="2"/>
    </row>
    <row r="11" spans="1:5">
      <c r="A11" s="4" t="s">
        <v>4</v>
      </c>
    </row>
    <row r="12" spans="1:5">
      <c r="A12" s="4" t="s">
        <v>5</v>
      </c>
      <c r="B12" s="5">
        <f>NPV(B1,B5:B9)+B4</f>
        <v>312.72979081444259</v>
      </c>
    </row>
    <row r="13" spans="1:5">
      <c r="A13" s="2"/>
    </row>
    <row r="14" spans="1:5">
      <c r="A14" s="4" t="s">
        <v>6</v>
      </c>
    </row>
    <row r="15" spans="1:5">
      <c r="A15" s="4" t="s">
        <v>7</v>
      </c>
      <c r="B15" s="7">
        <f>IRR(B4:B9)</f>
        <v>0.30437431451117902</v>
      </c>
    </row>
    <row r="16" spans="1:5">
      <c r="A16" s="2"/>
    </row>
    <row r="17" spans="1:2">
      <c r="A17" s="4" t="s">
        <v>8</v>
      </c>
    </row>
    <row r="18" spans="1:2">
      <c r="A18" s="2"/>
      <c r="B18">
        <f>B12</f>
        <v>312.72979081444259</v>
      </c>
    </row>
    <row r="19" spans="1:2">
      <c r="A19" s="7">
        <v>0</v>
      </c>
      <c r="B19">
        <f t="dataTable" ref="B19:B31" dt2D="0" dtr="0" r1="B1"/>
        <v>900</v>
      </c>
    </row>
    <row r="20" spans="1:2">
      <c r="A20" s="7">
        <v>0.04</v>
      </c>
      <c r="B20">
        <v>700.64922615023693</v>
      </c>
    </row>
    <row r="21" spans="1:2">
      <c r="A21" s="7">
        <v>0.08</v>
      </c>
      <c r="B21">
        <v>536.51356859445809</v>
      </c>
    </row>
    <row r="22" spans="1:2">
      <c r="A22" s="7">
        <v>0.12</v>
      </c>
      <c r="B22">
        <v>400.17922336117374</v>
      </c>
    </row>
    <row r="23" spans="1:2">
      <c r="A23" s="7">
        <v>0.16</v>
      </c>
      <c r="B23">
        <v>286.00972573501394</v>
      </c>
    </row>
    <row r="24" spans="1:2">
      <c r="A24" s="7">
        <v>0.2</v>
      </c>
      <c r="B24">
        <v>189.67335390946505</v>
      </c>
    </row>
    <row r="25" spans="1:2">
      <c r="A25" s="7">
        <v>0.24</v>
      </c>
      <c r="B25">
        <v>107.80748964578095</v>
      </c>
    </row>
    <row r="26" spans="1:2">
      <c r="A26" s="7">
        <v>0.28000000000000003</v>
      </c>
      <c r="B26">
        <v>37.777224183082581</v>
      </c>
    </row>
    <row r="27" spans="1:2">
      <c r="A27" s="7">
        <v>0.32</v>
      </c>
      <c r="B27">
        <v>-22.500305541840476</v>
      </c>
    </row>
    <row r="28" spans="1:2">
      <c r="A28" s="7">
        <v>0.36</v>
      </c>
      <c r="B28">
        <v>-74.685159755524523</v>
      </c>
    </row>
    <row r="29" spans="1:2">
      <c r="A29" s="7">
        <v>0.4</v>
      </c>
      <c r="B29">
        <v>-120.11066817397506</v>
      </c>
    </row>
    <row r="30" spans="1:2">
      <c r="A30" s="7">
        <v>0.44</v>
      </c>
      <c r="B30">
        <v>-159.85553807801563</v>
      </c>
    </row>
    <row r="31" spans="1:2">
      <c r="A31" s="7">
        <v>0.48</v>
      </c>
      <c r="B31">
        <v>-194.79846960565004</v>
      </c>
    </row>
    <row r="32" spans="1:2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CE1D9-D2FE-884B-9EB6-36DFFD925DB6}">
  <dimension ref="A1:G122"/>
  <sheetViews>
    <sheetView workbookViewId="0">
      <selection activeCell="B7" sqref="B7"/>
    </sheetView>
  </sheetViews>
  <sheetFormatPr baseColWidth="10" defaultRowHeight="13"/>
  <cols>
    <col min="1" max="1" width="21.6640625" bestFit="1" customWidth="1"/>
    <col min="2" max="2" width="12.33203125" bestFit="1" customWidth="1"/>
  </cols>
  <sheetData>
    <row r="1" spans="1:7">
      <c r="A1" s="1" t="s">
        <v>14</v>
      </c>
      <c r="B1" s="1">
        <v>25</v>
      </c>
      <c r="C1" s="1"/>
      <c r="D1" s="1"/>
      <c r="E1" s="1"/>
      <c r="F1" s="1"/>
      <c r="G1" s="1"/>
    </row>
    <row r="2" spans="1:7">
      <c r="A2" s="1" t="s">
        <v>15</v>
      </c>
      <c r="B2" s="11">
        <v>1000</v>
      </c>
      <c r="C2" s="1"/>
      <c r="D2" s="1"/>
      <c r="E2" s="1"/>
      <c r="F2" s="1"/>
      <c r="G2" s="1"/>
    </row>
    <row r="3" spans="1:7">
      <c r="A3" s="4" t="s">
        <v>16</v>
      </c>
      <c r="B3" s="12">
        <v>45</v>
      </c>
    </row>
    <row r="4" spans="1:7">
      <c r="A4" s="4" t="s">
        <v>17</v>
      </c>
      <c r="B4" s="13">
        <v>0.05</v>
      </c>
    </row>
    <row r="5" spans="1:7">
      <c r="A5" s="2"/>
    </row>
    <row r="6" spans="1:7">
      <c r="A6" s="4" t="s">
        <v>18</v>
      </c>
      <c r="B6" s="6">
        <f>FV(B4,B3,-B2,0,1)</f>
        <v>167685.16366334909</v>
      </c>
    </row>
    <row r="7" spans="1:7">
      <c r="A7" s="4"/>
      <c r="B7" s="6"/>
    </row>
    <row r="8" spans="1:7">
      <c r="A8" s="2"/>
    </row>
    <row r="9" spans="1:7">
      <c r="A9" s="4"/>
    </row>
    <row r="10" spans="1:7">
      <c r="A10" s="2"/>
      <c r="B10" s="6"/>
    </row>
    <row r="11" spans="1:7">
      <c r="A11" s="7"/>
    </row>
    <row r="12" spans="1:7">
      <c r="A12" s="7"/>
    </row>
    <row r="13" spans="1:7">
      <c r="A13" s="7"/>
    </row>
    <row r="14" spans="1:7">
      <c r="A14" s="7"/>
    </row>
    <row r="15" spans="1:7">
      <c r="A15" s="7"/>
    </row>
    <row r="16" spans="1:7">
      <c r="A16" s="7"/>
    </row>
    <row r="17" spans="1:1">
      <c r="A17" s="7"/>
    </row>
    <row r="18" spans="1:1">
      <c r="A18" s="7"/>
    </row>
    <row r="19" spans="1:1">
      <c r="A19" s="7"/>
    </row>
    <row r="20" spans="1:1">
      <c r="A20" s="7"/>
    </row>
    <row r="21" spans="1:1">
      <c r="A21" s="7"/>
    </row>
    <row r="22" spans="1:1">
      <c r="A22" s="7"/>
    </row>
    <row r="23" spans="1:1">
      <c r="A23" s="7"/>
    </row>
    <row r="24" spans="1:1">
      <c r="A24" s="2"/>
    </row>
    <row r="25" spans="1:1">
      <c r="A25" s="2"/>
    </row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F5E17-EAB8-664B-AAD0-7639C6493793}">
  <dimension ref="A1:E23"/>
  <sheetViews>
    <sheetView workbookViewId="0">
      <selection activeCell="F27" sqref="F27"/>
    </sheetView>
  </sheetViews>
  <sheetFormatPr baseColWidth="10" defaultRowHeight="13"/>
  <cols>
    <col min="1" max="1" width="21.6640625" bestFit="1" customWidth="1"/>
    <col min="2" max="2" width="13.6640625" bestFit="1" customWidth="1"/>
  </cols>
  <sheetData>
    <row r="1" spans="1:5">
      <c r="A1" s="1" t="s">
        <v>9</v>
      </c>
      <c r="B1" s="1">
        <v>300</v>
      </c>
      <c r="D1" s="1"/>
      <c r="E1" s="1"/>
    </row>
    <row r="2" spans="1:5">
      <c r="A2" s="1" t="s">
        <v>13</v>
      </c>
      <c r="B2" s="3">
        <v>0.06</v>
      </c>
    </row>
    <row r="3" spans="1:5">
      <c r="A3" s="4" t="s">
        <v>10</v>
      </c>
      <c r="B3" s="9">
        <f>B2/12</f>
        <v>5.0000000000000001E-3</v>
      </c>
    </row>
    <row r="4" spans="1:5">
      <c r="A4" s="4" t="s">
        <v>11</v>
      </c>
      <c r="B4" s="10">
        <v>200000</v>
      </c>
    </row>
    <row r="5" spans="1:5">
      <c r="A5" s="2"/>
    </row>
    <row r="6" spans="1:5">
      <c r="A6" s="4" t="s">
        <v>4</v>
      </c>
    </row>
    <row r="7" spans="1:5">
      <c r="A7" s="4" t="s">
        <v>12</v>
      </c>
      <c r="B7" s="6">
        <f>PMT(B3,B1,0,B4,1)</f>
        <v>-287.16696813036526</v>
      </c>
    </row>
    <row r="8" spans="1:5">
      <c r="A8" s="2"/>
    </row>
    <row r="9" spans="1:5">
      <c r="A9" s="4" t="s">
        <v>6</v>
      </c>
    </row>
    <row r="10" spans="1:5">
      <c r="A10" s="2"/>
      <c r="B10" s="6">
        <f>B7</f>
        <v>-287.16696813036526</v>
      </c>
    </row>
    <row r="11" spans="1:5">
      <c r="A11" s="7">
        <v>0</v>
      </c>
      <c r="B11">
        <v>-666.66666666666663</v>
      </c>
    </row>
    <row r="12" spans="1:5">
      <c r="A12" s="7">
        <v>0.01</v>
      </c>
      <c r="B12">
        <v>-586.58941728004913</v>
      </c>
    </row>
    <row r="13" spans="1:5">
      <c r="A13" s="7">
        <v>0.02</v>
      </c>
      <c r="B13">
        <v>-513.51947815788355</v>
      </c>
    </row>
    <row r="14" spans="1:5">
      <c r="A14" s="7">
        <v>0.03</v>
      </c>
      <c r="B14">
        <v>-447.30436679835015</v>
      </c>
    </row>
    <row r="15" spans="1:5">
      <c r="A15" s="7">
        <v>0.04</v>
      </c>
      <c r="B15">
        <v>-387.7146318228119</v>
      </c>
    </row>
    <row r="16" spans="1:5">
      <c r="A16" s="7">
        <v>0.05</v>
      </c>
      <c r="B16">
        <v>-334.4531947046886</v>
      </c>
    </row>
    <row r="17" spans="1:2">
      <c r="A17" s="7">
        <v>0.06</v>
      </c>
      <c r="B17">
        <v>-287.16696813036526</v>
      </c>
    </row>
    <row r="18" spans="1:2">
      <c r="A18" s="7">
        <v>7.0000000000000007E-2</v>
      </c>
      <c r="B18">
        <v>-245.45987859173167</v>
      </c>
    </row>
    <row r="19" spans="1:2">
      <c r="A19" s="7">
        <v>0.08</v>
      </c>
      <c r="B19">
        <v>-208.906396105304</v>
      </c>
    </row>
    <row r="20" spans="1:2">
      <c r="A20" s="7">
        <v>0.09</v>
      </c>
      <c r="B20">
        <v>-177.06474170688514</v>
      </c>
    </row>
    <row r="21" spans="1:2">
      <c r="A21" s="7">
        <v>0.1</v>
      </c>
      <c r="B21">
        <v>-149.48908206292987</v>
      </c>
    </row>
    <row r="22" spans="1:2">
      <c r="A22" s="7">
        <v>0.11</v>
      </c>
      <c r="B22">
        <v>-125.74020198199656</v>
      </c>
    </row>
    <row r="23" spans="1:2">
      <c r="A23" s="7">
        <v>0.12</v>
      </c>
      <c r="B23">
        <v>-105.39434098540188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EA1A6-3CB9-A14B-9538-B0D9E60561A6}">
  <dimension ref="A1:E371"/>
  <sheetViews>
    <sheetView topLeftCell="A10" zoomScaleNormal="100" workbookViewId="0">
      <selection activeCell="A11" sqref="A11:E34"/>
    </sheetView>
  </sheetViews>
  <sheetFormatPr baseColWidth="10" defaultRowHeight="13"/>
  <cols>
    <col min="1" max="1" width="11.1640625" bestFit="1" customWidth="1"/>
    <col min="2" max="2" width="23.6640625" bestFit="1" customWidth="1"/>
    <col min="3" max="3" width="13" bestFit="1" customWidth="1"/>
    <col min="4" max="4" width="9.1640625" bestFit="1" customWidth="1"/>
    <col min="5" max="5" width="25.5" bestFit="1" customWidth="1"/>
  </cols>
  <sheetData>
    <row r="1" spans="1:5">
      <c r="A1" s="1" t="s">
        <v>19</v>
      </c>
      <c r="B1">
        <v>30</v>
      </c>
    </row>
    <row r="2" spans="1:5">
      <c r="A2" s="1" t="s">
        <v>20</v>
      </c>
      <c r="B2" s="10">
        <v>60000</v>
      </c>
    </row>
    <row r="3" spans="1:5">
      <c r="A3" s="1" t="s">
        <v>17</v>
      </c>
      <c r="B3" s="3">
        <v>0.1</v>
      </c>
    </row>
    <row r="4" spans="1:5">
      <c r="A4" s="1" t="s">
        <v>10</v>
      </c>
      <c r="B4" s="15">
        <f>(B3+1)^(1/12)-1</f>
        <v>7.9741404289037643E-3</v>
      </c>
    </row>
    <row r="5" spans="1:5">
      <c r="A5" s="1" t="s">
        <v>21</v>
      </c>
      <c r="B5">
        <f>B1*12</f>
        <v>360</v>
      </c>
    </row>
    <row r="7" spans="1:5">
      <c r="A7" s="1" t="s">
        <v>4</v>
      </c>
    </row>
    <row r="8" spans="1:5">
      <c r="A8" s="1" t="s">
        <v>12</v>
      </c>
      <c r="B8" s="6">
        <f>PMT(B4,B5,B2,0,0)</f>
        <v>-507.53449329542798</v>
      </c>
    </row>
    <row r="10" spans="1:5">
      <c r="A10" s="1" t="s">
        <v>6</v>
      </c>
    </row>
    <row r="11" spans="1:5">
      <c r="A11" s="1" t="s">
        <v>26</v>
      </c>
      <c r="B11" s="1" t="s">
        <v>22</v>
      </c>
      <c r="C11" s="1" t="s">
        <v>23</v>
      </c>
      <c r="D11" s="1" t="s">
        <v>24</v>
      </c>
      <c r="E11" s="1" t="s">
        <v>25</v>
      </c>
    </row>
    <row r="12" spans="1:5">
      <c r="A12">
        <v>1</v>
      </c>
      <c r="B12" s="10">
        <f>B2</f>
        <v>60000</v>
      </c>
      <c r="C12">
        <f>B12*$B$4</f>
        <v>478.44842573422585</v>
      </c>
      <c r="D12" s="6">
        <f>$B$8</f>
        <v>-507.53449329542798</v>
      </c>
      <c r="E12" s="10">
        <f>SUM(B12:D12)</f>
        <v>59970.913932438802</v>
      </c>
    </row>
    <row r="13" spans="1:5">
      <c r="A13">
        <v>2</v>
      </c>
      <c r="B13" s="10">
        <f>E12</f>
        <v>59970.913932438802</v>
      </c>
      <c r="C13">
        <f t="shared" ref="C13:C76" si="0">B13*$B$4</f>
        <v>478.21648934696827</v>
      </c>
      <c r="D13" s="6">
        <f t="shared" ref="D13:D76" si="1">$B$8</f>
        <v>-507.53449329542798</v>
      </c>
      <c r="E13" s="10">
        <f t="shared" ref="E13:E76" si="2">SUM(B13:D13)</f>
        <v>59941.595928490344</v>
      </c>
    </row>
    <row r="14" spans="1:5">
      <c r="A14">
        <v>3</v>
      </c>
      <c r="B14" s="10">
        <f t="shared" ref="B14:B77" si="3">E13</f>
        <v>59941.595928490344</v>
      </c>
      <c r="C14">
        <f t="shared" si="0"/>
        <v>477.9827034663881</v>
      </c>
      <c r="D14" s="6">
        <f t="shared" si="1"/>
        <v>-507.53449329542798</v>
      </c>
      <c r="E14" s="10">
        <f t="shared" si="2"/>
        <v>59912.044138661309</v>
      </c>
    </row>
    <row r="15" spans="1:5">
      <c r="A15">
        <v>4</v>
      </c>
      <c r="B15" s="10">
        <f t="shared" si="3"/>
        <v>59912.044138661309</v>
      </c>
      <c r="C15">
        <f t="shared" si="0"/>
        <v>477.74705334436595</v>
      </c>
      <c r="D15" s="6">
        <f t="shared" si="1"/>
        <v>-507.53449329542798</v>
      </c>
      <c r="E15" s="10">
        <f t="shared" si="2"/>
        <v>59882.256698710247</v>
      </c>
    </row>
    <row r="16" spans="1:5">
      <c r="A16">
        <v>5</v>
      </c>
      <c r="B16" s="10">
        <f t="shared" si="3"/>
        <v>59882.256698710247</v>
      </c>
      <c r="C16">
        <f t="shared" si="0"/>
        <v>477.50952411517864</v>
      </c>
      <c r="D16" s="6">
        <f t="shared" si="1"/>
        <v>-507.53449329542798</v>
      </c>
      <c r="E16" s="10">
        <f t="shared" si="2"/>
        <v>59852.231729530002</v>
      </c>
    </row>
    <row r="17" spans="1:5">
      <c r="A17">
        <v>6</v>
      </c>
      <c r="B17" s="10">
        <f t="shared" si="3"/>
        <v>59852.231729530002</v>
      </c>
      <c r="C17">
        <f t="shared" si="0"/>
        <v>477.27010079456187</v>
      </c>
      <c r="D17" s="6">
        <f t="shared" si="1"/>
        <v>-507.53449329542798</v>
      </c>
      <c r="E17" s="10">
        <f t="shared" si="2"/>
        <v>59821.967337029142</v>
      </c>
    </row>
    <row r="18" spans="1:5">
      <c r="A18">
        <v>7</v>
      </c>
      <c r="B18" s="10">
        <f t="shared" si="3"/>
        <v>59821.967337029142</v>
      </c>
      <c r="C18">
        <f t="shared" si="0"/>
        <v>477.02876827876452</v>
      </c>
      <c r="D18" s="6">
        <f t="shared" si="1"/>
        <v>-507.53449329542798</v>
      </c>
      <c r="E18" s="10">
        <f t="shared" si="2"/>
        <v>59791.461612012485</v>
      </c>
    </row>
    <row r="19" spans="1:5">
      <c r="A19">
        <v>8</v>
      </c>
      <c r="B19" s="10">
        <f t="shared" si="3"/>
        <v>59791.461612012485</v>
      </c>
      <c r="C19">
        <f t="shared" si="0"/>
        <v>476.78551134359617</v>
      </c>
      <c r="D19" s="6">
        <f t="shared" si="1"/>
        <v>-507.53449329542798</v>
      </c>
      <c r="E19" s="10">
        <f t="shared" si="2"/>
        <v>59760.712630060654</v>
      </c>
    </row>
    <row r="20" spans="1:5">
      <c r="A20">
        <v>9</v>
      </c>
      <c r="B20" s="10">
        <f t="shared" si="3"/>
        <v>59760.712630060654</v>
      </c>
      <c r="C20">
        <f t="shared" si="0"/>
        <v>476.54031464346644</v>
      </c>
      <c r="D20" s="6">
        <f t="shared" si="1"/>
        <v>-507.53449329542798</v>
      </c>
      <c r="E20" s="10">
        <f t="shared" si="2"/>
        <v>59729.718451408698</v>
      </c>
    </row>
    <row r="21" spans="1:5">
      <c r="A21">
        <v>10</v>
      </c>
      <c r="B21" s="10">
        <f t="shared" si="3"/>
        <v>59729.718451408698</v>
      </c>
      <c r="C21">
        <f t="shared" si="0"/>
        <v>476.29316271041722</v>
      </c>
      <c r="D21" s="6">
        <f t="shared" si="1"/>
        <v>-507.53449329542798</v>
      </c>
      <c r="E21" s="10">
        <f t="shared" si="2"/>
        <v>59698.477120823693</v>
      </c>
    </row>
    <row r="22" spans="1:5">
      <c r="A22">
        <v>11</v>
      </c>
      <c r="B22" s="10">
        <f t="shared" si="3"/>
        <v>59698.477120823693</v>
      </c>
      <c r="C22">
        <f t="shared" si="0"/>
        <v>476.04403995314658</v>
      </c>
      <c r="D22" s="6">
        <f t="shared" si="1"/>
        <v>-507.53449329542798</v>
      </c>
      <c r="E22" s="10">
        <f t="shared" si="2"/>
        <v>59666.986667481411</v>
      </c>
    </row>
    <row r="23" spans="1:5">
      <c r="A23">
        <v>12</v>
      </c>
      <c r="B23" s="10">
        <f t="shared" si="3"/>
        <v>59666.986667481411</v>
      </c>
      <c r="C23">
        <f t="shared" si="0"/>
        <v>475.79293065602542</v>
      </c>
      <c r="D23" s="6">
        <f t="shared" si="1"/>
        <v>-507.53449329542798</v>
      </c>
      <c r="E23" s="10">
        <f t="shared" si="2"/>
        <v>59635.245104842012</v>
      </c>
    </row>
    <row r="24" spans="1:5">
      <c r="A24">
        <v>13</v>
      </c>
      <c r="B24" s="10">
        <f t="shared" si="3"/>
        <v>59635.245104842012</v>
      </c>
      <c r="C24">
        <f t="shared" si="0"/>
        <v>475.53981897810598</v>
      </c>
      <c r="D24" s="6">
        <f t="shared" si="1"/>
        <v>-507.53449329542798</v>
      </c>
      <c r="E24" s="10">
        <f t="shared" si="2"/>
        <v>59603.250430524691</v>
      </c>
    </row>
    <row r="25" spans="1:5">
      <c r="A25">
        <v>14</v>
      </c>
      <c r="B25" s="10">
        <f t="shared" si="3"/>
        <v>59603.250430524691</v>
      </c>
      <c r="C25">
        <f t="shared" si="0"/>
        <v>475.28468895212262</v>
      </c>
      <c r="D25" s="6">
        <f t="shared" si="1"/>
        <v>-507.53449329542798</v>
      </c>
      <c r="E25" s="10">
        <f t="shared" si="2"/>
        <v>59571.000626181391</v>
      </c>
    </row>
    <row r="26" spans="1:5">
      <c r="A26">
        <v>15</v>
      </c>
      <c r="B26" s="10">
        <f t="shared" si="3"/>
        <v>59571.000626181391</v>
      </c>
      <c r="C26">
        <f t="shared" si="0"/>
        <v>475.02752448348451</v>
      </c>
      <c r="D26" s="6">
        <f t="shared" si="1"/>
        <v>-507.53449329542798</v>
      </c>
      <c r="E26" s="10">
        <f t="shared" si="2"/>
        <v>59538.49365736945</v>
      </c>
    </row>
    <row r="27" spans="1:5">
      <c r="A27">
        <v>16</v>
      </c>
      <c r="B27" s="10">
        <f t="shared" si="3"/>
        <v>59538.49365736945</v>
      </c>
      <c r="C27">
        <f t="shared" si="0"/>
        <v>474.76830934926005</v>
      </c>
      <c r="D27" s="6">
        <f t="shared" si="1"/>
        <v>-507.53449329542798</v>
      </c>
      <c r="E27" s="10">
        <f t="shared" si="2"/>
        <v>59505.727473423285</v>
      </c>
    </row>
    <row r="28" spans="1:5">
      <c r="A28">
        <v>17</v>
      </c>
      <c r="B28" s="10">
        <f t="shared" si="3"/>
        <v>59505.727473423285</v>
      </c>
      <c r="C28">
        <f t="shared" si="0"/>
        <v>474.50702719715406</v>
      </c>
      <c r="D28" s="6">
        <f t="shared" si="1"/>
        <v>-507.53449329542798</v>
      </c>
      <c r="E28" s="10">
        <f t="shared" si="2"/>
        <v>59472.700007325016</v>
      </c>
    </row>
    <row r="29" spans="1:5">
      <c r="A29">
        <v>18</v>
      </c>
      <c r="B29" s="10">
        <f t="shared" si="3"/>
        <v>59472.700007325016</v>
      </c>
      <c r="C29">
        <f t="shared" si="0"/>
        <v>474.24366154447563</v>
      </c>
      <c r="D29" s="6">
        <f t="shared" si="1"/>
        <v>-507.53449329542798</v>
      </c>
      <c r="E29" s="10">
        <f t="shared" si="2"/>
        <v>59439.409175574066</v>
      </c>
    </row>
    <row r="30" spans="1:5">
      <c r="A30">
        <v>19</v>
      </c>
      <c r="B30" s="10">
        <f t="shared" si="3"/>
        <v>59439.409175574066</v>
      </c>
      <c r="C30">
        <f t="shared" si="0"/>
        <v>473.97819577709851</v>
      </c>
      <c r="D30" s="6">
        <f t="shared" si="1"/>
        <v>-507.53449329542798</v>
      </c>
      <c r="E30" s="10">
        <f t="shared" si="2"/>
        <v>59405.852878055739</v>
      </c>
    </row>
    <row r="31" spans="1:5">
      <c r="A31">
        <v>20</v>
      </c>
      <c r="B31" s="10">
        <f t="shared" si="3"/>
        <v>59405.852878055739</v>
      </c>
      <c r="C31">
        <f t="shared" si="0"/>
        <v>473.7106131484133</v>
      </c>
      <c r="D31" s="6">
        <f t="shared" si="1"/>
        <v>-507.53449329542798</v>
      </c>
      <c r="E31" s="10">
        <f t="shared" si="2"/>
        <v>59372.028997908725</v>
      </c>
    </row>
    <row r="32" spans="1:5">
      <c r="A32">
        <v>21</v>
      </c>
      <c r="B32" s="10">
        <f t="shared" si="3"/>
        <v>59372.028997908725</v>
      </c>
      <c r="C32">
        <f t="shared" si="0"/>
        <v>473.4408967782706</v>
      </c>
      <c r="D32" s="6">
        <f t="shared" si="1"/>
        <v>-507.53449329542798</v>
      </c>
      <c r="E32" s="10">
        <f t="shared" si="2"/>
        <v>59337.935401391573</v>
      </c>
    </row>
    <row r="33" spans="1:5">
      <c r="A33">
        <v>22</v>
      </c>
      <c r="B33" s="10">
        <f t="shared" si="3"/>
        <v>59337.935401391573</v>
      </c>
      <c r="C33">
        <f t="shared" si="0"/>
        <v>473.16902965191645</v>
      </c>
      <c r="D33" s="6">
        <f t="shared" si="1"/>
        <v>-507.53449329542798</v>
      </c>
      <c r="E33" s="10">
        <f t="shared" si="2"/>
        <v>59303.569937748063</v>
      </c>
    </row>
    <row r="34" spans="1:5">
      <c r="A34">
        <v>23</v>
      </c>
      <c r="B34" s="10">
        <f t="shared" si="3"/>
        <v>59303.569937748063</v>
      </c>
      <c r="C34">
        <f t="shared" si="0"/>
        <v>472.8949946189187</v>
      </c>
      <c r="D34" s="6">
        <f t="shared" si="1"/>
        <v>-507.53449329542798</v>
      </c>
      <c r="E34" s="10">
        <f t="shared" si="2"/>
        <v>59268.930439071555</v>
      </c>
    </row>
    <row r="35" spans="1:5">
      <c r="A35">
        <v>24</v>
      </c>
      <c r="B35" s="10">
        <f t="shared" si="3"/>
        <v>59268.930439071555</v>
      </c>
      <c r="C35">
        <f t="shared" si="0"/>
        <v>472.61877439208541</v>
      </c>
      <c r="D35" s="6">
        <f t="shared" si="1"/>
        <v>-507.53449329542798</v>
      </c>
      <c r="E35" s="10">
        <f t="shared" si="2"/>
        <v>59234.014720168212</v>
      </c>
    </row>
    <row r="36" spans="1:5">
      <c r="A36">
        <v>25</v>
      </c>
      <c r="B36" s="10">
        <f t="shared" si="3"/>
        <v>59234.014720168212</v>
      </c>
      <c r="C36">
        <f t="shared" si="0"/>
        <v>472.34035154637405</v>
      </c>
      <c r="D36" s="6">
        <f t="shared" si="1"/>
        <v>-507.53449329542798</v>
      </c>
      <c r="E36" s="10">
        <f t="shared" si="2"/>
        <v>59198.82057841916</v>
      </c>
    </row>
    <row r="37" spans="1:5">
      <c r="A37">
        <v>26</v>
      </c>
      <c r="B37" s="10">
        <f t="shared" si="3"/>
        <v>59198.82057841916</v>
      </c>
      <c r="C37">
        <f t="shared" si="0"/>
        <v>472.05970851779233</v>
      </c>
      <c r="D37" s="6">
        <f t="shared" si="1"/>
        <v>-507.53449329542798</v>
      </c>
      <c r="E37" s="10">
        <f t="shared" si="2"/>
        <v>59163.345793641529</v>
      </c>
    </row>
    <row r="38" spans="1:5">
      <c r="A38">
        <v>27</v>
      </c>
      <c r="B38" s="10">
        <f t="shared" si="3"/>
        <v>59163.345793641529</v>
      </c>
      <c r="C38">
        <f t="shared" si="0"/>
        <v>471.77682760229038</v>
      </c>
      <c r="D38" s="6">
        <f t="shared" si="1"/>
        <v>-507.53449329542798</v>
      </c>
      <c r="E38" s="10">
        <f t="shared" si="2"/>
        <v>59127.588127948395</v>
      </c>
    </row>
    <row r="39" spans="1:5">
      <c r="A39">
        <v>28</v>
      </c>
      <c r="B39" s="10">
        <f t="shared" si="3"/>
        <v>59127.588127948395</v>
      </c>
      <c r="C39">
        <f t="shared" si="0"/>
        <v>471.49169095464356</v>
      </c>
      <c r="D39" s="6">
        <f t="shared" si="1"/>
        <v>-507.53449329542798</v>
      </c>
      <c r="E39" s="10">
        <f t="shared" si="2"/>
        <v>59091.545325607614</v>
      </c>
    </row>
    <row r="40" spans="1:5">
      <c r="A40">
        <v>29</v>
      </c>
      <c r="B40" s="10">
        <f t="shared" si="3"/>
        <v>59091.545325607614</v>
      </c>
      <c r="C40">
        <f t="shared" si="0"/>
        <v>471.20428058732693</v>
      </c>
      <c r="D40" s="6">
        <f t="shared" si="1"/>
        <v>-507.53449329542798</v>
      </c>
      <c r="E40" s="10">
        <f t="shared" si="2"/>
        <v>59055.215112899517</v>
      </c>
    </row>
    <row r="41" spans="1:5">
      <c r="A41">
        <v>30</v>
      </c>
      <c r="B41" s="10">
        <f t="shared" si="3"/>
        <v>59055.215112899517</v>
      </c>
      <c r="C41">
        <f t="shared" si="0"/>
        <v>470.91457836938059</v>
      </c>
      <c r="D41" s="6">
        <f t="shared" si="1"/>
        <v>-507.53449329542798</v>
      </c>
      <c r="E41" s="10">
        <f t="shared" si="2"/>
        <v>59018.595197973475</v>
      </c>
    </row>
    <row r="42" spans="1:5">
      <c r="A42">
        <v>31</v>
      </c>
      <c r="B42" s="10">
        <f t="shared" si="3"/>
        <v>59018.595197973475</v>
      </c>
      <c r="C42">
        <f t="shared" si="0"/>
        <v>470.62256602526583</v>
      </c>
      <c r="D42" s="6">
        <f t="shared" si="1"/>
        <v>-507.53449329542798</v>
      </c>
      <c r="E42" s="10">
        <f t="shared" si="2"/>
        <v>58981.683270703317</v>
      </c>
    </row>
    <row r="43" spans="1:5">
      <c r="A43">
        <v>32</v>
      </c>
      <c r="B43" s="10">
        <f t="shared" si="3"/>
        <v>58981.683270703317</v>
      </c>
      <c r="C43">
        <f t="shared" si="0"/>
        <v>470.32822513371212</v>
      </c>
      <c r="D43" s="6">
        <f t="shared" si="1"/>
        <v>-507.53449329542798</v>
      </c>
      <c r="E43" s="10">
        <f t="shared" si="2"/>
        <v>58944.477002541607</v>
      </c>
    </row>
    <row r="44" spans="1:5">
      <c r="A44">
        <v>33</v>
      </c>
      <c r="B44" s="10">
        <f t="shared" si="3"/>
        <v>58944.477002541607</v>
      </c>
      <c r="C44">
        <f t="shared" si="0"/>
        <v>470.03153712655518</v>
      </c>
      <c r="D44" s="6">
        <f t="shared" si="1"/>
        <v>-507.53449329542798</v>
      </c>
      <c r="E44" s="10">
        <f t="shared" si="2"/>
        <v>58906.974046372736</v>
      </c>
    </row>
    <row r="45" spans="1:5">
      <c r="A45">
        <v>34</v>
      </c>
      <c r="B45" s="10">
        <f t="shared" si="3"/>
        <v>58906.974046372736</v>
      </c>
      <c r="C45">
        <f t="shared" si="0"/>
        <v>469.73248328756557</v>
      </c>
      <c r="D45" s="6">
        <f t="shared" si="1"/>
        <v>-507.53449329542798</v>
      </c>
      <c r="E45" s="10">
        <f t="shared" si="2"/>
        <v>58869.172036364878</v>
      </c>
    </row>
    <row r="46" spans="1:5">
      <c r="A46">
        <v>35</v>
      </c>
      <c r="B46" s="10">
        <f t="shared" si="3"/>
        <v>58869.172036364878</v>
      </c>
      <c r="C46">
        <f t="shared" si="0"/>
        <v>469.43104475126813</v>
      </c>
      <c r="D46" s="6">
        <f t="shared" si="1"/>
        <v>-507.53449329542798</v>
      </c>
      <c r="E46" s="10">
        <f t="shared" si="2"/>
        <v>58831.068587820722</v>
      </c>
    </row>
    <row r="47" spans="1:5">
      <c r="A47">
        <v>36</v>
      </c>
      <c r="B47" s="10">
        <f t="shared" si="3"/>
        <v>58831.068587820722</v>
      </c>
      <c r="C47">
        <f t="shared" si="0"/>
        <v>469.12720250175153</v>
      </c>
      <c r="D47" s="6">
        <f t="shared" si="1"/>
        <v>-507.53449329542798</v>
      </c>
      <c r="E47" s="10">
        <f t="shared" si="2"/>
        <v>58792.661297027051</v>
      </c>
    </row>
    <row r="48" spans="1:5">
      <c r="A48">
        <v>37</v>
      </c>
      <c r="B48" s="10">
        <f t="shared" si="3"/>
        <v>58792.661297027051</v>
      </c>
      <c r="C48">
        <f t="shared" si="0"/>
        <v>468.82093737146903</v>
      </c>
      <c r="D48" s="6">
        <f t="shared" si="1"/>
        <v>-507.53449329542798</v>
      </c>
      <c r="E48" s="10">
        <f t="shared" si="2"/>
        <v>58753.947741103097</v>
      </c>
    </row>
    <row r="49" spans="1:5">
      <c r="A49">
        <v>38</v>
      </c>
      <c r="B49" s="10">
        <f t="shared" si="3"/>
        <v>58753.947741103097</v>
      </c>
      <c r="C49">
        <f t="shared" si="0"/>
        <v>468.51223004002918</v>
      </c>
      <c r="D49" s="6">
        <f t="shared" si="1"/>
        <v>-507.53449329542798</v>
      </c>
      <c r="E49" s="10">
        <f t="shared" si="2"/>
        <v>58714.925477847704</v>
      </c>
    </row>
    <row r="50" spans="1:5">
      <c r="A50">
        <v>39</v>
      </c>
      <c r="B50" s="10">
        <f t="shared" si="3"/>
        <v>58714.925477847704</v>
      </c>
      <c r="C50">
        <f t="shared" si="0"/>
        <v>468.20106103297707</v>
      </c>
      <c r="D50" s="6">
        <f t="shared" si="1"/>
        <v>-507.53449329542798</v>
      </c>
      <c r="E50" s="10">
        <f t="shared" si="2"/>
        <v>58675.592045585254</v>
      </c>
    </row>
    <row r="51" spans="1:5">
      <c r="A51">
        <v>40</v>
      </c>
      <c r="B51" s="10">
        <f t="shared" si="3"/>
        <v>58675.592045585254</v>
      </c>
      <c r="C51">
        <f t="shared" si="0"/>
        <v>467.88741072056547</v>
      </c>
      <c r="D51" s="6">
        <f t="shared" si="1"/>
        <v>-507.53449329542798</v>
      </c>
      <c r="E51" s="10">
        <f t="shared" si="2"/>
        <v>58635.944963010392</v>
      </c>
    </row>
    <row r="52" spans="1:5">
      <c r="A52">
        <v>41</v>
      </c>
      <c r="B52" s="10">
        <f t="shared" si="3"/>
        <v>58635.944963010392</v>
      </c>
      <c r="C52">
        <f t="shared" si="0"/>
        <v>467.57125931651723</v>
      </c>
      <c r="D52" s="6">
        <f t="shared" si="1"/>
        <v>-507.53449329542798</v>
      </c>
      <c r="E52" s="10">
        <f t="shared" si="2"/>
        <v>58595.981729031482</v>
      </c>
    </row>
    <row r="53" spans="1:5">
      <c r="A53">
        <v>42</v>
      </c>
      <c r="B53" s="10">
        <f t="shared" si="3"/>
        <v>58595.981729031482</v>
      </c>
      <c r="C53">
        <f t="shared" si="0"/>
        <v>467.25258687677626</v>
      </c>
      <c r="D53" s="6">
        <f t="shared" si="1"/>
        <v>-507.53449329542798</v>
      </c>
      <c r="E53" s="10">
        <f t="shared" si="2"/>
        <v>58555.699822612834</v>
      </c>
    </row>
    <row r="54" spans="1:5">
      <c r="A54">
        <v>43</v>
      </c>
      <c r="B54" s="10">
        <f t="shared" si="3"/>
        <v>58555.699822612834</v>
      </c>
      <c r="C54">
        <f t="shared" si="0"/>
        <v>466.93137329824998</v>
      </c>
      <c r="D54" s="6">
        <f t="shared" si="1"/>
        <v>-507.53449329542798</v>
      </c>
      <c r="E54" s="10">
        <f t="shared" si="2"/>
        <v>58515.096702615658</v>
      </c>
    </row>
    <row r="55" spans="1:5">
      <c r="A55">
        <v>44</v>
      </c>
      <c r="B55" s="10">
        <f t="shared" si="3"/>
        <v>58515.096702615658</v>
      </c>
      <c r="C55">
        <f t="shared" si="0"/>
        <v>466.60759831754086</v>
      </c>
      <c r="D55" s="6">
        <f t="shared" si="1"/>
        <v>-507.53449329542798</v>
      </c>
      <c r="E55" s="10">
        <f t="shared" si="2"/>
        <v>58474.169807637772</v>
      </c>
    </row>
    <row r="56" spans="1:5">
      <c r="A56">
        <v>45</v>
      </c>
      <c r="B56" s="10">
        <f t="shared" si="3"/>
        <v>58474.169807637772</v>
      </c>
      <c r="C56">
        <f t="shared" si="0"/>
        <v>466.28124150966823</v>
      </c>
      <c r="D56" s="6">
        <f t="shared" si="1"/>
        <v>-507.53449329542798</v>
      </c>
      <c r="E56" s="10">
        <f t="shared" si="2"/>
        <v>58432.916555852018</v>
      </c>
    </row>
    <row r="57" spans="1:5">
      <c r="A57">
        <v>46</v>
      </c>
      <c r="B57" s="10">
        <f t="shared" si="3"/>
        <v>58432.916555852018</v>
      </c>
      <c r="C57">
        <f t="shared" si="0"/>
        <v>465.95228228677968</v>
      </c>
      <c r="D57" s="6">
        <f t="shared" si="1"/>
        <v>-507.53449329542798</v>
      </c>
      <c r="E57" s="10">
        <f t="shared" si="2"/>
        <v>58391.334344843373</v>
      </c>
    </row>
    <row r="58" spans="1:5">
      <c r="A58">
        <v>47</v>
      </c>
      <c r="B58" s="10">
        <f t="shared" si="3"/>
        <v>58391.334344843373</v>
      </c>
      <c r="C58">
        <f t="shared" si="0"/>
        <v>465.62069989685244</v>
      </c>
      <c r="D58" s="6">
        <f t="shared" si="1"/>
        <v>-507.53449329542798</v>
      </c>
      <c r="E58" s="10">
        <f t="shared" si="2"/>
        <v>58349.420551444804</v>
      </c>
    </row>
    <row r="59" spans="1:5">
      <c r="A59">
        <v>48</v>
      </c>
      <c r="B59" s="10">
        <f t="shared" si="3"/>
        <v>58349.420551444804</v>
      </c>
      <c r="C59">
        <f t="shared" si="0"/>
        <v>465.28647342238418</v>
      </c>
      <c r="D59" s="6">
        <f t="shared" si="1"/>
        <v>-507.53449329542798</v>
      </c>
      <c r="E59" s="10">
        <f t="shared" si="2"/>
        <v>58307.172531571763</v>
      </c>
    </row>
    <row r="60" spans="1:5">
      <c r="A60">
        <v>49</v>
      </c>
      <c r="B60" s="10">
        <f t="shared" si="3"/>
        <v>58307.172531571763</v>
      </c>
      <c r="C60">
        <f t="shared" si="0"/>
        <v>464.94958177907347</v>
      </c>
      <c r="D60" s="6">
        <f t="shared" si="1"/>
        <v>-507.53449329542798</v>
      </c>
      <c r="E60" s="10">
        <f t="shared" si="2"/>
        <v>58264.587620055412</v>
      </c>
    </row>
    <row r="61" spans="1:5">
      <c r="A61">
        <v>50</v>
      </c>
      <c r="B61" s="10">
        <f t="shared" si="3"/>
        <v>58264.587620055412</v>
      </c>
      <c r="C61">
        <f t="shared" si="0"/>
        <v>464.61000371448961</v>
      </c>
      <c r="D61" s="6">
        <f t="shared" si="1"/>
        <v>-507.53449329542798</v>
      </c>
      <c r="E61" s="10">
        <f t="shared" si="2"/>
        <v>58221.663130474473</v>
      </c>
    </row>
    <row r="62" spans="1:5">
      <c r="A62">
        <v>51</v>
      </c>
      <c r="B62" s="10">
        <f t="shared" si="3"/>
        <v>58221.663130474473</v>
      </c>
      <c r="C62">
        <f t="shared" si="0"/>
        <v>464.26771780673221</v>
      </c>
      <c r="D62" s="6">
        <f t="shared" si="1"/>
        <v>-507.53449329542798</v>
      </c>
      <c r="E62" s="10">
        <f t="shared" si="2"/>
        <v>58178.39635498578</v>
      </c>
    </row>
    <row r="63" spans="1:5">
      <c r="A63">
        <v>52</v>
      </c>
      <c r="B63" s="10">
        <f t="shared" si="3"/>
        <v>58178.39635498578</v>
      </c>
      <c r="C63">
        <f t="shared" si="0"/>
        <v>463.92270246307953</v>
      </c>
      <c r="D63" s="6">
        <f t="shared" si="1"/>
        <v>-507.53449329542798</v>
      </c>
      <c r="E63" s="10">
        <f t="shared" si="2"/>
        <v>58134.784564153437</v>
      </c>
    </row>
    <row r="64" spans="1:5">
      <c r="A64">
        <v>53</v>
      </c>
      <c r="B64" s="10">
        <f t="shared" si="3"/>
        <v>58134.784564153437</v>
      </c>
      <c r="C64">
        <f t="shared" si="0"/>
        <v>463.57493591862641</v>
      </c>
      <c r="D64" s="6">
        <f t="shared" si="1"/>
        <v>-507.53449329542798</v>
      </c>
      <c r="E64" s="10">
        <f t="shared" si="2"/>
        <v>58090.825006776635</v>
      </c>
    </row>
    <row r="65" spans="1:5">
      <c r="A65">
        <v>54</v>
      </c>
      <c r="B65" s="10">
        <f t="shared" si="3"/>
        <v>58090.825006776635</v>
      </c>
      <c r="C65">
        <f t="shared" si="0"/>
        <v>463.22439623491135</v>
      </c>
      <c r="D65" s="6">
        <f t="shared" si="1"/>
        <v>-507.53449329542798</v>
      </c>
      <c r="E65" s="10">
        <f t="shared" si="2"/>
        <v>58046.514909716119</v>
      </c>
    </row>
    <row r="66" spans="1:5">
      <c r="A66">
        <v>55</v>
      </c>
      <c r="B66" s="10">
        <f t="shared" si="3"/>
        <v>58046.514909716119</v>
      </c>
      <c r="C66">
        <f t="shared" si="0"/>
        <v>462.87106129853242</v>
      </c>
      <c r="D66" s="6">
        <f t="shared" si="1"/>
        <v>-507.53449329542798</v>
      </c>
      <c r="E66" s="10">
        <f t="shared" si="2"/>
        <v>58001.851477719225</v>
      </c>
    </row>
    <row r="67" spans="1:5">
      <c r="A67">
        <v>56</v>
      </c>
      <c r="B67" s="10">
        <f t="shared" si="3"/>
        <v>58001.851477719225</v>
      </c>
      <c r="C67">
        <f t="shared" si="0"/>
        <v>462.51490881975241</v>
      </c>
      <c r="D67" s="6">
        <f t="shared" si="1"/>
        <v>-507.53449329542798</v>
      </c>
      <c r="E67" s="10">
        <f t="shared" si="2"/>
        <v>57956.83189324355</v>
      </c>
    </row>
    <row r="68" spans="1:5">
      <c r="A68">
        <v>57</v>
      </c>
      <c r="B68" s="10">
        <f t="shared" si="3"/>
        <v>57956.83189324355</v>
      </c>
      <c r="C68">
        <f t="shared" si="0"/>
        <v>462.1559163310925</v>
      </c>
      <c r="D68" s="6">
        <f t="shared" si="1"/>
        <v>-507.53449329542798</v>
      </c>
      <c r="E68" s="10">
        <f t="shared" si="2"/>
        <v>57911.453316279221</v>
      </c>
    </row>
    <row r="69" spans="1:5">
      <c r="A69">
        <v>58</v>
      </c>
      <c r="B69" s="10">
        <f t="shared" si="3"/>
        <v>57911.453316279221</v>
      </c>
      <c r="C69">
        <f t="shared" si="0"/>
        <v>461.7940611859151</v>
      </c>
      <c r="D69" s="6">
        <f t="shared" si="1"/>
        <v>-507.53449329542798</v>
      </c>
      <c r="E69" s="10">
        <f t="shared" si="2"/>
        <v>57865.712884169712</v>
      </c>
    </row>
    <row r="70" spans="1:5">
      <c r="A70">
        <v>59</v>
      </c>
      <c r="B70" s="10">
        <f t="shared" si="3"/>
        <v>57865.712884169712</v>
      </c>
      <c r="C70">
        <f t="shared" si="0"/>
        <v>461.42932055699515</v>
      </c>
      <c r="D70" s="6">
        <f t="shared" si="1"/>
        <v>-507.53449329542798</v>
      </c>
      <c r="E70" s="10">
        <f t="shared" si="2"/>
        <v>57819.607711431279</v>
      </c>
    </row>
    <row r="71" spans="1:5">
      <c r="A71">
        <v>60</v>
      </c>
      <c r="B71" s="10">
        <f t="shared" si="3"/>
        <v>57819.607711431279</v>
      </c>
      <c r="C71">
        <f t="shared" si="0"/>
        <v>461.06167143508003</v>
      </c>
      <c r="D71" s="6">
        <f t="shared" si="1"/>
        <v>-507.53449329542798</v>
      </c>
      <c r="E71" s="10">
        <f t="shared" si="2"/>
        <v>57773.134889570938</v>
      </c>
    </row>
    <row r="72" spans="1:5">
      <c r="A72">
        <v>61</v>
      </c>
      <c r="B72" s="10">
        <f t="shared" si="3"/>
        <v>57773.134889570938</v>
      </c>
      <c r="C72">
        <f t="shared" si="0"/>
        <v>460.6910906274382</v>
      </c>
      <c r="D72" s="6">
        <f t="shared" si="1"/>
        <v>-507.53449329542798</v>
      </c>
      <c r="E72" s="10">
        <f t="shared" si="2"/>
        <v>57726.291486902948</v>
      </c>
    </row>
    <row r="73" spans="1:5">
      <c r="A73">
        <v>62</v>
      </c>
      <c r="B73" s="10">
        <f t="shared" si="3"/>
        <v>57726.291486902948</v>
      </c>
      <c r="C73">
        <f t="shared" si="0"/>
        <v>460.31755475639602</v>
      </c>
      <c r="D73" s="6">
        <f t="shared" si="1"/>
        <v>-507.53449329542798</v>
      </c>
      <c r="E73" s="10">
        <f t="shared" si="2"/>
        <v>57679.074548363918</v>
      </c>
    </row>
    <row r="74" spans="1:5">
      <c r="A74">
        <v>63</v>
      </c>
      <c r="B74" s="10">
        <f t="shared" si="3"/>
        <v>57679.074548363918</v>
      </c>
      <c r="C74">
        <f t="shared" si="0"/>
        <v>459.94104025786282</v>
      </c>
      <c r="D74" s="6">
        <f t="shared" si="1"/>
        <v>-507.53449329542798</v>
      </c>
      <c r="E74" s="10">
        <f t="shared" si="2"/>
        <v>57631.481095326359</v>
      </c>
    </row>
    <row r="75" spans="1:5">
      <c r="A75">
        <v>64</v>
      </c>
      <c r="B75" s="10">
        <f t="shared" si="3"/>
        <v>57631.481095326359</v>
      </c>
      <c r="C75">
        <f t="shared" si="0"/>
        <v>459.56152337984491</v>
      </c>
      <c r="D75" s="6">
        <f t="shared" si="1"/>
        <v>-507.53449329542798</v>
      </c>
      <c r="E75" s="10">
        <f t="shared" si="2"/>
        <v>57583.508125410779</v>
      </c>
    </row>
    <row r="76" spans="1:5">
      <c r="A76">
        <v>65</v>
      </c>
      <c r="B76" s="10">
        <f t="shared" si="3"/>
        <v>57583.508125410779</v>
      </c>
      <c r="C76">
        <f t="shared" si="0"/>
        <v>459.1789801809465</v>
      </c>
      <c r="D76" s="6">
        <f t="shared" si="1"/>
        <v>-507.53449329542798</v>
      </c>
      <c r="E76" s="10">
        <f t="shared" si="2"/>
        <v>57535.152612296304</v>
      </c>
    </row>
    <row r="77" spans="1:5">
      <c r="A77">
        <v>66</v>
      </c>
      <c r="B77" s="10">
        <f t="shared" si="3"/>
        <v>57535.152612296304</v>
      </c>
      <c r="C77">
        <f t="shared" ref="C77:C140" si="4">B77*$B$4</f>
        <v>458.79338652885997</v>
      </c>
      <c r="D77" s="6">
        <f t="shared" ref="D77:D140" si="5">$B$8</f>
        <v>-507.53449329542798</v>
      </c>
      <c r="E77" s="10">
        <f t="shared" ref="E77:E140" si="6">SUM(B77:D77)</f>
        <v>57486.411505529737</v>
      </c>
    </row>
    <row r="78" spans="1:5">
      <c r="A78">
        <v>67</v>
      </c>
      <c r="B78" s="10">
        <f t="shared" ref="B78:B141" si="7">E77</f>
        <v>57486.411505529737</v>
      </c>
      <c r="C78">
        <f t="shared" si="4"/>
        <v>458.4047180988432</v>
      </c>
      <c r="D78" s="6">
        <f t="shared" si="5"/>
        <v>-507.53449329542798</v>
      </c>
      <c r="E78" s="10">
        <f t="shared" si="6"/>
        <v>57437.281730333154</v>
      </c>
    </row>
    <row r="79" spans="1:5">
      <c r="A79">
        <v>68</v>
      </c>
      <c r="B79" s="10">
        <f t="shared" si="7"/>
        <v>57437.281730333154</v>
      </c>
      <c r="C79">
        <f t="shared" si="4"/>
        <v>458.01295037218517</v>
      </c>
      <c r="D79" s="6">
        <f t="shared" si="5"/>
        <v>-507.53449329542798</v>
      </c>
      <c r="E79" s="10">
        <f t="shared" si="6"/>
        <v>57387.760187409913</v>
      </c>
    </row>
    <row r="80" spans="1:5">
      <c r="A80">
        <v>69</v>
      </c>
      <c r="B80" s="10">
        <f t="shared" si="7"/>
        <v>57387.760187409913</v>
      </c>
      <c r="C80">
        <f t="shared" si="4"/>
        <v>457.61805863465923</v>
      </c>
      <c r="D80" s="6">
        <f t="shared" si="5"/>
        <v>-507.53449329542798</v>
      </c>
      <c r="E80" s="10">
        <f t="shared" si="6"/>
        <v>57337.843752749148</v>
      </c>
    </row>
    <row r="81" spans="1:5">
      <c r="A81">
        <v>70</v>
      </c>
      <c r="B81" s="10">
        <f t="shared" si="7"/>
        <v>57337.843752749148</v>
      </c>
      <c r="C81">
        <f t="shared" si="4"/>
        <v>457.22001797496409</v>
      </c>
      <c r="D81" s="6">
        <f t="shared" si="5"/>
        <v>-507.53449329542798</v>
      </c>
      <c r="E81" s="10">
        <f t="shared" si="6"/>
        <v>57287.529277428686</v>
      </c>
    </row>
    <row r="82" spans="1:5">
      <c r="A82">
        <v>71</v>
      </c>
      <c r="B82" s="10">
        <f t="shared" si="7"/>
        <v>57287.529277428686</v>
      </c>
      <c r="C82">
        <f t="shared" si="4"/>
        <v>456.81880328315214</v>
      </c>
      <c r="D82" s="6">
        <f t="shared" si="5"/>
        <v>-507.53449329542798</v>
      </c>
      <c r="E82" s="10">
        <f t="shared" si="6"/>
        <v>57236.813587416415</v>
      </c>
    </row>
    <row r="83" spans="1:5">
      <c r="A83">
        <v>72</v>
      </c>
      <c r="B83" s="10">
        <f t="shared" si="7"/>
        <v>57236.813587416415</v>
      </c>
      <c r="C83">
        <f t="shared" si="4"/>
        <v>456.41438924904554</v>
      </c>
      <c r="D83" s="6">
        <f t="shared" si="5"/>
        <v>-507.53449329542798</v>
      </c>
      <c r="E83" s="10">
        <f t="shared" si="6"/>
        <v>57185.693483370036</v>
      </c>
    </row>
    <row r="84" spans="1:5">
      <c r="A84">
        <v>73</v>
      </c>
      <c r="B84" s="10">
        <f t="shared" si="7"/>
        <v>57185.693483370036</v>
      </c>
      <c r="C84">
        <f t="shared" si="4"/>
        <v>456.00675036063956</v>
      </c>
      <c r="D84" s="6">
        <f t="shared" si="5"/>
        <v>-507.53449329542798</v>
      </c>
      <c r="E84" s="10">
        <f t="shared" si="6"/>
        <v>57134.165740435252</v>
      </c>
    </row>
    <row r="85" spans="1:5">
      <c r="A85">
        <v>74</v>
      </c>
      <c r="B85" s="10">
        <f t="shared" si="7"/>
        <v>57134.165740435252</v>
      </c>
      <c r="C85">
        <f t="shared" si="4"/>
        <v>455.59586090249309</v>
      </c>
      <c r="D85" s="6">
        <f t="shared" si="5"/>
        <v>-507.53449329542798</v>
      </c>
      <c r="E85" s="10">
        <f t="shared" si="6"/>
        <v>57082.227108042323</v>
      </c>
    </row>
    <row r="86" spans="1:5">
      <c r="A86">
        <v>75</v>
      </c>
      <c r="B86" s="10">
        <f t="shared" si="7"/>
        <v>57082.227108042323</v>
      </c>
      <c r="C86">
        <f t="shared" si="4"/>
        <v>455.18169495410672</v>
      </c>
      <c r="D86" s="6">
        <f t="shared" si="5"/>
        <v>-507.53449329542798</v>
      </c>
      <c r="E86" s="10">
        <f t="shared" si="6"/>
        <v>57029.874309701008</v>
      </c>
    </row>
    <row r="87" spans="1:5">
      <c r="A87">
        <v>76</v>
      </c>
      <c r="B87" s="10">
        <f t="shared" si="7"/>
        <v>57029.874309701008</v>
      </c>
      <c r="C87">
        <f t="shared" si="4"/>
        <v>454.76422638828694</v>
      </c>
      <c r="D87" s="6">
        <f t="shared" si="5"/>
        <v>-507.53449329542798</v>
      </c>
      <c r="E87" s="10">
        <f t="shared" si="6"/>
        <v>56977.104042793871</v>
      </c>
    </row>
    <row r="88" spans="1:5">
      <c r="A88">
        <v>77</v>
      </c>
      <c r="B88" s="10">
        <f t="shared" si="7"/>
        <v>56977.104042793871</v>
      </c>
      <c r="C88">
        <f t="shared" si="4"/>
        <v>454.34342886949872</v>
      </c>
      <c r="D88" s="6">
        <f t="shared" si="5"/>
        <v>-507.53449329542798</v>
      </c>
      <c r="E88" s="10">
        <f t="shared" si="6"/>
        <v>56923.912978367945</v>
      </c>
    </row>
    <row r="89" spans="1:5">
      <c r="A89">
        <v>78</v>
      </c>
      <c r="B89" s="10">
        <f t="shared" si="7"/>
        <v>56923.912978367945</v>
      </c>
      <c r="C89">
        <f t="shared" si="4"/>
        <v>453.9192758522035</v>
      </c>
      <c r="D89" s="6">
        <f t="shared" si="5"/>
        <v>-507.53449329542798</v>
      </c>
      <c r="E89" s="10">
        <f t="shared" si="6"/>
        <v>56870.297760924725</v>
      </c>
    </row>
    <row r="90" spans="1:5">
      <c r="A90">
        <v>79</v>
      </c>
      <c r="B90" s="10">
        <f t="shared" si="7"/>
        <v>56870.297760924725</v>
      </c>
      <c r="C90">
        <f t="shared" si="4"/>
        <v>453.49174057918509</v>
      </c>
      <c r="D90" s="6">
        <f t="shared" si="5"/>
        <v>-507.53449329542798</v>
      </c>
      <c r="E90" s="10">
        <f t="shared" si="6"/>
        <v>56816.255008208485</v>
      </c>
    </row>
    <row r="91" spans="1:5">
      <c r="A91">
        <v>80</v>
      </c>
      <c r="B91" s="10">
        <f t="shared" si="7"/>
        <v>56816.255008208485</v>
      </c>
      <c r="C91">
        <f t="shared" si="4"/>
        <v>453.06079607986123</v>
      </c>
      <c r="D91" s="6">
        <f t="shared" si="5"/>
        <v>-507.53449329542798</v>
      </c>
      <c r="E91" s="10">
        <f t="shared" si="6"/>
        <v>56761.781310992919</v>
      </c>
    </row>
    <row r="92" spans="1:5">
      <c r="A92">
        <v>81</v>
      </c>
      <c r="B92" s="10">
        <f t="shared" si="7"/>
        <v>56761.781310992919</v>
      </c>
      <c r="C92">
        <f t="shared" si="4"/>
        <v>452.62641516858275</v>
      </c>
      <c r="D92" s="6">
        <f t="shared" si="5"/>
        <v>-507.53449329542798</v>
      </c>
      <c r="E92" s="10">
        <f t="shared" si="6"/>
        <v>56706.873232866077</v>
      </c>
    </row>
    <row r="93" spans="1:5">
      <c r="A93">
        <v>82</v>
      </c>
      <c r="B93" s="10">
        <f t="shared" si="7"/>
        <v>56706.873232866077</v>
      </c>
      <c r="C93">
        <f t="shared" si="4"/>
        <v>452.18857044291809</v>
      </c>
      <c r="D93" s="6">
        <f t="shared" si="5"/>
        <v>-507.53449329542798</v>
      </c>
      <c r="E93" s="10">
        <f t="shared" si="6"/>
        <v>56651.527310013567</v>
      </c>
    </row>
    <row r="94" spans="1:5">
      <c r="A94">
        <v>83</v>
      </c>
      <c r="B94" s="10">
        <f t="shared" si="7"/>
        <v>56651.527310013567</v>
      </c>
      <c r="C94">
        <f t="shared" si="4"/>
        <v>451.74723428192493</v>
      </c>
      <c r="D94" s="6">
        <f t="shared" si="5"/>
        <v>-507.53449329542798</v>
      </c>
      <c r="E94" s="10">
        <f t="shared" si="6"/>
        <v>56595.740051000066</v>
      </c>
    </row>
    <row r="95" spans="1:5">
      <c r="A95">
        <v>84</v>
      </c>
      <c r="B95" s="10">
        <f t="shared" si="7"/>
        <v>56595.740051000066</v>
      </c>
      <c r="C95">
        <f t="shared" si="4"/>
        <v>451.3023788444076</v>
      </c>
      <c r="D95" s="6">
        <f t="shared" si="5"/>
        <v>-507.53449329542798</v>
      </c>
      <c r="E95" s="10">
        <f t="shared" si="6"/>
        <v>56539.507936549046</v>
      </c>
    </row>
    <row r="96" spans="1:5">
      <c r="A96">
        <v>85</v>
      </c>
      <c r="B96" s="10">
        <f t="shared" si="7"/>
        <v>56539.507936549046</v>
      </c>
      <c r="C96">
        <f t="shared" si="4"/>
        <v>450.853976067161</v>
      </c>
      <c r="D96" s="6">
        <f t="shared" si="5"/>
        <v>-507.53449329542798</v>
      </c>
      <c r="E96" s="10">
        <f t="shared" si="6"/>
        <v>56482.827419320784</v>
      </c>
    </row>
    <row r="97" spans="1:5">
      <c r="A97">
        <v>86</v>
      </c>
      <c r="B97" s="10">
        <f t="shared" si="7"/>
        <v>56482.827419320784</v>
      </c>
      <c r="C97">
        <f t="shared" si="4"/>
        <v>450.40199766319995</v>
      </c>
      <c r="D97" s="6">
        <f t="shared" si="5"/>
        <v>-507.53449329542798</v>
      </c>
      <c r="E97" s="10">
        <f t="shared" si="6"/>
        <v>56425.694923688556</v>
      </c>
    </row>
    <row r="98" spans="1:5">
      <c r="A98">
        <v>87</v>
      </c>
      <c r="B98" s="10">
        <f t="shared" si="7"/>
        <v>56425.694923688556</v>
      </c>
      <c r="C98">
        <f t="shared" si="4"/>
        <v>449.9464151199748</v>
      </c>
      <c r="D98" s="6">
        <f t="shared" si="5"/>
        <v>-507.53449329542798</v>
      </c>
      <c r="E98" s="10">
        <f t="shared" si="6"/>
        <v>56368.106845513103</v>
      </c>
    </row>
    <row r="99" spans="1:5">
      <c r="A99">
        <v>88</v>
      </c>
      <c r="B99" s="10">
        <f t="shared" si="7"/>
        <v>56368.106845513103</v>
      </c>
      <c r="C99">
        <f t="shared" si="4"/>
        <v>449.48719969757309</v>
      </c>
      <c r="D99" s="6">
        <f t="shared" si="5"/>
        <v>-507.53449329542798</v>
      </c>
      <c r="E99" s="10">
        <f t="shared" si="6"/>
        <v>56310.059551915248</v>
      </c>
    </row>
    <row r="100" spans="1:5">
      <c r="A100">
        <v>89</v>
      </c>
      <c r="B100" s="10">
        <f t="shared" si="7"/>
        <v>56310.059551915248</v>
      </c>
      <c r="C100">
        <f t="shared" si="4"/>
        <v>449.024322426906</v>
      </c>
      <c r="D100" s="6">
        <f t="shared" si="5"/>
        <v>-507.53449329542798</v>
      </c>
      <c r="E100" s="10">
        <f t="shared" si="6"/>
        <v>56251.549381046731</v>
      </c>
    </row>
    <row r="101" spans="1:5">
      <c r="A101">
        <v>90</v>
      </c>
      <c r="B101" s="10">
        <f t="shared" si="7"/>
        <v>56251.549381046731</v>
      </c>
      <c r="C101">
        <f t="shared" si="4"/>
        <v>448.55775410788124</v>
      </c>
      <c r="D101" s="6">
        <f t="shared" si="5"/>
        <v>-507.53449329542798</v>
      </c>
      <c r="E101" s="10">
        <f t="shared" si="6"/>
        <v>56192.572641859188</v>
      </c>
    </row>
    <row r="102" spans="1:5">
      <c r="A102">
        <v>91</v>
      </c>
      <c r="B102" s="10">
        <f t="shared" si="7"/>
        <v>56192.572641859188</v>
      </c>
      <c r="C102">
        <f t="shared" si="4"/>
        <v>448.08746530756093</v>
      </c>
      <c r="D102" s="6">
        <f t="shared" si="5"/>
        <v>-507.53449329542798</v>
      </c>
      <c r="E102" s="10">
        <f t="shared" si="6"/>
        <v>56133.125613871322</v>
      </c>
    </row>
    <row r="103" spans="1:5">
      <c r="A103">
        <v>92</v>
      </c>
      <c r="B103" s="10">
        <f t="shared" si="7"/>
        <v>56133.125613871322</v>
      </c>
      <c r="C103">
        <f t="shared" si="4"/>
        <v>447.61342635830476</v>
      </c>
      <c r="D103" s="6">
        <f t="shared" si="5"/>
        <v>-507.53449329542798</v>
      </c>
      <c r="E103" s="10">
        <f t="shared" si="6"/>
        <v>56073.204546934205</v>
      </c>
    </row>
    <row r="104" spans="1:5">
      <c r="A104">
        <v>93</v>
      </c>
      <c r="B104" s="10">
        <f t="shared" si="7"/>
        <v>56073.204546934205</v>
      </c>
      <c r="C104">
        <f t="shared" si="4"/>
        <v>447.1356073558984</v>
      </c>
      <c r="D104" s="6">
        <f t="shared" si="5"/>
        <v>-507.53449329542798</v>
      </c>
      <c r="E104" s="10">
        <f t="shared" si="6"/>
        <v>56012.80566099468</v>
      </c>
    </row>
    <row r="105" spans="1:5">
      <c r="A105">
        <v>94</v>
      </c>
      <c r="B105" s="10">
        <f t="shared" si="7"/>
        <v>56012.80566099468</v>
      </c>
      <c r="C105">
        <f t="shared" si="4"/>
        <v>446.65397815766732</v>
      </c>
      <c r="D105" s="6">
        <f t="shared" si="5"/>
        <v>-507.53449329542798</v>
      </c>
      <c r="E105" s="10">
        <f t="shared" si="6"/>
        <v>55951.92514585692</v>
      </c>
    </row>
    <row r="106" spans="1:5">
      <c r="A106">
        <v>95</v>
      </c>
      <c r="B106" s="10">
        <f t="shared" si="7"/>
        <v>55951.92514585692</v>
      </c>
      <c r="C106">
        <f t="shared" si="4"/>
        <v>446.16850838057479</v>
      </c>
      <c r="D106" s="6">
        <f t="shared" si="5"/>
        <v>-507.53449329542798</v>
      </c>
      <c r="E106" s="10">
        <f t="shared" si="6"/>
        <v>55890.559160942066</v>
      </c>
    </row>
    <row r="107" spans="1:5">
      <c r="A107">
        <v>96</v>
      </c>
      <c r="B107" s="10">
        <f t="shared" si="7"/>
        <v>55890.559160942066</v>
      </c>
      <c r="C107">
        <f t="shared" si="4"/>
        <v>445.67916739930575</v>
      </c>
      <c r="D107" s="6">
        <f t="shared" si="5"/>
        <v>-507.53449329542798</v>
      </c>
      <c r="E107" s="10">
        <f t="shared" si="6"/>
        <v>55828.703835045948</v>
      </c>
    </row>
    <row r="108" spans="1:5">
      <c r="A108">
        <v>97</v>
      </c>
      <c r="B108" s="10">
        <f t="shared" si="7"/>
        <v>55828.703835045948</v>
      </c>
      <c r="C108">
        <f t="shared" si="4"/>
        <v>445.18592434433452</v>
      </c>
      <c r="D108" s="6">
        <f t="shared" si="5"/>
        <v>-507.53449329542798</v>
      </c>
      <c r="E108" s="10">
        <f t="shared" si="6"/>
        <v>55766.355266094855</v>
      </c>
    </row>
    <row r="109" spans="1:5">
      <c r="A109">
        <v>98</v>
      </c>
      <c r="B109" s="10">
        <f t="shared" si="7"/>
        <v>55766.355266094855</v>
      </c>
      <c r="C109">
        <f t="shared" si="4"/>
        <v>444.68874809997732</v>
      </c>
      <c r="D109" s="6">
        <f t="shared" si="5"/>
        <v>-507.53449329542798</v>
      </c>
      <c r="E109" s="10">
        <f t="shared" si="6"/>
        <v>55703.50952089941</v>
      </c>
    </row>
    <row r="110" spans="1:5">
      <c r="A110">
        <v>99</v>
      </c>
      <c r="B110" s="10">
        <f t="shared" si="7"/>
        <v>55703.50952089941</v>
      </c>
      <c r="C110">
        <f t="shared" si="4"/>
        <v>444.18760730242974</v>
      </c>
      <c r="D110" s="6">
        <f t="shared" si="5"/>
        <v>-507.53449329542798</v>
      </c>
      <c r="E110" s="10">
        <f t="shared" si="6"/>
        <v>55640.162634906417</v>
      </c>
    </row>
    <row r="111" spans="1:5">
      <c r="A111">
        <v>100</v>
      </c>
      <c r="B111" s="10">
        <f t="shared" si="7"/>
        <v>55640.162634906417</v>
      </c>
      <c r="C111">
        <f t="shared" si="4"/>
        <v>443.68247033778783</v>
      </c>
      <c r="D111" s="6">
        <f t="shared" si="5"/>
        <v>-507.53449329542798</v>
      </c>
      <c r="E111" s="10">
        <f t="shared" si="6"/>
        <v>55576.310611948778</v>
      </c>
    </row>
    <row r="112" spans="1:5">
      <c r="A112">
        <v>101</v>
      </c>
      <c r="B112" s="10">
        <f t="shared" si="7"/>
        <v>55576.310611948778</v>
      </c>
      <c r="C112">
        <f t="shared" si="4"/>
        <v>443.17330534005407</v>
      </c>
      <c r="D112" s="6">
        <f t="shared" si="5"/>
        <v>-507.53449329542798</v>
      </c>
      <c r="E112" s="10">
        <f t="shared" si="6"/>
        <v>55511.949423993407</v>
      </c>
    </row>
    <row r="113" spans="1:5">
      <c r="A113">
        <v>102</v>
      </c>
      <c r="B113" s="10">
        <f t="shared" si="7"/>
        <v>55511.949423993407</v>
      </c>
      <c r="C113">
        <f t="shared" si="4"/>
        <v>442.66008018912686</v>
      </c>
      <c r="D113" s="6">
        <f t="shared" si="5"/>
        <v>-507.53449329542798</v>
      </c>
      <c r="E113" s="10">
        <f t="shared" si="6"/>
        <v>55447.075010887107</v>
      </c>
    </row>
    <row r="114" spans="1:5">
      <c r="A114">
        <v>103</v>
      </c>
      <c r="B114" s="10">
        <f t="shared" si="7"/>
        <v>55447.075010887107</v>
      </c>
      <c r="C114">
        <f t="shared" si="4"/>
        <v>442.14276250877452</v>
      </c>
      <c r="D114" s="6">
        <f t="shared" si="5"/>
        <v>-507.53449329542798</v>
      </c>
      <c r="E114" s="10">
        <f t="shared" si="6"/>
        <v>55381.683280100457</v>
      </c>
    </row>
    <row r="115" spans="1:5">
      <c r="A115">
        <v>104</v>
      </c>
      <c r="B115" s="10">
        <f t="shared" si="7"/>
        <v>55381.683280100457</v>
      </c>
      <c r="C115">
        <f t="shared" si="4"/>
        <v>441.6213196645927</v>
      </c>
      <c r="D115" s="6">
        <f t="shared" si="5"/>
        <v>-507.53449329542798</v>
      </c>
      <c r="E115" s="10">
        <f t="shared" si="6"/>
        <v>55315.770106469623</v>
      </c>
    </row>
    <row r="116" spans="1:5">
      <c r="A116">
        <v>105</v>
      </c>
      <c r="B116" s="10">
        <f t="shared" si="7"/>
        <v>55315.770106469623</v>
      </c>
      <c r="C116">
        <f t="shared" si="4"/>
        <v>441.0957187619457</v>
      </c>
      <c r="D116" s="6">
        <f t="shared" si="5"/>
        <v>-507.53449329542798</v>
      </c>
      <c r="E116" s="10">
        <f t="shared" si="6"/>
        <v>55249.33133193614</v>
      </c>
    </row>
    <row r="117" spans="1:5">
      <c r="A117">
        <v>106</v>
      </c>
      <c r="B117" s="10">
        <f t="shared" si="7"/>
        <v>55249.33133193614</v>
      </c>
      <c r="C117">
        <f t="shared" si="4"/>
        <v>440.56592664389143</v>
      </c>
      <c r="D117" s="6">
        <f t="shared" si="5"/>
        <v>-507.53449329542798</v>
      </c>
      <c r="E117" s="10">
        <f t="shared" si="6"/>
        <v>55182.362765284604</v>
      </c>
    </row>
    <row r="118" spans="1:5">
      <c r="A118">
        <v>107</v>
      </c>
      <c r="B118" s="10">
        <f t="shared" si="7"/>
        <v>55182.362765284604</v>
      </c>
      <c r="C118">
        <f t="shared" si="4"/>
        <v>440.03190988908966</v>
      </c>
      <c r="D118" s="6">
        <f t="shared" si="5"/>
        <v>-507.53449329542798</v>
      </c>
      <c r="E118" s="10">
        <f t="shared" si="6"/>
        <v>55114.86018187827</v>
      </c>
    </row>
    <row r="119" spans="1:5">
      <c r="A119">
        <v>108</v>
      </c>
      <c r="B119" s="10">
        <f t="shared" si="7"/>
        <v>55114.86018187827</v>
      </c>
      <c r="C119">
        <f t="shared" si="4"/>
        <v>439.49363480969379</v>
      </c>
      <c r="D119" s="6">
        <f t="shared" si="5"/>
        <v>-507.53449329542798</v>
      </c>
      <c r="E119" s="10">
        <f t="shared" si="6"/>
        <v>55046.819323392541</v>
      </c>
    </row>
    <row r="120" spans="1:5">
      <c r="A120">
        <v>109</v>
      </c>
      <c r="B120" s="10">
        <f t="shared" si="7"/>
        <v>55046.819323392541</v>
      </c>
      <c r="C120">
        <f t="shared" si="4"/>
        <v>438.95106744922543</v>
      </c>
      <c r="D120" s="6">
        <f t="shared" si="5"/>
        <v>-507.53449329542798</v>
      </c>
      <c r="E120" s="10">
        <f t="shared" si="6"/>
        <v>54978.235897546343</v>
      </c>
    </row>
    <row r="121" spans="1:5">
      <c r="A121">
        <v>110</v>
      </c>
      <c r="B121" s="10">
        <f t="shared" si="7"/>
        <v>54978.235897546343</v>
      </c>
      <c r="C121">
        <f t="shared" si="4"/>
        <v>438.40417358043254</v>
      </c>
      <c r="D121" s="6">
        <f t="shared" si="5"/>
        <v>-507.53449329542798</v>
      </c>
      <c r="E121" s="10">
        <f t="shared" si="6"/>
        <v>54909.105577831353</v>
      </c>
    </row>
    <row r="122" spans="1:5">
      <c r="A122">
        <v>111</v>
      </c>
      <c r="B122" s="10">
        <f t="shared" si="7"/>
        <v>54909.105577831353</v>
      </c>
      <c r="C122">
        <f t="shared" si="4"/>
        <v>437.85291870313017</v>
      </c>
      <c r="D122" s="6">
        <f t="shared" si="5"/>
        <v>-507.53449329542798</v>
      </c>
      <c r="E122" s="10">
        <f t="shared" si="6"/>
        <v>54839.424003239059</v>
      </c>
    </row>
    <row r="123" spans="1:5">
      <c r="A123">
        <v>112</v>
      </c>
      <c r="B123" s="10">
        <f t="shared" si="7"/>
        <v>54839.424003239059</v>
      </c>
      <c r="C123">
        <f t="shared" si="4"/>
        <v>437.29726804202409</v>
      </c>
      <c r="D123" s="6">
        <f t="shared" si="5"/>
        <v>-507.53449329542798</v>
      </c>
      <c r="E123" s="10">
        <f t="shared" si="6"/>
        <v>54769.186777985655</v>
      </c>
    </row>
    <row r="124" spans="1:5">
      <c r="A124">
        <v>113</v>
      </c>
      <c r="B124" s="10">
        <f t="shared" si="7"/>
        <v>54769.186777985655</v>
      </c>
      <c r="C124">
        <f t="shared" si="4"/>
        <v>436.73718654451693</v>
      </c>
      <c r="D124" s="6">
        <f t="shared" si="5"/>
        <v>-507.53449329542798</v>
      </c>
      <c r="E124" s="10">
        <f t="shared" si="6"/>
        <v>54698.389471234746</v>
      </c>
    </row>
    <row r="125" spans="1:5">
      <c r="A125">
        <v>114</v>
      </c>
      <c r="B125" s="10">
        <f t="shared" si="7"/>
        <v>54698.389471234746</v>
      </c>
      <c r="C125">
        <f t="shared" si="4"/>
        <v>436.17263887849697</v>
      </c>
      <c r="D125" s="6">
        <f t="shared" si="5"/>
        <v>-507.53449329542798</v>
      </c>
      <c r="E125" s="10">
        <f t="shared" si="6"/>
        <v>54627.027616817817</v>
      </c>
    </row>
    <row r="126" spans="1:5">
      <c r="A126">
        <v>115</v>
      </c>
      <c r="B126" s="10">
        <f t="shared" si="7"/>
        <v>54627.027616817817</v>
      </c>
      <c r="C126">
        <f t="shared" si="4"/>
        <v>435.60358943010942</v>
      </c>
      <c r="D126" s="6">
        <f t="shared" si="5"/>
        <v>-507.53449329542798</v>
      </c>
      <c r="E126" s="10">
        <f t="shared" si="6"/>
        <v>54555.096712952502</v>
      </c>
    </row>
    <row r="127" spans="1:5">
      <c r="A127">
        <v>116</v>
      </c>
      <c r="B127" s="10">
        <f t="shared" si="7"/>
        <v>54555.096712952502</v>
      </c>
      <c r="C127">
        <f t="shared" si="4"/>
        <v>435.0300023015094</v>
      </c>
      <c r="D127" s="6">
        <f t="shared" si="5"/>
        <v>-507.53449329542798</v>
      </c>
      <c r="E127" s="10">
        <f t="shared" si="6"/>
        <v>54482.592221958585</v>
      </c>
    </row>
    <row r="128" spans="1:5">
      <c r="A128">
        <v>117</v>
      </c>
      <c r="B128" s="10">
        <f t="shared" si="7"/>
        <v>54482.592221958585</v>
      </c>
      <c r="C128">
        <f t="shared" si="4"/>
        <v>434.45184130859769</v>
      </c>
      <c r="D128" s="6">
        <f t="shared" si="5"/>
        <v>-507.53449329542798</v>
      </c>
      <c r="E128" s="10">
        <f t="shared" si="6"/>
        <v>54409.509569971757</v>
      </c>
    </row>
    <row r="129" spans="1:5">
      <c r="A129">
        <v>118</v>
      </c>
      <c r="B129" s="10">
        <f t="shared" si="7"/>
        <v>54409.509569971757</v>
      </c>
      <c r="C129">
        <f t="shared" si="4"/>
        <v>433.86906997873803</v>
      </c>
      <c r="D129" s="6">
        <f t="shared" si="5"/>
        <v>-507.53449329542798</v>
      </c>
      <c r="E129" s="10">
        <f t="shared" si="6"/>
        <v>54335.844146655072</v>
      </c>
    </row>
    <row r="130" spans="1:5">
      <c r="A130">
        <v>119</v>
      </c>
      <c r="B130" s="10">
        <f t="shared" si="7"/>
        <v>54335.844146655072</v>
      </c>
      <c r="C130">
        <f t="shared" si="4"/>
        <v>433.28165154845618</v>
      </c>
      <c r="D130" s="6">
        <f t="shared" si="5"/>
        <v>-507.53449329542798</v>
      </c>
      <c r="E130" s="10">
        <f t="shared" si="6"/>
        <v>54261.591304908106</v>
      </c>
    </row>
    <row r="131" spans="1:5">
      <c r="A131">
        <v>120</v>
      </c>
      <c r="B131" s="10">
        <f t="shared" si="7"/>
        <v>54261.591304908106</v>
      </c>
      <c r="C131">
        <f t="shared" si="4"/>
        <v>432.68954896112069</v>
      </c>
      <c r="D131" s="6">
        <f t="shared" si="5"/>
        <v>-507.53449329542798</v>
      </c>
      <c r="E131" s="10">
        <f t="shared" si="6"/>
        <v>54186.746360573801</v>
      </c>
    </row>
    <row r="132" spans="1:5">
      <c r="A132">
        <v>121</v>
      </c>
      <c r="B132" s="10">
        <f t="shared" si="7"/>
        <v>54186.746360573801</v>
      </c>
      <c r="C132">
        <f t="shared" si="4"/>
        <v>432.09272486460549</v>
      </c>
      <c r="D132" s="6">
        <f t="shared" si="5"/>
        <v>-507.53449329542798</v>
      </c>
      <c r="E132" s="10">
        <f t="shared" si="6"/>
        <v>54111.30459214298</v>
      </c>
    </row>
    <row r="133" spans="1:5">
      <c r="A133">
        <v>122</v>
      </c>
      <c r="B133" s="10">
        <f t="shared" si="7"/>
        <v>54111.30459214298</v>
      </c>
      <c r="C133">
        <f t="shared" si="4"/>
        <v>431.49114160893328</v>
      </c>
      <c r="D133" s="6">
        <f t="shared" si="5"/>
        <v>-507.53449329542798</v>
      </c>
      <c r="E133" s="10">
        <f t="shared" si="6"/>
        <v>54035.261240456486</v>
      </c>
    </row>
    <row r="134" spans="1:5">
      <c r="A134">
        <v>123</v>
      </c>
      <c r="B134" s="10">
        <f t="shared" si="7"/>
        <v>54035.261240456486</v>
      </c>
      <c r="C134">
        <f t="shared" si="4"/>
        <v>430.88476124390064</v>
      </c>
      <c r="D134" s="6">
        <f t="shared" si="5"/>
        <v>-507.53449329542798</v>
      </c>
      <c r="E134" s="10">
        <f t="shared" si="6"/>
        <v>53958.61150840496</v>
      </c>
    </row>
    <row r="135" spans="1:5">
      <c r="A135">
        <v>124</v>
      </c>
      <c r="B135" s="10">
        <f t="shared" si="7"/>
        <v>53958.61150840496</v>
      </c>
      <c r="C135">
        <f t="shared" si="4"/>
        <v>430.2735455166839</v>
      </c>
      <c r="D135" s="6">
        <f t="shared" si="5"/>
        <v>-507.53449329542798</v>
      </c>
      <c r="E135" s="10">
        <f t="shared" si="6"/>
        <v>53881.350560626219</v>
      </c>
    </row>
    <row r="136" spans="1:5">
      <c r="A136">
        <v>125</v>
      </c>
      <c r="B136" s="10">
        <f t="shared" si="7"/>
        <v>53881.350560626219</v>
      </c>
      <c r="C136">
        <f t="shared" si="4"/>
        <v>429.65745586942603</v>
      </c>
      <c r="D136" s="6">
        <f t="shared" si="5"/>
        <v>-507.53449329542798</v>
      </c>
      <c r="E136" s="10">
        <f t="shared" si="6"/>
        <v>53803.47352320022</v>
      </c>
    </row>
    <row r="137" spans="1:5">
      <c r="A137">
        <v>126</v>
      </c>
      <c r="B137" s="10">
        <f t="shared" si="7"/>
        <v>53803.47352320022</v>
      </c>
      <c r="C137">
        <f t="shared" si="4"/>
        <v>429.03645343680415</v>
      </c>
      <c r="D137" s="6">
        <f t="shared" si="5"/>
        <v>-507.53449329542798</v>
      </c>
      <c r="E137" s="10">
        <f t="shared" si="6"/>
        <v>53724.975483341601</v>
      </c>
    </row>
    <row r="138" spans="1:5">
      <c r="A138">
        <v>127</v>
      </c>
      <c r="B138" s="10">
        <f t="shared" si="7"/>
        <v>53724.975483341601</v>
      </c>
      <c r="C138">
        <f t="shared" si="4"/>
        <v>428.41049904357783</v>
      </c>
      <c r="D138" s="6">
        <f t="shared" si="5"/>
        <v>-507.53449329542798</v>
      </c>
      <c r="E138" s="10">
        <f t="shared" si="6"/>
        <v>53645.851489089757</v>
      </c>
    </row>
    <row r="139" spans="1:5">
      <c r="A139">
        <v>128</v>
      </c>
      <c r="B139" s="10">
        <f t="shared" si="7"/>
        <v>53645.851489089757</v>
      </c>
      <c r="C139">
        <f t="shared" si="4"/>
        <v>427.77955320211782</v>
      </c>
      <c r="D139" s="6">
        <f t="shared" si="5"/>
        <v>-507.53449329542798</v>
      </c>
      <c r="E139" s="10">
        <f t="shared" si="6"/>
        <v>53566.096548996451</v>
      </c>
    </row>
    <row r="140" spans="1:5">
      <c r="A140">
        <v>129</v>
      </c>
      <c r="B140" s="10">
        <f t="shared" si="7"/>
        <v>53566.096548996451</v>
      </c>
      <c r="C140">
        <f t="shared" si="4"/>
        <v>427.14357610991499</v>
      </c>
      <c r="D140" s="6">
        <f t="shared" si="5"/>
        <v>-507.53449329542798</v>
      </c>
      <c r="E140" s="10">
        <f t="shared" si="6"/>
        <v>53485.705631810939</v>
      </c>
    </row>
    <row r="141" spans="1:5">
      <c r="A141">
        <v>130</v>
      </c>
      <c r="B141" s="10">
        <f t="shared" si="7"/>
        <v>53485.705631810939</v>
      </c>
      <c r="C141">
        <f t="shared" ref="C141:C204" si="8">B141*$B$4</f>
        <v>426.50252764706937</v>
      </c>
      <c r="D141" s="6">
        <f t="shared" ref="D141:D204" si="9">$B$8</f>
        <v>-507.53449329542798</v>
      </c>
      <c r="E141" s="10">
        <f t="shared" ref="E141:E204" si="10">SUM(B141:D141)</f>
        <v>53404.673666162584</v>
      </c>
    </row>
    <row r="142" spans="1:5">
      <c r="A142">
        <v>131</v>
      </c>
      <c r="B142" s="10">
        <f t="shared" ref="B142:B205" si="11">E141</f>
        <v>53404.673666162584</v>
      </c>
      <c r="C142">
        <f t="shared" si="8"/>
        <v>425.85636737375927</v>
      </c>
      <c r="D142" s="6">
        <f t="shared" si="9"/>
        <v>-507.53449329542798</v>
      </c>
      <c r="E142" s="10">
        <f t="shared" si="10"/>
        <v>53322.995540240918</v>
      </c>
    </row>
    <row r="143" spans="1:5">
      <c r="A143">
        <v>132</v>
      </c>
      <c r="B143" s="10">
        <f t="shared" si="11"/>
        <v>53322.995540240918</v>
      </c>
      <c r="C143">
        <f t="shared" si="8"/>
        <v>425.20505452769021</v>
      </c>
      <c r="D143" s="6">
        <f t="shared" si="9"/>
        <v>-507.53449329542798</v>
      </c>
      <c r="E143" s="10">
        <f t="shared" si="10"/>
        <v>53240.66610147318</v>
      </c>
    </row>
    <row r="144" spans="1:5">
      <c r="A144">
        <v>133</v>
      </c>
      <c r="B144" s="10">
        <f t="shared" si="11"/>
        <v>53240.66610147318</v>
      </c>
      <c r="C144">
        <f t="shared" si="8"/>
        <v>424.54854802152346</v>
      </c>
      <c r="D144" s="6">
        <f t="shared" si="9"/>
        <v>-507.53449329542798</v>
      </c>
      <c r="E144" s="10">
        <f t="shared" si="10"/>
        <v>53157.680156199276</v>
      </c>
    </row>
    <row r="145" spans="1:5">
      <c r="A145">
        <v>134</v>
      </c>
      <c r="B145" s="10">
        <f t="shared" si="11"/>
        <v>53157.680156199276</v>
      </c>
      <c r="C145">
        <f t="shared" si="8"/>
        <v>423.88680644028403</v>
      </c>
      <c r="D145" s="6">
        <f t="shared" si="9"/>
        <v>-507.53449329542798</v>
      </c>
      <c r="E145" s="10">
        <f t="shared" si="10"/>
        <v>53074.032469344136</v>
      </c>
    </row>
    <row r="146" spans="1:5">
      <c r="A146">
        <v>135</v>
      </c>
      <c r="B146" s="10">
        <f t="shared" si="11"/>
        <v>53074.032469344136</v>
      </c>
      <c r="C146">
        <f t="shared" si="8"/>
        <v>423.21978803874816</v>
      </c>
      <c r="D146" s="6">
        <f t="shared" si="9"/>
        <v>-507.53449329542798</v>
      </c>
      <c r="E146" s="10">
        <f t="shared" si="10"/>
        <v>52989.717764087458</v>
      </c>
    </row>
    <row r="147" spans="1:5">
      <c r="A147">
        <v>136</v>
      </c>
      <c r="B147" s="10">
        <f t="shared" si="11"/>
        <v>52989.717764087458</v>
      </c>
      <c r="C147">
        <f t="shared" si="8"/>
        <v>422.5474507388098</v>
      </c>
      <c r="D147" s="6">
        <f t="shared" si="9"/>
        <v>-507.53449329542798</v>
      </c>
      <c r="E147" s="10">
        <f t="shared" si="10"/>
        <v>52904.730721530839</v>
      </c>
    </row>
    <row r="148" spans="1:5">
      <c r="A148">
        <v>137</v>
      </c>
      <c r="B148" s="10">
        <f t="shared" si="11"/>
        <v>52904.730721530839</v>
      </c>
      <c r="C148">
        <f t="shared" si="8"/>
        <v>421.86975212682609</v>
      </c>
      <c r="D148" s="6">
        <f t="shared" si="9"/>
        <v>-507.53449329542798</v>
      </c>
      <c r="E148" s="10">
        <f t="shared" si="10"/>
        <v>52819.06598036224</v>
      </c>
    </row>
    <row r="149" spans="1:5">
      <c r="A149">
        <v>138</v>
      </c>
      <c r="B149" s="10">
        <f t="shared" si="11"/>
        <v>52819.06598036224</v>
      </c>
      <c r="C149">
        <f t="shared" si="8"/>
        <v>421.18664945094196</v>
      </c>
      <c r="D149" s="6">
        <f t="shared" si="9"/>
        <v>-507.53449329542798</v>
      </c>
      <c r="E149" s="10">
        <f t="shared" si="10"/>
        <v>52732.71813651776</v>
      </c>
    </row>
    <row r="150" spans="1:5">
      <c r="A150">
        <v>139</v>
      </c>
      <c r="B150" s="10">
        <f t="shared" si="11"/>
        <v>52732.71813651776</v>
      </c>
      <c r="C150">
        <f t="shared" si="8"/>
        <v>420.49809961839304</v>
      </c>
      <c r="D150" s="6">
        <f t="shared" si="9"/>
        <v>-507.53449329542798</v>
      </c>
      <c r="E150" s="10">
        <f t="shared" si="10"/>
        <v>52645.68174284073</v>
      </c>
    </row>
    <row r="151" spans="1:5">
      <c r="A151">
        <v>140</v>
      </c>
      <c r="B151" s="10">
        <f t="shared" si="11"/>
        <v>52645.68174284073</v>
      </c>
      <c r="C151">
        <f t="shared" si="8"/>
        <v>419.80405919278707</v>
      </c>
      <c r="D151" s="6">
        <f t="shared" si="9"/>
        <v>-507.53449329542798</v>
      </c>
      <c r="E151" s="10">
        <f t="shared" si="10"/>
        <v>52557.951308738091</v>
      </c>
    </row>
    <row r="152" spans="1:5">
      <c r="A152">
        <v>141</v>
      </c>
      <c r="B152" s="10">
        <f t="shared" si="11"/>
        <v>52557.951308738091</v>
      </c>
      <c r="C152">
        <f t="shared" si="8"/>
        <v>419.10448439136394</v>
      </c>
      <c r="D152" s="6">
        <f t="shared" si="9"/>
        <v>-507.53449329542798</v>
      </c>
      <c r="E152" s="10">
        <f t="shared" si="10"/>
        <v>52469.521299834028</v>
      </c>
    </row>
    <row r="153" spans="1:5">
      <c r="A153">
        <v>142</v>
      </c>
      <c r="B153" s="10">
        <f t="shared" si="11"/>
        <v>52469.521299834028</v>
      </c>
      <c r="C153">
        <f t="shared" si="8"/>
        <v>418.39933108223374</v>
      </c>
      <c r="D153" s="6">
        <f t="shared" si="9"/>
        <v>-507.53449329542798</v>
      </c>
      <c r="E153" s="10">
        <f t="shared" si="10"/>
        <v>52380.386137620837</v>
      </c>
    </row>
    <row r="154" spans="1:5">
      <c r="A154">
        <v>143</v>
      </c>
      <c r="B154" s="10">
        <f t="shared" si="11"/>
        <v>52380.386137620837</v>
      </c>
      <c r="C154">
        <f t="shared" si="8"/>
        <v>417.68855478159259</v>
      </c>
      <c r="D154" s="6">
        <f t="shared" si="9"/>
        <v>-507.53449329542798</v>
      </c>
      <c r="E154" s="10">
        <f t="shared" si="10"/>
        <v>52290.540199107003</v>
      </c>
    </row>
    <row r="155" spans="1:5">
      <c r="A155">
        <v>144</v>
      </c>
      <c r="B155" s="10">
        <f t="shared" si="11"/>
        <v>52290.540199107003</v>
      </c>
      <c r="C155">
        <f t="shared" si="8"/>
        <v>416.97211065091665</v>
      </c>
      <c r="D155" s="6">
        <f t="shared" si="9"/>
        <v>-507.53449329542798</v>
      </c>
      <c r="E155" s="10">
        <f t="shared" si="10"/>
        <v>52199.977816462495</v>
      </c>
    </row>
    <row r="156" spans="1:5">
      <c r="A156">
        <v>145</v>
      </c>
      <c r="B156" s="10">
        <f t="shared" si="11"/>
        <v>52199.977816462495</v>
      </c>
      <c r="C156">
        <f t="shared" si="8"/>
        <v>416.24995349413319</v>
      </c>
      <c r="D156" s="6">
        <f t="shared" si="9"/>
        <v>-507.53449329542798</v>
      </c>
      <c r="E156" s="10">
        <f t="shared" si="10"/>
        <v>52108.693276661201</v>
      </c>
    </row>
    <row r="157" spans="1:5">
      <c r="A157">
        <v>146</v>
      </c>
      <c r="B157" s="10">
        <f t="shared" si="11"/>
        <v>52108.693276661201</v>
      </c>
      <c r="C157">
        <f t="shared" si="8"/>
        <v>415.52203775476983</v>
      </c>
      <c r="D157" s="6">
        <f t="shared" si="9"/>
        <v>-507.53449329542798</v>
      </c>
      <c r="E157" s="10">
        <f t="shared" si="10"/>
        <v>52016.680821120543</v>
      </c>
    </row>
    <row r="158" spans="1:5">
      <c r="A158">
        <v>147</v>
      </c>
      <c r="B158" s="10">
        <f t="shared" si="11"/>
        <v>52016.680821120543</v>
      </c>
      <c r="C158">
        <f t="shared" si="8"/>
        <v>414.78831751308036</v>
      </c>
      <c r="D158" s="6">
        <f t="shared" si="9"/>
        <v>-507.53449329542798</v>
      </c>
      <c r="E158" s="10">
        <f t="shared" si="10"/>
        <v>51923.934645338195</v>
      </c>
    </row>
    <row r="159" spans="1:5">
      <c r="A159">
        <v>148</v>
      </c>
      <c r="B159" s="10">
        <f t="shared" si="11"/>
        <v>51923.934645338195</v>
      </c>
      <c r="C159">
        <f t="shared" si="8"/>
        <v>414.04874648314814</v>
      </c>
      <c r="D159" s="6">
        <f t="shared" si="9"/>
        <v>-507.53449329542798</v>
      </c>
      <c r="E159" s="10">
        <f t="shared" si="10"/>
        <v>51830.448898525916</v>
      </c>
    </row>
    <row r="160" spans="1:5">
      <c r="A160">
        <v>149</v>
      </c>
      <c r="B160" s="10">
        <f t="shared" si="11"/>
        <v>51830.448898525916</v>
      </c>
      <c r="C160">
        <f t="shared" si="8"/>
        <v>413.30327800996611</v>
      </c>
      <c r="D160" s="6">
        <f t="shared" si="9"/>
        <v>-507.53449329542798</v>
      </c>
      <c r="E160" s="10">
        <f t="shared" si="10"/>
        <v>51736.217683240458</v>
      </c>
    </row>
    <row r="161" spans="1:5">
      <c r="A161">
        <v>150</v>
      </c>
      <c r="B161" s="10">
        <f t="shared" si="11"/>
        <v>51736.217683240458</v>
      </c>
      <c r="C161">
        <f t="shared" si="8"/>
        <v>412.55186506649358</v>
      </c>
      <c r="D161" s="6">
        <f t="shared" si="9"/>
        <v>-507.53449329542798</v>
      </c>
      <c r="E161" s="10">
        <f t="shared" si="10"/>
        <v>51641.23505501153</v>
      </c>
    </row>
    <row r="162" spans="1:5">
      <c r="A162">
        <v>151</v>
      </c>
      <c r="B162" s="10">
        <f t="shared" si="11"/>
        <v>51641.23505501153</v>
      </c>
      <c r="C162">
        <f t="shared" si="8"/>
        <v>411.79446025068972</v>
      </c>
      <c r="D162" s="6">
        <f t="shared" si="9"/>
        <v>-507.53449329542798</v>
      </c>
      <c r="E162" s="10">
        <f t="shared" si="10"/>
        <v>51545.495021966795</v>
      </c>
    </row>
    <row r="163" spans="1:5">
      <c r="A163">
        <v>152</v>
      </c>
      <c r="B163" s="10">
        <f t="shared" si="11"/>
        <v>51545.495021966795</v>
      </c>
      <c r="C163">
        <f t="shared" si="8"/>
        <v>411.03101578252313</v>
      </c>
      <c r="D163" s="6">
        <f t="shared" si="9"/>
        <v>-507.53449329542798</v>
      </c>
      <c r="E163" s="10">
        <f t="shared" si="10"/>
        <v>51448.991544453893</v>
      </c>
    </row>
    <row r="164" spans="1:5">
      <c r="A164">
        <v>153</v>
      </c>
      <c r="B164" s="10">
        <f t="shared" si="11"/>
        <v>51448.991544453893</v>
      </c>
      <c r="C164">
        <f t="shared" si="8"/>
        <v>410.2614835009577</v>
      </c>
      <c r="D164" s="6">
        <f t="shared" si="9"/>
        <v>-507.53449329542798</v>
      </c>
      <c r="E164" s="10">
        <f t="shared" si="10"/>
        <v>51351.718534659427</v>
      </c>
    </row>
    <row r="165" spans="1:5">
      <c r="A165">
        <v>154</v>
      </c>
      <c r="B165" s="10">
        <f t="shared" si="11"/>
        <v>51351.718534659427</v>
      </c>
      <c r="C165">
        <f t="shared" si="8"/>
        <v>409.4858148609145</v>
      </c>
      <c r="D165" s="6">
        <f t="shared" si="9"/>
        <v>-507.53449329542798</v>
      </c>
      <c r="E165" s="10">
        <f t="shared" si="10"/>
        <v>51253.669856224915</v>
      </c>
    </row>
    <row r="166" spans="1:5">
      <c r="A166">
        <v>155</v>
      </c>
      <c r="B166" s="10">
        <f t="shared" si="11"/>
        <v>51253.669856224915</v>
      </c>
      <c r="C166">
        <f t="shared" si="8"/>
        <v>408.70396093020929</v>
      </c>
      <c r="D166" s="6">
        <f t="shared" si="9"/>
        <v>-507.53449329542798</v>
      </c>
      <c r="E166" s="10">
        <f t="shared" si="10"/>
        <v>51154.839323859698</v>
      </c>
    </row>
    <row r="167" spans="1:5">
      <c r="A167">
        <v>156</v>
      </c>
      <c r="B167" s="10">
        <f t="shared" si="11"/>
        <v>51154.839323859698</v>
      </c>
      <c r="C167">
        <f t="shared" si="8"/>
        <v>407.91587238646571</v>
      </c>
      <c r="D167" s="6">
        <f t="shared" si="9"/>
        <v>-507.53449329542798</v>
      </c>
      <c r="E167" s="10">
        <f t="shared" si="10"/>
        <v>51055.220702950741</v>
      </c>
    </row>
    <row r="168" spans="1:5">
      <c r="A168">
        <v>157</v>
      </c>
      <c r="B168" s="10">
        <f t="shared" si="11"/>
        <v>51055.220702950741</v>
      </c>
      <c r="C168">
        <f t="shared" si="8"/>
        <v>407.12149951400397</v>
      </c>
      <c r="D168" s="6">
        <f t="shared" si="9"/>
        <v>-507.53449329542798</v>
      </c>
      <c r="E168" s="10">
        <f t="shared" si="10"/>
        <v>50954.807709169319</v>
      </c>
    </row>
    <row r="169" spans="1:5">
      <c r="A169">
        <v>158</v>
      </c>
      <c r="B169" s="10">
        <f t="shared" si="11"/>
        <v>50954.807709169319</v>
      </c>
      <c r="C169">
        <f t="shared" si="8"/>
        <v>406.32079220070426</v>
      </c>
      <c r="D169" s="6">
        <f t="shared" si="9"/>
        <v>-507.53449329542798</v>
      </c>
      <c r="E169" s="10">
        <f t="shared" si="10"/>
        <v>50853.5940080746</v>
      </c>
    </row>
    <row r="170" spans="1:5">
      <c r="A170">
        <v>159</v>
      </c>
      <c r="B170" s="10">
        <f t="shared" si="11"/>
        <v>50853.5940080746</v>
      </c>
      <c r="C170">
        <f t="shared" si="8"/>
        <v>405.51369993484587</v>
      </c>
      <c r="D170" s="6">
        <f t="shared" si="9"/>
        <v>-507.53449329542798</v>
      </c>
      <c r="E170" s="10">
        <f t="shared" si="10"/>
        <v>50751.573214714022</v>
      </c>
    </row>
    <row r="171" spans="1:5">
      <c r="A171">
        <v>160</v>
      </c>
      <c r="B171" s="10">
        <f t="shared" si="11"/>
        <v>50751.573214714022</v>
      </c>
      <c r="C171">
        <f t="shared" si="8"/>
        <v>404.70017180192048</v>
      </c>
      <c r="D171" s="6">
        <f t="shared" si="9"/>
        <v>-507.53449329542798</v>
      </c>
      <c r="E171" s="10">
        <f t="shared" si="10"/>
        <v>50648.738893220521</v>
      </c>
    </row>
    <row r="172" spans="1:5">
      <c r="A172">
        <v>161</v>
      </c>
      <c r="B172" s="10">
        <f t="shared" si="11"/>
        <v>50648.738893220521</v>
      </c>
      <c r="C172">
        <f t="shared" si="8"/>
        <v>403.88015648142027</v>
      </c>
      <c r="D172" s="6">
        <f t="shared" si="9"/>
        <v>-507.53449329542798</v>
      </c>
      <c r="E172" s="10">
        <f t="shared" si="10"/>
        <v>50545.084556406517</v>
      </c>
    </row>
    <row r="173" spans="1:5">
      <c r="A173">
        <v>162</v>
      </c>
      <c r="B173" s="10">
        <f t="shared" si="11"/>
        <v>50545.084556406517</v>
      </c>
      <c r="C173">
        <f t="shared" si="8"/>
        <v>403.05360224360049</v>
      </c>
      <c r="D173" s="6">
        <f t="shared" si="9"/>
        <v>-507.53449329542798</v>
      </c>
      <c r="E173" s="10">
        <f t="shared" si="10"/>
        <v>50440.603665354691</v>
      </c>
    </row>
    <row r="174" spans="1:5">
      <c r="A174">
        <v>163</v>
      </c>
      <c r="B174" s="10">
        <f t="shared" si="11"/>
        <v>50440.603665354691</v>
      </c>
      <c r="C174">
        <f t="shared" si="8"/>
        <v>402.22045694621625</v>
      </c>
      <c r="D174" s="6">
        <f t="shared" si="9"/>
        <v>-507.53449329542798</v>
      </c>
      <c r="E174" s="10">
        <f t="shared" si="10"/>
        <v>50335.289629005485</v>
      </c>
    </row>
    <row r="175" spans="1:5">
      <c r="A175">
        <v>164</v>
      </c>
      <c r="B175" s="10">
        <f t="shared" si="11"/>
        <v>50335.289629005485</v>
      </c>
      <c r="C175">
        <f t="shared" si="8"/>
        <v>401.38066803123297</v>
      </c>
      <c r="D175" s="6">
        <f t="shared" si="9"/>
        <v>-507.53449329542798</v>
      </c>
      <c r="E175" s="10">
        <f t="shared" si="10"/>
        <v>50229.135803741294</v>
      </c>
    </row>
    <row r="176" spans="1:5">
      <c r="A176">
        <v>165</v>
      </c>
      <c r="B176" s="10">
        <f t="shared" si="11"/>
        <v>50229.135803741294</v>
      </c>
      <c r="C176">
        <f t="shared" si="8"/>
        <v>400.53418252151101</v>
      </c>
      <c r="D176" s="6">
        <f t="shared" si="9"/>
        <v>-507.53449329542798</v>
      </c>
      <c r="E176" s="10">
        <f t="shared" si="10"/>
        <v>50122.135492967383</v>
      </c>
    </row>
    <row r="177" spans="1:5">
      <c r="A177">
        <v>166</v>
      </c>
      <c r="B177" s="10">
        <f t="shared" si="11"/>
        <v>50122.135492967383</v>
      </c>
      <c r="C177">
        <f t="shared" si="8"/>
        <v>399.6809470174635</v>
      </c>
      <c r="D177" s="6">
        <f t="shared" si="9"/>
        <v>-507.53449329542798</v>
      </c>
      <c r="E177" s="10">
        <f t="shared" si="10"/>
        <v>50014.281946689422</v>
      </c>
    </row>
    <row r="178" spans="1:5">
      <c r="A178">
        <v>167</v>
      </c>
      <c r="B178" s="10">
        <f t="shared" si="11"/>
        <v>50014.281946689422</v>
      </c>
      <c r="C178">
        <f t="shared" si="8"/>
        <v>398.82090769368779</v>
      </c>
      <c r="D178" s="6">
        <f t="shared" si="9"/>
        <v>-507.53449329542798</v>
      </c>
      <c r="E178" s="10">
        <f t="shared" si="10"/>
        <v>49905.568361087688</v>
      </c>
    </row>
    <row r="179" spans="1:5">
      <c r="A179">
        <v>168</v>
      </c>
      <c r="B179" s="10">
        <f t="shared" si="11"/>
        <v>49905.568361087688</v>
      </c>
      <c r="C179">
        <f t="shared" si="8"/>
        <v>397.9540102955699</v>
      </c>
      <c r="D179" s="6">
        <f t="shared" si="9"/>
        <v>-507.53449329542798</v>
      </c>
      <c r="E179" s="10">
        <f t="shared" si="10"/>
        <v>49795.987878087835</v>
      </c>
    </row>
    <row r="180" spans="1:5">
      <c r="A180">
        <v>169</v>
      </c>
      <c r="B180" s="10">
        <f t="shared" si="11"/>
        <v>49795.987878087835</v>
      </c>
      <c r="C180">
        <f t="shared" si="8"/>
        <v>397.08020013586196</v>
      </c>
      <c r="D180" s="6">
        <f t="shared" si="9"/>
        <v>-507.53449329542798</v>
      </c>
      <c r="E180" s="10">
        <f t="shared" si="10"/>
        <v>49685.533584928271</v>
      </c>
    </row>
    <row r="181" spans="1:5">
      <c r="A181">
        <v>170</v>
      </c>
      <c r="B181" s="10">
        <f t="shared" si="11"/>
        <v>49685.533584928271</v>
      </c>
      <c r="C181">
        <f t="shared" si="8"/>
        <v>396.19942209123229</v>
      </c>
      <c r="D181" s="6">
        <f t="shared" si="9"/>
        <v>-507.53449329542798</v>
      </c>
      <c r="E181" s="10">
        <f t="shared" si="10"/>
        <v>49574.198513724077</v>
      </c>
    </row>
    <row r="182" spans="1:5">
      <c r="A182">
        <v>171</v>
      </c>
      <c r="B182" s="10">
        <f t="shared" si="11"/>
        <v>49574.198513724077</v>
      </c>
      <c r="C182">
        <f t="shared" si="8"/>
        <v>395.31162059878807</v>
      </c>
      <c r="D182" s="6">
        <f t="shared" si="9"/>
        <v>-507.53449329542798</v>
      </c>
      <c r="E182" s="10">
        <f t="shared" si="10"/>
        <v>49461.975641027442</v>
      </c>
    </row>
    <row r="183" spans="1:5">
      <c r="A183">
        <v>172</v>
      </c>
      <c r="B183" s="10">
        <f t="shared" si="11"/>
        <v>49461.975641027442</v>
      </c>
      <c r="C183">
        <f t="shared" si="8"/>
        <v>394.41673965257013</v>
      </c>
      <c r="D183" s="6">
        <f t="shared" si="9"/>
        <v>-507.53449329542798</v>
      </c>
      <c r="E183" s="10">
        <f t="shared" si="10"/>
        <v>49348.857887384591</v>
      </c>
    </row>
    <row r="184" spans="1:5">
      <c r="A184">
        <v>173</v>
      </c>
      <c r="B184" s="10">
        <f t="shared" si="11"/>
        <v>49348.857887384591</v>
      </c>
      <c r="C184">
        <f t="shared" si="8"/>
        <v>393.51472280001985</v>
      </c>
      <c r="D184" s="6">
        <f t="shared" si="9"/>
        <v>-507.53449329542798</v>
      </c>
      <c r="E184" s="10">
        <f t="shared" si="10"/>
        <v>49234.838116889186</v>
      </c>
    </row>
    <row r="185" spans="1:5">
      <c r="A185">
        <v>174</v>
      </c>
      <c r="B185" s="10">
        <f t="shared" si="11"/>
        <v>49234.838116889186</v>
      </c>
      <c r="C185">
        <f t="shared" si="8"/>
        <v>392.60551313841813</v>
      </c>
      <c r="D185" s="6">
        <f t="shared" si="9"/>
        <v>-507.53449329542798</v>
      </c>
      <c r="E185" s="10">
        <f t="shared" si="10"/>
        <v>49119.909136732182</v>
      </c>
    </row>
    <row r="186" spans="1:5">
      <c r="A186">
        <v>175</v>
      </c>
      <c r="B186" s="10">
        <f t="shared" si="11"/>
        <v>49119.909136732182</v>
      </c>
      <c r="C186">
        <f t="shared" si="8"/>
        <v>391.68905331129548</v>
      </c>
      <c r="D186" s="6">
        <f t="shared" si="9"/>
        <v>-507.53449329542798</v>
      </c>
      <c r="E186" s="10">
        <f t="shared" si="10"/>
        <v>49004.063696748053</v>
      </c>
    </row>
    <row r="187" spans="1:5">
      <c r="A187">
        <v>176</v>
      </c>
      <c r="B187" s="10">
        <f t="shared" si="11"/>
        <v>49004.063696748053</v>
      </c>
      <c r="C187">
        <f t="shared" si="8"/>
        <v>390.7652855048139</v>
      </c>
      <c r="D187" s="6">
        <f t="shared" si="9"/>
        <v>-507.53449329542798</v>
      </c>
      <c r="E187" s="10">
        <f t="shared" si="10"/>
        <v>48887.294488957443</v>
      </c>
    </row>
    <row r="188" spans="1:5">
      <c r="A188">
        <v>177</v>
      </c>
      <c r="B188" s="10">
        <f t="shared" si="11"/>
        <v>48887.294488957443</v>
      </c>
      <c r="C188">
        <f t="shared" si="8"/>
        <v>389.83415144411975</v>
      </c>
      <c r="D188" s="6">
        <f t="shared" si="9"/>
        <v>-507.53449329542798</v>
      </c>
      <c r="E188" s="10">
        <f t="shared" si="10"/>
        <v>48769.594147106138</v>
      </c>
    </row>
    <row r="189" spans="1:5">
      <c r="A189">
        <v>178</v>
      </c>
      <c r="B189" s="10">
        <f t="shared" si="11"/>
        <v>48769.594147106138</v>
      </c>
      <c r="C189">
        <f t="shared" si="8"/>
        <v>388.89559238966746</v>
      </c>
      <c r="D189" s="6">
        <f t="shared" si="9"/>
        <v>-507.53449329542798</v>
      </c>
      <c r="E189" s="10">
        <f t="shared" si="10"/>
        <v>48650.955246200378</v>
      </c>
    </row>
    <row r="190" spans="1:5">
      <c r="A190">
        <v>179</v>
      </c>
      <c r="B190" s="10">
        <f t="shared" si="11"/>
        <v>48650.955246200378</v>
      </c>
      <c r="C190">
        <f t="shared" si="8"/>
        <v>387.9495491335141</v>
      </c>
      <c r="D190" s="6">
        <f t="shared" si="9"/>
        <v>-507.53449329542798</v>
      </c>
      <c r="E190" s="10">
        <f t="shared" si="10"/>
        <v>48531.370302038464</v>
      </c>
    </row>
    <row r="191" spans="1:5">
      <c r="A191">
        <v>180</v>
      </c>
      <c r="B191" s="10">
        <f t="shared" si="11"/>
        <v>48531.370302038464</v>
      </c>
      <c r="C191">
        <f t="shared" si="8"/>
        <v>386.99596199558442</v>
      </c>
      <c r="D191" s="6">
        <f t="shared" si="9"/>
        <v>-507.53449329542798</v>
      </c>
      <c r="E191" s="10">
        <f t="shared" si="10"/>
        <v>48410.831770738623</v>
      </c>
    </row>
    <row r="192" spans="1:5">
      <c r="A192">
        <v>181</v>
      </c>
      <c r="B192" s="10">
        <f t="shared" si="11"/>
        <v>48410.831770738623</v>
      </c>
      <c r="C192">
        <f t="shared" si="8"/>
        <v>386.03477081990565</v>
      </c>
      <c r="D192" s="6">
        <f t="shared" si="9"/>
        <v>-507.53449329542798</v>
      </c>
      <c r="E192" s="10">
        <f t="shared" si="10"/>
        <v>48289.332048263102</v>
      </c>
    </row>
    <row r="193" spans="1:5">
      <c r="A193">
        <v>182</v>
      </c>
      <c r="B193" s="10">
        <f t="shared" si="11"/>
        <v>48289.332048263102</v>
      </c>
      <c r="C193">
        <f t="shared" si="8"/>
        <v>385.06591497081303</v>
      </c>
      <c r="D193" s="6">
        <f t="shared" si="9"/>
        <v>-507.53449329542798</v>
      </c>
      <c r="E193" s="10">
        <f t="shared" si="10"/>
        <v>48166.863469938493</v>
      </c>
    </row>
    <row r="194" spans="1:5">
      <c r="A194">
        <v>183</v>
      </c>
      <c r="B194" s="10">
        <f t="shared" si="11"/>
        <v>48166.863469938493</v>
      </c>
      <c r="C194">
        <f t="shared" si="8"/>
        <v>384.08933332912437</v>
      </c>
      <c r="D194" s="6">
        <f t="shared" si="9"/>
        <v>-507.53449329542798</v>
      </c>
      <c r="E194" s="10">
        <f t="shared" si="10"/>
        <v>48043.418309972192</v>
      </c>
    </row>
    <row r="195" spans="1:5">
      <c r="A195">
        <v>184</v>
      </c>
      <c r="B195" s="10">
        <f t="shared" si="11"/>
        <v>48043.418309972192</v>
      </c>
      <c r="C195">
        <f t="shared" si="8"/>
        <v>383.10496428828463</v>
      </c>
      <c r="D195" s="6">
        <f t="shared" si="9"/>
        <v>-507.53449329542798</v>
      </c>
      <c r="E195" s="10">
        <f t="shared" si="10"/>
        <v>47918.988780965054</v>
      </c>
    </row>
    <row r="196" spans="1:5">
      <c r="A196">
        <v>185</v>
      </c>
      <c r="B196" s="10">
        <f t="shared" si="11"/>
        <v>47918.988780965054</v>
      </c>
      <c r="C196">
        <f t="shared" si="8"/>
        <v>382.11274575047935</v>
      </c>
      <c r="D196" s="6">
        <f t="shared" si="9"/>
        <v>-507.53449329542798</v>
      </c>
      <c r="E196" s="10">
        <f t="shared" si="10"/>
        <v>47793.567033420106</v>
      </c>
    </row>
    <row r="197" spans="1:5">
      <c r="A197">
        <v>186</v>
      </c>
      <c r="B197" s="10">
        <f t="shared" si="11"/>
        <v>47793.567033420106</v>
      </c>
      <c r="C197">
        <f t="shared" si="8"/>
        <v>381.11261512271739</v>
      </c>
      <c r="D197" s="6">
        <f t="shared" si="9"/>
        <v>-507.53449329542798</v>
      </c>
      <c r="E197" s="10">
        <f t="shared" si="10"/>
        <v>47667.145155247395</v>
      </c>
    </row>
    <row r="198" spans="1:5">
      <c r="A198">
        <v>187</v>
      </c>
      <c r="B198" s="10">
        <f t="shared" si="11"/>
        <v>47667.145155247395</v>
      </c>
      <c r="C198">
        <f t="shared" si="8"/>
        <v>380.10450931288244</v>
      </c>
      <c r="D198" s="6">
        <f t="shared" si="9"/>
        <v>-507.53449329542798</v>
      </c>
      <c r="E198" s="10">
        <f t="shared" si="10"/>
        <v>47539.715171264856</v>
      </c>
    </row>
    <row r="199" spans="1:5">
      <c r="A199">
        <v>188</v>
      </c>
      <c r="B199" s="10">
        <f t="shared" si="11"/>
        <v>47539.715171264856</v>
      </c>
      <c r="C199">
        <f t="shared" si="8"/>
        <v>379.08836472575274</v>
      </c>
      <c r="D199" s="6">
        <f t="shared" si="9"/>
        <v>-507.53449329542798</v>
      </c>
      <c r="E199" s="10">
        <f t="shared" si="10"/>
        <v>47411.269042695181</v>
      </c>
    </row>
    <row r="200" spans="1:5">
      <c r="A200">
        <v>189</v>
      </c>
      <c r="B200" s="10">
        <f t="shared" si="11"/>
        <v>47411.269042695181</v>
      </c>
      <c r="C200">
        <f t="shared" si="8"/>
        <v>378.06411725898914</v>
      </c>
      <c r="D200" s="6">
        <f t="shared" si="9"/>
        <v>-507.53449329542798</v>
      </c>
      <c r="E200" s="10">
        <f t="shared" si="10"/>
        <v>47281.798666658746</v>
      </c>
    </row>
    <row r="201" spans="1:5">
      <c r="A201">
        <v>190</v>
      </c>
      <c r="B201" s="10">
        <f t="shared" si="11"/>
        <v>47281.798666658746</v>
      </c>
      <c r="C201">
        <f t="shared" si="8"/>
        <v>377.03170229909159</v>
      </c>
      <c r="D201" s="6">
        <f t="shared" si="9"/>
        <v>-507.53449329542798</v>
      </c>
      <c r="E201" s="10">
        <f t="shared" si="10"/>
        <v>47151.295875662414</v>
      </c>
    </row>
    <row r="202" spans="1:5">
      <c r="A202">
        <v>191</v>
      </c>
      <c r="B202" s="10">
        <f t="shared" si="11"/>
        <v>47151.295875662414</v>
      </c>
      <c r="C202">
        <f t="shared" si="8"/>
        <v>375.99105471732298</v>
      </c>
      <c r="D202" s="6">
        <f t="shared" si="9"/>
        <v>-507.53449329542798</v>
      </c>
      <c r="E202" s="10">
        <f t="shared" si="10"/>
        <v>47019.752437084309</v>
      </c>
    </row>
    <row r="203" spans="1:5">
      <c r="A203">
        <v>192</v>
      </c>
      <c r="B203" s="10">
        <f t="shared" si="11"/>
        <v>47019.752437084309</v>
      </c>
      <c r="C203">
        <f t="shared" si="8"/>
        <v>374.94210886560029</v>
      </c>
      <c r="D203" s="6">
        <f t="shared" si="9"/>
        <v>-507.53449329542798</v>
      </c>
      <c r="E203" s="10">
        <f t="shared" si="10"/>
        <v>46887.160052654486</v>
      </c>
    </row>
    <row r="204" spans="1:5">
      <c r="A204">
        <v>193</v>
      </c>
      <c r="B204" s="10">
        <f t="shared" si="11"/>
        <v>46887.160052654486</v>
      </c>
      <c r="C204">
        <f t="shared" si="8"/>
        <v>373.8847985723537</v>
      </c>
      <c r="D204" s="6">
        <f t="shared" si="9"/>
        <v>-507.53449329542798</v>
      </c>
      <c r="E204" s="10">
        <f t="shared" si="10"/>
        <v>46753.510357931416</v>
      </c>
    </row>
    <row r="205" spans="1:5">
      <c r="A205">
        <v>194</v>
      </c>
      <c r="B205" s="10">
        <f t="shared" si="11"/>
        <v>46753.510357931416</v>
      </c>
      <c r="C205">
        <f t="shared" ref="C205:C268" si="12">B205*$B$4</f>
        <v>372.81905713835181</v>
      </c>
      <c r="D205" s="6">
        <f t="shared" ref="D205:D268" si="13">$B$8</f>
        <v>-507.53449329542798</v>
      </c>
      <c r="E205" s="10">
        <f t="shared" ref="E205:E268" si="14">SUM(B205:D205)</f>
        <v>46618.794921774344</v>
      </c>
    </row>
    <row r="206" spans="1:5">
      <c r="A206">
        <v>195</v>
      </c>
      <c r="B206" s="10">
        <f t="shared" ref="B206:B269" si="15">E205</f>
        <v>46618.794921774344</v>
      </c>
      <c r="C206">
        <f t="shared" si="12"/>
        <v>371.74481733249428</v>
      </c>
      <c r="D206" s="6">
        <f t="shared" si="13"/>
        <v>-507.53449329542798</v>
      </c>
      <c r="E206" s="10">
        <f t="shared" si="14"/>
        <v>46483.005245811415</v>
      </c>
    </row>
    <row r="207" spans="1:5">
      <c r="A207">
        <v>196</v>
      </c>
      <c r="B207" s="10">
        <f t="shared" si="15"/>
        <v>46483.005245811415</v>
      </c>
      <c r="C207">
        <f t="shared" si="12"/>
        <v>370.66201138757054</v>
      </c>
      <c r="D207" s="6">
        <f t="shared" si="13"/>
        <v>-507.53449329542798</v>
      </c>
      <c r="E207" s="10">
        <f t="shared" si="14"/>
        <v>46346.132763903559</v>
      </c>
    </row>
    <row r="208" spans="1:5">
      <c r="A208">
        <v>197</v>
      </c>
      <c r="B208" s="10">
        <f t="shared" si="15"/>
        <v>46346.132763903559</v>
      </c>
      <c r="C208">
        <f t="shared" si="12"/>
        <v>369.57057099598472</v>
      </c>
      <c r="D208" s="6">
        <f t="shared" si="13"/>
        <v>-507.53449329542798</v>
      </c>
      <c r="E208" s="10">
        <f t="shared" si="14"/>
        <v>46208.168841604122</v>
      </c>
    </row>
    <row r="209" spans="1:5">
      <c r="A209">
        <v>198</v>
      </c>
      <c r="B209" s="10">
        <f t="shared" si="15"/>
        <v>46208.168841604122</v>
      </c>
      <c r="C209">
        <f t="shared" si="12"/>
        <v>368.47042730544666</v>
      </c>
      <c r="D209" s="6">
        <f t="shared" si="13"/>
        <v>-507.53449329542798</v>
      </c>
      <c r="E209" s="10">
        <f t="shared" si="14"/>
        <v>46069.104775614142</v>
      </c>
    </row>
    <row r="210" spans="1:5">
      <c r="A210">
        <v>199</v>
      </c>
      <c r="B210" s="10">
        <f t="shared" si="15"/>
        <v>46069.104775614142</v>
      </c>
      <c r="C210">
        <f t="shared" si="12"/>
        <v>367.36151091462818</v>
      </c>
      <c r="D210" s="6">
        <f t="shared" si="13"/>
        <v>-507.53449329542798</v>
      </c>
      <c r="E210" s="10">
        <f t="shared" si="14"/>
        <v>45928.931793233343</v>
      </c>
    </row>
    <row r="211" spans="1:5">
      <c r="A211">
        <v>200</v>
      </c>
      <c r="B211" s="10">
        <f t="shared" si="15"/>
        <v>45928.931793233343</v>
      </c>
      <c r="C211">
        <f t="shared" si="12"/>
        <v>366.24375186878547</v>
      </c>
      <c r="D211" s="6">
        <f t="shared" si="13"/>
        <v>-507.53449329542798</v>
      </c>
      <c r="E211" s="10">
        <f t="shared" si="14"/>
        <v>45787.641051806706</v>
      </c>
    </row>
    <row r="212" spans="1:5">
      <c r="A212">
        <v>201</v>
      </c>
      <c r="B212" s="10">
        <f t="shared" si="15"/>
        <v>45787.641051806706</v>
      </c>
      <c r="C212">
        <f t="shared" si="12"/>
        <v>365.11707965534555</v>
      </c>
      <c r="D212" s="6">
        <f t="shared" si="13"/>
        <v>-507.53449329542798</v>
      </c>
      <c r="E212" s="10">
        <f t="shared" si="14"/>
        <v>45645.22363816663</v>
      </c>
    </row>
    <row r="213" spans="1:5">
      <c r="A213">
        <v>202</v>
      </c>
      <c r="B213" s="10">
        <f t="shared" si="15"/>
        <v>45645.22363816663</v>
      </c>
      <c r="C213">
        <f t="shared" si="12"/>
        <v>363.98142319945828</v>
      </c>
      <c r="D213" s="6">
        <f t="shared" si="13"/>
        <v>-507.53449329542798</v>
      </c>
      <c r="E213" s="10">
        <f t="shared" si="14"/>
        <v>45501.670568070665</v>
      </c>
    </row>
    <row r="214" spans="1:5">
      <c r="A214">
        <v>203</v>
      </c>
      <c r="B214" s="10">
        <f t="shared" si="15"/>
        <v>45501.670568070665</v>
      </c>
      <c r="C214">
        <f t="shared" si="12"/>
        <v>362.83671085951278</v>
      </c>
      <c r="D214" s="6">
        <f t="shared" si="13"/>
        <v>-507.53449329542798</v>
      </c>
      <c r="E214" s="10">
        <f t="shared" si="14"/>
        <v>45356.972785634753</v>
      </c>
    </row>
    <row r="215" spans="1:5">
      <c r="A215">
        <v>204</v>
      </c>
      <c r="B215" s="10">
        <f t="shared" si="15"/>
        <v>45356.972785634753</v>
      </c>
      <c r="C215">
        <f t="shared" si="12"/>
        <v>361.6828704226179</v>
      </c>
      <c r="D215" s="6">
        <f t="shared" si="13"/>
        <v>-507.53449329542798</v>
      </c>
      <c r="E215" s="10">
        <f t="shared" si="14"/>
        <v>45211.121162761949</v>
      </c>
    </row>
    <row r="216" spans="1:5">
      <c r="A216">
        <v>205</v>
      </c>
      <c r="B216" s="10">
        <f t="shared" si="15"/>
        <v>45211.121162761949</v>
      </c>
      <c r="C216">
        <f t="shared" si="12"/>
        <v>360.51982910004659</v>
      </c>
      <c r="D216" s="6">
        <f t="shared" si="13"/>
        <v>-507.53449329542798</v>
      </c>
      <c r="E216" s="10">
        <f t="shared" si="14"/>
        <v>45064.106498566573</v>
      </c>
    </row>
    <row r="217" spans="1:5">
      <c r="A217">
        <v>206</v>
      </c>
      <c r="B217" s="10">
        <f t="shared" si="15"/>
        <v>45064.106498566573</v>
      </c>
      <c r="C217">
        <f t="shared" si="12"/>
        <v>359.34751352264453</v>
      </c>
      <c r="D217" s="6">
        <f t="shared" si="13"/>
        <v>-507.53449329542798</v>
      </c>
      <c r="E217" s="10">
        <f t="shared" si="14"/>
        <v>44915.919518793795</v>
      </c>
    </row>
    <row r="218" spans="1:5">
      <c r="A218">
        <v>207</v>
      </c>
      <c r="B218" s="10">
        <f t="shared" si="15"/>
        <v>44915.919518793795</v>
      </c>
      <c r="C218">
        <f t="shared" si="12"/>
        <v>358.16584973620132</v>
      </c>
      <c r="D218" s="6">
        <f t="shared" si="13"/>
        <v>-507.53449329542798</v>
      </c>
      <c r="E218" s="10">
        <f t="shared" si="14"/>
        <v>44766.55087523457</v>
      </c>
    </row>
    <row r="219" spans="1:5">
      <c r="A219">
        <v>208</v>
      </c>
      <c r="B219" s="10">
        <f t="shared" si="15"/>
        <v>44766.55087523457</v>
      </c>
      <c r="C219">
        <f t="shared" si="12"/>
        <v>356.9747631967852</v>
      </c>
      <c r="D219" s="6">
        <f t="shared" si="13"/>
        <v>-507.53449329542798</v>
      </c>
      <c r="E219" s="10">
        <f t="shared" si="14"/>
        <v>44615.991145135929</v>
      </c>
    </row>
    <row r="220" spans="1:5">
      <c r="A220">
        <v>209</v>
      </c>
      <c r="B220" s="10">
        <f t="shared" si="15"/>
        <v>44615.991145135929</v>
      </c>
      <c r="C220">
        <f t="shared" si="12"/>
        <v>355.77417876604079</v>
      </c>
      <c r="D220" s="6">
        <f t="shared" si="13"/>
        <v>-507.53449329542798</v>
      </c>
      <c r="E220" s="10">
        <f t="shared" si="14"/>
        <v>44464.230830606546</v>
      </c>
    </row>
    <row r="221" spans="1:5">
      <c r="A221">
        <v>210</v>
      </c>
      <c r="B221" s="10">
        <f t="shared" si="15"/>
        <v>44464.230830606546</v>
      </c>
      <c r="C221">
        <f t="shared" si="12"/>
        <v>354.56402070644884</v>
      </c>
      <c r="D221" s="6">
        <f t="shared" si="13"/>
        <v>-507.53449329542798</v>
      </c>
      <c r="E221" s="10">
        <f t="shared" si="14"/>
        <v>44311.260358017571</v>
      </c>
    </row>
    <row r="222" spans="1:5">
      <c r="A222">
        <v>211</v>
      </c>
      <c r="B222" s="10">
        <f t="shared" si="15"/>
        <v>44311.260358017571</v>
      </c>
      <c r="C222">
        <f t="shared" si="12"/>
        <v>353.34421267654858</v>
      </c>
      <c r="D222" s="6">
        <f t="shared" si="13"/>
        <v>-507.53449329542798</v>
      </c>
      <c r="E222" s="10">
        <f t="shared" si="14"/>
        <v>44157.070077398697</v>
      </c>
    </row>
    <row r="223" spans="1:5">
      <c r="A223">
        <v>212</v>
      </c>
      <c r="B223" s="10">
        <f t="shared" si="15"/>
        <v>44157.070077398697</v>
      </c>
      <c r="C223">
        <f t="shared" si="12"/>
        <v>352.11467772612161</v>
      </c>
      <c r="D223" s="6">
        <f t="shared" si="13"/>
        <v>-507.53449329542798</v>
      </c>
      <c r="E223" s="10">
        <f t="shared" si="14"/>
        <v>44001.650261829396</v>
      </c>
    </row>
    <row r="224" spans="1:5">
      <c r="A224">
        <v>213</v>
      </c>
      <c r="B224" s="10">
        <f t="shared" si="15"/>
        <v>44001.650261829396</v>
      </c>
      <c r="C224">
        <f t="shared" si="12"/>
        <v>350.8753382913377</v>
      </c>
      <c r="D224" s="6">
        <f t="shared" si="13"/>
        <v>-507.53449329542798</v>
      </c>
      <c r="E224" s="10">
        <f t="shared" si="14"/>
        <v>43844.991106825306</v>
      </c>
    </row>
    <row r="225" spans="1:5">
      <c r="A225">
        <v>214</v>
      </c>
      <c r="B225" s="10">
        <f t="shared" si="15"/>
        <v>43844.991106825306</v>
      </c>
      <c r="C225">
        <f t="shared" si="12"/>
        <v>349.62611618986165</v>
      </c>
      <c r="D225" s="6">
        <f t="shared" si="13"/>
        <v>-507.53449329542798</v>
      </c>
      <c r="E225" s="10">
        <f t="shared" si="14"/>
        <v>43687.082729719739</v>
      </c>
    </row>
    <row r="226" spans="1:5">
      <c r="A226">
        <v>215</v>
      </c>
      <c r="B226" s="10">
        <f t="shared" si="15"/>
        <v>43687.082729719739</v>
      </c>
      <c r="C226">
        <f t="shared" si="12"/>
        <v>348.3669326159216</v>
      </c>
      <c r="D226" s="6">
        <f t="shared" si="13"/>
        <v>-507.53449329542798</v>
      </c>
      <c r="E226" s="10">
        <f t="shared" si="14"/>
        <v>43527.915169040236</v>
      </c>
    </row>
    <row r="227" spans="1:5">
      <c r="A227">
        <v>216</v>
      </c>
      <c r="B227" s="10">
        <f t="shared" si="15"/>
        <v>43527.915169040236</v>
      </c>
      <c r="C227">
        <f t="shared" si="12"/>
        <v>347.0977081353372</v>
      </c>
      <c r="D227" s="6">
        <f t="shared" si="13"/>
        <v>-507.53449329542798</v>
      </c>
      <c r="E227" s="10">
        <f t="shared" si="14"/>
        <v>43367.478383880145</v>
      </c>
    </row>
    <row r="228" spans="1:5">
      <c r="A228">
        <v>217</v>
      </c>
      <c r="B228" s="10">
        <f t="shared" si="15"/>
        <v>43367.478383880145</v>
      </c>
      <c r="C228">
        <f t="shared" si="12"/>
        <v>345.81836268050876</v>
      </c>
      <c r="D228" s="6">
        <f t="shared" si="13"/>
        <v>-507.53449329542798</v>
      </c>
      <c r="E228" s="10">
        <f t="shared" si="14"/>
        <v>43205.762253265231</v>
      </c>
    </row>
    <row r="229" spans="1:5">
      <c r="A229">
        <v>218</v>
      </c>
      <c r="B229" s="10">
        <f t="shared" si="15"/>
        <v>43205.762253265231</v>
      </c>
      <c r="C229">
        <f t="shared" si="12"/>
        <v>344.52881554536646</v>
      </c>
      <c r="D229" s="6">
        <f t="shared" si="13"/>
        <v>-507.53449329542798</v>
      </c>
      <c r="E229" s="10">
        <f t="shared" si="14"/>
        <v>43042.756575515174</v>
      </c>
    </row>
    <row r="230" spans="1:5">
      <c r="A230">
        <v>219</v>
      </c>
      <c r="B230" s="10">
        <f t="shared" si="15"/>
        <v>43042.756575515174</v>
      </c>
      <c r="C230">
        <f t="shared" si="12"/>
        <v>343.22898538027891</v>
      </c>
      <c r="D230" s="6">
        <f t="shared" si="13"/>
        <v>-507.53449329542798</v>
      </c>
      <c r="E230" s="10">
        <f t="shared" si="14"/>
        <v>42878.451067600028</v>
      </c>
    </row>
    <row r="231" spans="1:5">
      <c r="A231">
        <v>220</v>
      </c>
      <c r="B231" s="10">
        <f t="shared" si="15"/>
        <v>42878.451067600028</v>
      </c>
      <c r="C231">
        <f t="shared" si="12"/>
        <v>341.91879018692117</v>
      </c>
      <c r="D231" s="6">
        <f t="shared" si="13"/>
        <v>-507.53449329542798</v>
      </c>
      <c r="E231" s="10">
        <f t="shared" si="14"/>
        <v>42712.835364491526</v>
      </c>
    </row>
    <row r="232" spans="1:5">
      <c r="A232">
        <v>221</v>
      </c>
      <c r="B232" s="10">
        <f t="shared" si="15"/>
        <v>42712.835364491526</v>
      </c>
      <c r="C232">
        <f t="shared" si="12"/>
        <v>340.59814731310234</v>
      </c>
      <c r="D232" s="6">
        <f t="shared" si="13"/>
        <v>-507.53449329542798</v>
      </c>
      <c r="E232" s="10">
        <f t="shared" si="14"/>
        <v>42545.899018509204</v>
      </c>
    </row>
    <row r="233" spans="1:5">
      <c r="A233">
        <v>222</v>
      </c>
      <c r="B233" s="10">
        <f t="shared" si="15"/>
        <v>42545.899018509204</v>
      </c>
      <c r="C233">
        <f t="shared" si="12"/>
        <v>339.26697344755121</v>
      </c>
      <c r="D233" s="6">
        <f t="shared" si="13"/>
        <v>-507.53449329542798</v>
      </c>
      <c r="E233" s="10">
        <f t="shared" si="14"/>
        <v>42377.631498661329</v>
      </c>
    </row>
    <row r="234" spans="1:5">
      <c r="A234">
        <v>223</v>
      </c>
      <c r="B234" s="10">
        <f t="shared" si="15"/>
        <v>42377.631498661329</v>
      </c>
      <c r="C234">
        <f t="shared" si="12"/>
        <v>337.92518461466091</v>
      </c>
      <c r="D234" s="6">
        <f t="shared" si="13"/>
        <v>-507.53449329542798</v>
      </c>
      <c r="E234" s="10">
        <f t="shared" si="14"/>
        <v>42208.022189980562</v>
      </c>
    </row>
    <row r="235" spans="1:5">
      <c r="A235">
        <v>224</v>
      </c>
      <c r="B235" s="10">
        <f t="shared" si="15"/>
        <v>42208.022189980562</v>
      </c>
      <c r="C235">
        <f t="shared" si="12"/>
        <v>336.5726961691912</v>
      </c>
      <c r="D235" s="6">
        <f t="shared" si="13"/>
        <v>-507.53449329542798</v>
      </c>
      <c r="E235" s="10">
        <f t="shared" si="14"/>
        <v>42037.060392854328</v>
      </c>
    </row>
    <row r="236" spans="1:5">
      <c r="A236">
        <v>225</v>
      </c>
      <c r="B236" s="10">
        <f t="shared" si="15"/>
        <v>42037.060392854328</v>
      </c>
      <c r="C236">
        <f t="shared" si="12"/>
        <v>335.20942279092884</v>
      </c>
      <c r="D236" s="6">
        <f t="shared" si="13"/>
        <v>-507.53449329542798</v>
      </c>
      <c r="E236" s="10">
        <f t="shared" si="14"/>
        <v>41864.735322349828</v>
      </c>
    </row>
    <row r="237" spans="1:5">
      <c r="A237">
        <v>226</v>
      </c>
      <c r="B237" s="10">
        <f t="shared" si="15"/>
        <v>41864.735322349828</v>
      </c>
      <c r="C237">
        <f t="shared" si="12"/>
        <v>333.83527847930526</v>
      </c>
      <c r="D237" s="6">
        <f t="shared" si="13"/>
        <v>-507.53449329542798</v>
      </c>
      <c r="E237" s="10">
        <f t="shared" si="14"/>
        <v>41691.036107533706</v>
      </c>
    </row>
    <row r="238" spans="1:5">
      <c r="A238">
        <v>227</v>
      </c>
      <c r="B238" s="10">
        <f t="shared" si="15"/>
        <v>41691.036107533706</v>
      </c>
      <c r="C238">
        <f t="shared" si="12"/>
        <v>332.45017654797113</v>
      </c>
      <c r="D238" s="6">
        <f t="shared" si="13"/>
        <v>-507.53449329542798</v>
      </c>
      <c r="E238" s="10">
        <f t="shared" si="14"/>
        <v>41515.951790786254</v>
      </c>
    </row>
    <row r="239" spans="1:5">
      <c r="A239">
        <v>228</v>
      </c>
      <c r="B239" s="10">
        <f t="shared" si="15"/>
        <v>41515.951790786254</v>
      </c>
      <c r="C239">
        <f t="shared" si="12"/>
        <v>331.05402961932828</v>
      </c>
      <c r="D239" s="6">
        <f t="shared" si="13"/>
        <v>-507.53449329542798</v>
      </c>
      <c r="E239" s="10">
        <f t="shared" si="14"/>
        <v>41339.471327110157</v>
      </c>
    </row>
    <row r="240" spans="1:5">
      <c r="A240">
        <v>229</v>
      </c>
      <c r="B240" s="10">
        <f t="shared" si="15"/>
        <v>41339.471327110157</v>
      </c>
      <c r="C240">
        <f t="shared" si="12"/>
        <v>329.64674961901704</v>
      </c>
      <c r="D240" s="6">
        <f t="shared" si="13"/>
        <v>-507.53449329542798</v>
      </c>
      <c r="E240" s="10">
        <f t="shared" si="14"/>
        <v>41161.583583433749</v>
      </c>
    </row>
    <row r="241" spans="1:5">
      <c r="A241">
        <v>230</v>
      </c>
      <c r="B241" s="10">
        <f t="shared" si="15"/>
        <v>41161.583583433749</v>
      </c>
      <c r="C241">
        <f t="shared" si="12"/>
        <v>328.22824777036055</v>
      </c>
      <c r="D241" s="6">
        <f t="shared" si="13"/>
        <v>-507.53449329542798</v>
      </c>
      <c r="E241" s="10">
        <f t="shared" si="14"/>
        <v>40982.277337908687</v>
      </c>
    </row>
    <row r="242" spans="1:5">
      <c r="A242">
        <v>231</v>
      </c>
      <c r="B242" s="10">
        <f t="shared" si="15"/>
        <v>40982.277337908687</v>
      </c>
      <c r="C242">
        <f t="shared" si="12"/>
        <v>326.79843458876417</v>
      </c>
      <c r="D242" s="6">
        <f t="shared" si="13"/>
        <v>-507.53449329542798</v>
      </c>
      <c r="E242" s="10">
        <f t="shared" si="14"/>
        <v>40801.541279202029</v>
      </c>
    </row>
    <row r="243" spans="1:5">
      <c r="A243">
        <v>232</v>
      </c>
      <c r="B243" s="10">
        <f t="shared" si="15"/>
        <v>40801.541279202029</v>
      </c>
      <c r="C243">
        <f t="shared" si="12"/>
        <v>325.3572198760707</v>
      </c>
      <c r="D243" s="6">
        <f t="shared" si="13"/>
        <v>-507.53449329542798</v>
      </c>
      <c r="E243" s="10">
        <f t="shared" si="14"/>
        <v>40619.364005782678</v>
      </c>
    </row>
    <row r="244" spans="1:5">
      <c r="A244">
        <v>233</v>
      </c>
      <c r="B244" s="10">
        <f t="shared" si="15"/>
        <v>40619.364005782678</v>
      </c>
      <c r="C244">
        <f t="shared" si="12"/>
        <v>323.90451271487001</v>
      </c>
      <c r="D244" s="6">
        <f t="shared" si="13"/>
        <v>-507.53449329542798</v>
      </c>
      <c r="E244" s="10">
        <f t="shared" si="14"/>
        <v>40435.734025202124</v>
      </c>
    </row>
    <row r="245" spans="1:5">
      <c r="A245">
        <v>234</v>
      </c>
      <c r="B245" s="10">
        <f t="shared" si="15"/>
        <v>40435.734025202124</v>
      </c>
      <c r="C245">
        <f t="shared" si="12"/>
        <v>322.44022146276382</v>
      </c>
      <c r="D245" s="6">
        <f t="shared" si="13"/>
        <v>-507.53449329542798</v>
      </c>
      <c r="E245" s="10">
        <f t="shared" si="14"/>
        <v>40250.639753369462</v>
      </c>
    </row>
    <row r="246" spans="1:5">
      <c r="A246">
        <v>235</v>
      </c>
      <c r="B246" s="10">
        <f t="shared" si="15"/>
        <v>40250.639753369462</v>
      </c>
      <c r="C246">
        <f t="shared" si="12"/>
        <v>320.96425374658446</v>
      </c>
      <c r="D246" s="6">
        <f t="shared" si="13"/>
        <v>-507.53449329542798</v>
      </c>
      <c r="E246" s="10">
        <f t="shared" si="14"/>
        <v>40064.069513820621</v>
      </c>
    </row>
    <row r="247" spans="1:5">
      <c r="A247">
        <v>236</v>
      </c>
      <c r="B247" s="10">
        <f t="shared" si="15"/>
        <v>40064.069513820621</v>
      </c>
      <c r="C247">
        <f t="shared" si="12"/>
        <v>319.47651645656782</v>
      </c>
      <c r="D247" s="6">
        <f t="shared" si="13"/>
        <v>-507.53449329542798</v>
      </c>
      <c r="E247" s="10">
        <f t="shared" si="14"/>
        <v>39876.011536981765</v>
      </c>
    </row>
    <row r="248" spans="1:5">
      <c r="A248">
        <v>237</v>
      </c>
      <c r="B248" s="10">
        <f t="shared" si="15"/>
        <v>39876.011536981765</v>
      </c>
      <c r="C248">
        <f t="shared" si="12"/>
        <v>317.97691574047923</v>
      </c>
      <c r="D248" s="6">
        <f t="shared" si="13"/>
        <v>-507.53449329542798</v>
      </c>
      <c r="E248" s="10">
        <f t="shared" si="14"/>
        <v>39686.453959426821</v>
      </c>
    </row>
    <row r="249" spans="1:5">
      <c r="A249">
        <v>238</v>
      </c>
      <c r="B249" s="10">
        <f t="shared" si="15"/>
        <v>39686.453959426821</v>
      </c>
      <c r="C249">
        <f t="shared" si="12"/>
        <v>316.46535699769328</v>
      </c>
      <c r="D249" s="6">
        <f t="shared" si="13"/>
        <v>-507.53449329542798</v>
      </c>
      <c r="E249" s="10">
        <f t="shared" si="14"/>
        <v>39495.38482312909</v>
      </c>
    </row>
    <row r="250" spans="1:5">
      <c r="A250">
        <v>239</v>
      </c>
      <c r="B250" s="10">
        <f t="shared" si="15"/>
        <v>39495.38482312909</v>
      </c>
      <c r="C250">
        <f t="shared" si="12"/>
        <v>314.94174487322584</v>
      </c>
      <c r="D250" s="6">
        <f t="shared" si="13"/>
        <v>-507.53449329542798</v>
      </c>
      <c r="E250" s="10">
        <f t="shared" si="14"/>
        <v>39302.792074706893</v>
      </c>
    </row>
    <row r="251" spans="1:5">
      <c r="A251">
        <v>240</v>
      </c>
      <c r="B251" s="10">
        <f t="shared" si="15"/>
        <v>39302.792074706893</v>
      </c>
      <c r="C251">
        <f t="shared" si="12"/>
        <v>313.40598325171868</v>
      </c>
      <c r="D251" s="6">
        <f t="shared" si="13"/>
        <v>-507.53449329542798</v>
      </c>
      <c r="E251" s="10">
        <f t="shared" si="14"/>
        <v>39108.663564663184</v>
      </c>
    </row>
    <row r="252" spans="1:5">
      <c r="A252">
        <v>241</v>
      </c>
      <c r="B252" s="10">
        <f t="shared" si="15"/>
        <v>39108.663564663184</v>
      </c>
      <c r="C252">
        <f t="shared" si="12"/>
        <v>311.85797525137627</v>
      </c>
      <c r="D252" s="6">
        <f t="shared" si="13"/>
        <v>-507.53449329542798</v>
      </c>
      <c r="E252" s="10">
        <f t="shared" si="14"/>
        <v>38912.987046619135</v>
      </c>
    </row>
    <row r="253" spans="1:5">
      <c r="A253">
        <v>242</v>
      </c>
      <c r="B253" s="10">
        <f t="shared" si="15"/>
        <v>38912.987046619135</v>
      </c>
      <c r="C253">
        <f t="shared" si="12"/>
        <v>310.29762321785415</v>
      </c>
      <c r="D253" s="6">
        <f t="shared" si="13"/>
        <v>-507.53449329542798</v>
      </c>
      <c r="E253" s="10">
        <f t="shared" si="14"/>
        <v>38715.750176541565</v>
      </c>
    </row>
    <row r="254" spans="1:5">
      <c r="A254">
        <v>243</v>
      </c>
      <c r="B254" s="10">
        <f t="shared" si="15"/>
        <v>38715.750176541565</v>
      </c>
      <c r="C254">
        <f t="shared" si="12"/>
        <v>308.72482871809814</v>
      </c>
      <c r="D254" s="6">
        <f t="shared" si="13"/>
        <v>-507.53449329542798</v>
      </c>
      <c r="E254" s="10">
        <f t="shared" si="14"/>
        <v>38516.94051196424</v>
      </c>
    </row>
    <row r="255" spans="1:5">
      <c r="A255">
        <v>244</v>
      </c>
      <c r="B255" s="10">
        <f t="shared" si="15"/>
        <v>38516.94051196424</v>
      </c>
      <c r="C255">
        <f t="shared" si="12"/>
        <v>307.13949253413529</v>
      </c>
      <c r="D255" s="6">
        <f t="shared" si="13"/>
        <v>-507.53449329542798</v>
      </c>
      <c r="E255" s="10">
        <f t="shared" si="14"/>
        <v>38316.545511202952</v>
      </c>
    </row>
    <row r="256" spans="1:5">
      <c r="A256">
        <v>245</v>
      </c>
      <c r="B256" s="10">
        <f t="shared" si="15"/>
        <v>38316.545511202952</v>
      </c>
      <c r="C256">
        <f t="shared" si="12"/>
        <v>305.54151465681451</v>
      </c>
      <c r="D256" s="6">
        <f t="shared" si="13"/>
        <v>-507.53449329542798</v>
      </c>
      <c r="E256" s="10">
        <f t="shared" si="14"/>
        <v>38114.552532564339</v>
      </c>
    </row>
    <row r="257" spans="1:5">
      <c r="A257">
        <v>246</v>
      </c>
      <c r="B257" s="10">
        <f t="shared" si="15"/>
        <v>38114.552532564339</v>
      </c>
      <c r="C257">
        <f t="shared" si="12"/>
        <v>303.93079427949766</v>
      </c>
      <c r="D257" s="6">
        <f t="shared" si="13"/>
        <v>-507.53449329542798</v>
      </c>
      <c r="E257" s="10">
        <f t="shared" si="14"/>
        <v>37910.948833548413</v>
      </c>
    </row>
    <row r="258" spans="1:5">
      <c r="A258">
        <v>247</v>
      </c>
      <c r="B258" s="10">
        <f t="shared" si="15"/>
        <v>37910.948833548413</v>
      </c>
      <c r="C258">
        <f t="shared" si="12"/>
        <v>302.30722979170042</v>
      </c>
      <c r="D258" s="6">
        <f t="shared" si="13"/>
        <v>-507.53449329542798</v>
      </c>
      <c r="E258" s="10">
        <f t="shared" si="14"/>
        <v>37705.72157004469</v>
      </c>
    </row>
    <row r="259" spans="1:5">
      <c r="A259">
        <v>248</v>
      </c>
      <c r="B259" s="10">
        <f t="shared" si="15"/>
        <v>37705.72157004469</v>
      </c>
      <c r="C259">
        <f t="shared" si="12"/>
        <v>300.67071877268211</v>
      </c>
      <c r="D259" s="6">
        <f t="shared" si="13"/>
        <v>-507.53449329542798</v>
      </c>
      <c r="E259" s="10">
        <f t="shared" si="14"/>
        <v>37498.857795521944</v>
      </c>
    </row>
    <row r="260" spans="1:5">
      <c r="A260">
        <v>249</v>
      </c>
      <c r="B260" s="10">
        <f t="shared" si="15"/>
        <v>37498.857795521944</v>
      </c>
      <c r="C260">
        <f t="shared" si="12"/>
        <v>299.0211579849846</v>
      </c>
      <c r="D260" s="6">
        <f t="shared" si="13"/>
        <v>-507.53449329542798</v>
      </c>
      <c r="E260" s="10">
        <f t="shared" si="14"/>
        <v>37290.344460211505</v>
      </c>
    </row>
    <row r="261" spans="1:5">
      <c r="A261">
        <v>250</v>
      </c>
      <c r="B261" s="10">
        <f t="shared" si="15"/>
        <v>37290.344460211505</v>
      </c>
      <c r="C261">
        <f t="shared" si="12"/>
        <v>297.35844336792007</v>
      </c>
      <c r="D261" s="6">
        <f t="shared" si="13"/>
        <v>-507.53449329542798</v>
      </c>
      <c r="E261" s="10">
        <f t="shared" si="14"/>
        <v>37080.168410284001</v>
      </c>
    </row>
    <row r="262" spans="1:5">
      <c r="A262">
        <v>251</v>
      </c>
      <c r="B262" s="10">
        <f t="shared" si="15"/>
        <v>37080.168410284001</v>
      </c>
      <c r="C262">
        <f t="shared" si="12"/>
        <v>295.68247003100589</v>
      </c>
      <c r="D262" s="6">
        <f t="shared" si="13"/>
        <v>-507.53449329542798</v>
      </c>
      <c r="E262" s="10">
        <f t="shared" si="14"/>
        <v>36868.316387019579</v>
      </c>
    </row>
    <row r="263" spans="1:5">
      <c r="A263">
        <v>252</v>
      </c>
      <c r="B263" s="10">
        <f t="shared" si="15"/>
        <v>36868.316387019579</v>
      </c>
      <c r="C263">
        <f t="shared" si="12"/>
        <v>293.993132247348</v>
      </c>
      <c r="D263" s="6">
        <f t="shared" si="13"/>
        <v>-507.53449329542798</v>
      </c>
      <c r="E263" s="10">
        <f t="shared" si="14"/>
        <v>36654.775025971503</v>
      </c>
    </row>
    <row r="264" spans="1:5">
      <c r="A264">
        <v>253</v>
      </c>
      <c r="B264" s="10">
        <f t="shared" si="15"/>
        <v>36654.775025971503</v>
      </c>
      <c r="C264">
        <f t="shared" si="12"/>
        <v>292.2903234469714</v>
      </c>
      <c r="D264" s="6">
        <f t="shared" si="13"/>
        <v>-507.53449329542798</v>
      </c>
      <c r="E264" s="10">
        <f t="shared" si="14"/>
        <v>36439.530856123049</v>
      </c>
    </row>
    <row r="265" spans="1:5">
      <c r="A265">
        <v>254</v>
      </c>
      <c r="B265" s="10">
        <f t="shared" si="15"/>
        <v>36439.530856123049</v>
      </c>
      <c r="C265">
        <f t="shared" si="12"/>
        <v>290.57393621009697</v>
      </c>
      <c r="D265" s="6">
        <f t="shared" si="13"/>
        <v>-507.53449329542798</v>
      </c>
      <c r="E265" s="10">
        <f t="shared" si="14"/>
        <v>36222.570299037718</v>
      </c>
    </row>
    <row r="266" spans="1:5">
      <c r="A266">
        <v>255</v>
      </c>
      <c r="B266" s="10">
        <f t="shared" si="15"/>
        <v>36222.570299037718</v>
      </c>
      <c r="C266">
        <f t="shared" si="12"/>
        <v>288.84386226036537</v>
      </c>
      <c r="D266" s="6">
        <f t="shared" si="13"/>
        <v>-507.53449329542798</v>
      </c>
      <c r="E266" s="10">
        <f t="shared" si="14"/>
        <v>36003.879668002657</v>
      </c>
    </row>
    <row r="267" spans="1:5">
      <c r="A267">
        <v>256</v>
      </c>
      <c r="B267" s="10">
        <f t="shared" si="15"/>
        <v>36003.879668002657</v>
      </c>
      <c r="C267">
        <f t="shared" si="12"/>
        <v>287.09999245800623</v>
      </c>
      <c r="D267" s="6">
        <f t="shared" si="13"/>
        <v>-507.53449329542798</v>
      </c>
      <c r="E267" s="10">
        <f t="shared" si="14"/>
        <v>35783.445167165235</v>
      </c>
    </row>
    <row r="268" spans="1:5">
      <c r="A268">
        <v>257</v>
      </c>
      <c r="B268" s="10">
        <f t="shared" si="15"/>
        <v>35783.445167165235</v>
      </c>
      <c r="C268">
        <f t="shared" si="12"/>
        <v>285.34221679295331</v>
      </c>
      <c r="D268" s="6">
        <f t="shared" si="13"/>
        <v>-507.53449329542798</v>
      </c>
      <c r="E268" s="10">
        <f t="shared" si="14"/>
        <v>35561.252890662763</v>
      </c>
    </row>
    <row r="269" spans="1:5">
      <c r="A269">
        <v>258</v>
      </c>
      <c r="B269" s="10">
        <f t="shared" si="15"/>
        <v>35561.252890662763</v>
      </c>
      <c r="C269">
        <f t="shared" ref="C269:C332" si="16">B269*$B$4</f>
        <v>283.57042437790477</v>
      </c>
      <c r="D269" s="6">
        <f t="shared" ref="D269:D332" si="17">$B$8</f>
        <v>-507.53449329542798</v>
      </c>
      <c r="E269" s="10">
        <f t="shared" ref="E269:E332" si="18">SUM(B269:D269)</f>
        <v>35337.288821745242</v>
      </c>
    </row>
    <row r="270" spans="1:5">
      <c r="A270">
        <v>259</v>
      </c>
      <c r="B270" s="10">
        <f t="shared" ref="B270:B333" si="19">E269</f>
        <v>35337.288821745242</v>
      </c>
      <c r="C270">
        <f t="shared" si="16"/>
        <v>281.78450344132779</v>
      </c>
      <c r="D270" s="6">
        <f t="shared" si="17"/>
        <v>-507.53449329542798</v>
      </c>
      <c r="E270" s="10">
        <f t="shared" si="18"/>
        <v>35111.538831891143</v>
      </c>
    </row>
    <row r="271" spans="1:5">
      <c r="A271">
        <v>260</v>
      </c>
      <c r="B271" s="10">
        <f t="shared" si="19"/>
        <v>35111.538831891143</v>
      </c>
      <c r="C271">
        <f t="shared" si="16"/>
        <v>279.98434132040762</v>
      </c>
      <c r="D271" s="6">
        <f t="shared" si="17"/>
        <v>-507.53449329542798</v>
      </c>
      <c r="E271" s="10">
        <f t="shared" si="18"/>
        <v>34883.988679916125</v>
      </c>
    </row>
    <row r="272" spans="1:5">
      <c r="A272">
        <v>261</v>
      </c>
      <c r="B272" s="10">
        <f t="shared" si="19"/>
        <v>34883.988679916125</v>
      </c>
      <c r="C272">
        <f t="shared" si="16"/>
        <v>278.16982445394041</v>
      </c>
      <c r="D272" s="6">
        <f t="shared" si="17"/>
        <v>-507.53449329542798</v>
      </c>
      <c r="E272" s="10">
        <f t="shared" si="18"/>
        <v>34654.624011074644</v>
      </c>
    </row>
    <row r="273" spans="1:5">
      <c r="A273">
        <v>262</v>
      </c>
      <c r="B273" s="10">
        <f t="shared" si="19"/>
        <v>34654.624011074644</v>
      </c>
      <c r="C273">
        <f t="shared" si="16"/>
        <v>276.34083837516943</v>
      </c>
      <c r="D273" s="6">
        <f t="shared" si="17"/>
        <v>-507.53449329542798</v>
      </c>
      <c r="E273" s="10">
        <f t="shared" si="18"/>
        <v>34423.430356154386</v>
      </c>
    </row>
    <row r="274" spans="1:5">
      <c r="A274">
        <v>263</v>
      </c>
      <c r="B274" s="10">
        <f t="shared" si="19"/>
        <v>34423.430356154386</v>
      </c>
      <c r="C274">
        <f t="shared" si="16"/>
        <v>274.4972677045638</v>
      </c>
      <c r="D274" s="6">
        <f t="shared" si="17"/>
        <v>-507.53449329542798</v>
      </c>
      <c r="E274" s="10">
        <f t="shared" si="18"/>
        <v>34190.393130563527</v>
      </c>
    </row>
    <row r="275" spans="1:5">
      <c r="A275">
        <v>264</v>
      </c>
      <c r="B275" s="10">
        <f t="shared" si="19"/>
        <v>34190.393130563527</v>
      </c>
      <c r="C275">
        <f t="shared" si="16"/>
        <v>272.63899614254018</v>
      </c>
      <c r="D275" s="6">
        <f t="shared" si="17"/>
        <v>-507.53449329542798</v>
      </c>
      <c r="E275" s="10">
        <f t="shared" si="18"/>
        <v>33955.49763341064</v>
      </c>
    </row>
    <row r="276" spans="1:5">
      <c r="A276">
        <v>265</v>
      </c>
      <c r="B276" s="10">
        <f t="shared" si="19"/>
        <v>33955.49763341064</v>
      </c>
      <c r="C276">
        <f t="shared" si="16"/>
        <v>270.76590646212588</v>
      </c>
      <c r="D276" s="6">
        <f t="shared" si="17"/>
        <v>-507.53449329542798</v>
      </c>
      <c r="E276" s="10">
        <f t="shared" si="18"/>
        <v>33718.72904657734</v>
      </c>
    </row>
    <row r="277" spans="1:5">
      <c r="A277">
        <v>266</v>
      </c>
      <c r="B277" s="10">
        <f t="shared" si="19"/>
        <v>33718.72904657734</v>
      </c>
      <c r="C277">
        <f t="shared" si="16"/>
        <v>268.87788050156405</v>
      </c>
      <c r="D277" s="6">
        <f t="shared" si="17"/>
        <v>-507.53449329542798</v>
      </c>
      <c r="E277" s="10">
        <f t="shared" si="18"/>
        <v>33480.072433783476</v>
      </c>
    </row>
    <row r="278" spans="1:5">
      <c r="A278">
        <v>267</v>
      </c>
      <c r="B278" s="10">
        <f t="shared" si="19"/>
        <v>33480.072433783476</v>
      </c>
      <c r="C278">
        <f t="shared" si="16"/>
        <v>266.97479915685926</v>
      </c>
      <c r="D278" s="6">
        <f t="shared" si="17"/>
        <v>-507.53449329542798</v>
      </c>
      <c r="E278" s="10">
        <f t="shared" si="18"/>
        <v>33239.51273964491</v>
      </c>
    </row>
    <row r="279" spans="1:5">
      <c r="A279">
        <v>268</v>
      </c>
      <c r="B279" s="10">
        <f t="shared" si="19"/>
        <v>33239.51273964491</v>
      </c>
      <c r="C279">
        <f t="shared" si="16"/>
        <v>265.05654237426421</v>
      </c>
      <c r="D279" s="6">
        <f t="shared" si="17"/>
        <v>-507.53449329542798</v>
      </c>
      <c r="E279" s="10">
        <f t="shared" si="18"/>
        <v>32997.034788723751</v>
      </c>
    </row>
    <row r="280" spans="1:5">
      <c r="A280">
        <v>269</v>
      </c>
      <c r="B280" s="10">
        <f t="shared" si="19"/>
        <v>32997.034788723751</v>
      </c>
      <c r="C280">
        <f t="shared" si="16"/>
        <v>263.12298914270605</v>
      </c>
      <c r="D280" s="6">
        <f t="shared" si="17"/>
        <v>-507.53449329542798</v>
      </c>
      <c r="E280" s="10">
        <f t="shared" si="18"/>
        <v>32752.623284571029</v>
      </c>
    </row>
    <row r="281" spans="1:5">
      <c r="A281">
        <v>270</v>
      </c>
      <c r="B281" s="10">
        <f t="shared" si="19"/>
        <v>32752.623284571029</v>
      </c>
      <c r="C281">
        <f t="shared" si="16"/>
        <v>261.17401748615265</v>
      </c>
      <c r="D281" s="6">
        <f t="shared" si="17"/>
        <v>-507.53449329542798</v>
      </c>
      <c r="E281" s="10">
        <f t="shared" si="18"/>
        <v>32506.262808761752</v>
      </c>
    </row>
    <row r="282" spans="1:5">
      <c r="A282">
        <v>271</v>
      </c>
      <c r="B282" s="10">
        <f t="shared" si="19"/>
        <v>32506.262808761752</v>
      </c>
      <c r="C282">
        <f t="shared" si="16"/>
        <v>259.20950445591791</v>
      </c>
      <c r="D282" s="6">
        <f t="shared" si="17"/>
        <v>-507.53449329542798</v>
      </c>
      <c r="E282" s="10">
        <f t="shared" si="18"/>
        <v>32257.937819922241</v>
      </c>
    </row>
    <row r="283" spans="1:5">
      <c r="A283">
        <v>272</v>
      </c>
      <c r="B283" s="10">
        <f t="shared" si="19"/>
        <v>32257.937819922241</v>
      </c>
      <c r="C283">
        <f t="shared" si="16"/>
        <v>257.22932612290572</v>
      </c>
      <c r="D283" s="6">
        <f t="shared" si="17"/>
        <v>-507.53449329542798</v>
      </c>
      <c r="E283" s="10">
        <f t="shared" si="18"/>
        <v>32007.632652749719</v>
      </c>
    </row>
    <row r="284" spans="1:5">
      <c r="A284">
        <v>273</v>
      </c>
      <c r="B284" s="10">
        <f t="shared" si="19"/>
        <v>32007.632652749719</v>
      </c>
      <c r="C284">
        <f t="shared" si="16"/>
        <v>255.23335756979176</v>
      </c>
      <c r="D284" s="6">
        <f t="shared" si="17"/>
        <v>-507.53449329542798</v>
      </c>
      <c r="E284" s="10">
        <f t="shared" si="18"/>
        <v>31755.331517024082</v>
      </c>
    </row>
    <row r="285" spans="1:5">
      <c r="A285">
        <v>274</v>
      </c>
      <c r="B285" s="10">
        <f t="shared" si="19"/>
        <v>31755.331517024082</v>
      </c>
      <c r="C285">
        <f t="shared" si="16"/>
        <v>253.22147288314363</v>
      </c>
      <c r="D285" s="6">
        <f t="shared" si="17"/>
        <v>-507.53449329542798</v>
      </c>
      <c r="E285" s="10">
        <f t="shared" si="18"/>
        <v>31501.018496611796</v>
      </c>
    </row>
    <row r="286" spans="1:5">
      <c r="A286">
        <v>275</v>
      </c>
      <c r="B286" s="10">
        <f t="shared" si="19"/>
        <v>31501.018496611796</v>
      </c>
      <c r="C286">
        <f t="shared" si="16"/>
        <v>251.1935451454774</v>
      </c>
      <c r="D286" s="6">
        <f t="shared" si="17"/>
        <v>-507.53449329542798</v>
      </c>
      <c r="E286" s="10">
        <f t="shared" si="18"/>
        <v>31244.677548461845</v>
      </c>
    </row>
    <row r="287" spans="1:5">
      <c r="A287">
        <v>276</v>
      </c>
      <c r="B287" s="10">
        <f t="shared" si="19"/>
        <v>31244.677548461845</v>
      </c>
      <c r="C287">
        <f t="shared" si="16"/>
        <v>249.14944642725135</v>
      </c>
      <c r="D287" s="6">
        <f t="shared" si="17"/>
        <v>-507.53449329542798</v>
      </c>
      <c r="E287" s="10">
        <f t="shared" si="18"/>
        <v>30986.292501593667</v>
      </c>
    </row>
    <row r="288" spans="1:5">
      <c r="A288">
        <v>277</v>
      </c>
      <c r="B288" s="10">
        <f t="shared" si="19"/>
        <v>30986.292501593667</v>
      </c>
      <c r="C288">
        <f t="shared" si="16"/>
        <v>247.08904777879562</v>
      </c>
      <c r="D288" s="6">
        <f t="shared" si="17"/>
        <v>-507.53449329542798</v>
      </c>
      <c r="E288" s="10">
        <f t="shared" si="18"/>
        <v>30725.847056077033</v>
      </c>
    </row>
    <row r="289" spans="1:5">
      <c r="A289">
        <v>278</v>
      </c>
      <c r="B289" s="10">
        <f t="shared" si="19"/>
        <v>30725.847056077033</v>
      </c>
      <c r="C289">
        <f t="shared" si="16"/>
        <v>245.01221922217758</v>
      </c>
      <c r="D289" s="6">
        <f t="shared" si="17"/>
        <v>-507.53449329542798</v>
      </c>
      <c r="E289" s="10">
        <f t="shared" si="18"/>
        <v>30463.324782003783</v>
      </c>
    </row>
    <row r="290" spans="1:5">
      <c r="A290">
        <v>279</v>
      </c>
      <c r="B290" s="10">
        <f t="shared" si="19"/>
        <v>30463.324782003783</v>
      </c>
      <c r="C290">
        <f t="shared" si="16"/>
        <v>242.91882974300231</v>
      </c>
      <c r="D290" s="6">
        <f t="shared" si="17"/>
        <v>-507.53449329542798</v>
      </c>
      <c r="E290" s="10">
        <f t="shared" si="18"/>
        <v>30198.709118451356</v>
      </c>
    </row>
    <row r="291" spans="1:5">
      <c r="A291">
        <v>280</v>
      </c>
      <c r="B291" s="10">
        <f t="shared" si="19"/>
        <v>30198.709118451356</v>
      </c>
      <c r="C291">
        <f t="shared" si="16"/>
        <v>240.80874728214772</v>
      </c>
      <c r="D291" s="6">
        <f t="shared" si="17"/>
        <v>-507.53449329542798</v>
      </c>
      <c r="E291" s="10">
        <f t="shared" si="18"/>
        <v>29931.983372438073</v>
      </c>
    </row>
    <row r="292" spans="1:5">
      <c r="A292">
        <v>281</v>
      </c>
      <c r="B292" s="10">
        <f t="shared" si="19"/>
        <v>29931.983372438073</v>
      </c>
      <c r="C292">
        <f t="shared" si="16"/>
        <v>238.68183872743367</v>
      </c>
      <c r="D292" s="6">
        <f t="shared" si="17"/>
        <v>-507.53449329542798</v>
      </c>
      <c r="E292" s="10">
        <f t="shared" si="18"/>
        <v>29663.130717870077</v>
      </c>
    </row>
    <row r="293" spans="1:5">
      <c r="A293">
        <v>282</v>
      </c>
      <c r="B293" s="10">
        <f t="shared" si="19"/>
        <v>29663.130717870077</v>
      </c>
      <c r="C293">
        <f t="shared" si="16"/>
        <v>236.53796990522491</v>
      </c>
      <c r="D293" s="6">
        <f t="shared" si="17"/>
        <v>-507.53449329542798</v>
      </c>
      <c r="E293" s="10">
        <f t="shared" si="18"/>
        <v>29392.134194479873</v>
      </c>
    </row>
    <row r="294" spans="1:5">
      <c r="A294">
        <v>283</v>
      </c>
      <c r="B294" s="10">
        <f t="shared" si="19"/>
        <v>29392.134194479873</v>
      </c>
      <c r="C294">
        <f t="shared" si="16"/>
        <v>234.37700557196672</v>
      </c>
      <c r="D294" s="6">
        <f t="shared" si="17"/>
        <v>-507.53449329542798</v>
      </c>
      <c r="E294" s="10">
        <f t="shared" si="18"/>
        <v>29118.97670675641</v>
      </c>
    </row>
    <row r="295" spans="1:5">
      <c r="A295">
        <v>284</v>
      </c>
      <c r="B295" s="10">
        <f t="shared" si="19"/>
        <v>29118.97670675641</v>
      </c>
      <c r="C295">
        <f t="shared" si="16"/>
        <v>232.19880940565329</v>
      </c>
      <c r="D295" s="6">
        <f t="shared" si="17"/>
        <v>-507.53449329542798</v>
      </c>
      <c r="E295" s="10">
        <f t="shared" si="18"/>
        <v>28843.641022866635</v>
      </c>
    </row>
    <row r="296" spans="1:5">
      <c r="A296">
        <v>285</v>
      </c>
      <c r="B296" s="10">
        <f t="shared" si="19"/>
        <v>28843.641022866635</v>
      </c>
      <c r="C296">
        <f t="shared" si="16"/>
        <v>230.00324399722797</v>
      </c>
      <c r="D296" s="6">
        <f t="shared" si="17"/>
        <v>-507.53449329542798</v>
      </c>
      <c r="E296" s="10">
        <f t="shared" si="18"/>
        <v>28566.109773568434</v>
      </c>
    </row>
    <row r="297" spans="1:5">
      <c r="A297">
        <v>286</v>
      </c>
      <c r="B297" s="10">
        <f t="shared" si="19"/>
        <v>28566.109773568434</v>
      </c>
      <c r="C297">
        <f t="shared" si="16"/>
        <v>227.790170841915</v>
      </c>
      <c r="D297" s="6">
        <f t="shared" si="17"/>
        <v>-507.53449329542798</v>
      </c>
      <c r="E297" s="10">
        <f t="shared" si="18"/>
        <v>28286.365451114922</v>
      </c>
    </row>
    <row r="298" spans="1:5">
      <c r="A298">
        <v>287</v>
      </c>
      <c r="B298" s="10">
        <f t="shared" si="19"/>
        <v>28286.365451114922</v>
      </c>
      <c r="C298">
        <f t="shared" si="16"/>
        <v>225.55945033048215</v>
      </c>
      <c r="D298" s="6">
        <f t="shared" si="17"/>
        <v>-507.53449329542798</v>
      </c>
      <c r="E298" s="10">
        <f t="shared" si="18"/>
        <v>28004.390408149975</v>
      </c>
    </row>
    <row r="299" spans="1:5">
      <c r="A299">
        <v>288</v>
      </c>
      <c r="B299" s="10">
        <f t="shared" si="19"/>
        <v>28004.390408149975</v>
      </c>
      <c r="C299">
        <f t="shared" si="16"/>
        <v>223.31094174043349</v>
      </c>
      <c r="D299" s="6">
        <f t="shared" si="17"/>
        <v>-507.53449329542798</v>
      </c>
      <c r="E299" s="10">
        <f t="shared" si="18"/>
        <v>27720.16685659498</v>
      </c>
    </row>
    <row r="300" spans="1:5">
      <c r="A300">
        <v>289</v>
      </c>
      <c r="B300" s="10">
        <f t="shared" si="19"/>
        <v>27720.16685659498</v>
      </c>
      <c r="C300">
        <f t="shared" si="16"/>
        <v>221.0445032271322</v>
      </c>
      <c r="D300" s="6">
        <f t="shared" si="17"/>
        <v>-507.53449329542798</v>
      </c>
      <c r="E300" s="10">
        <f t="shared" si="18"/>
        <v>27433.676866526683</v>
      </c>
    </row>
    <row r="301" spans="1:5">
      <c r="A301">
        <v>290</v>
      </c>
      <c r="B301" s="10">
        <f t="shared" si="19"/>
        <v>27433.676866526683</v>
      </c>
      <c r="C301">
        <f t="shared" si="16"/>
        <v>218.75999181485236</v>
      </c>
      <c r="D301" s="6">
        <f t="shared" si="17"/>
        <v>-507.53449329542798</v>
      </c>
      <c r="E301" s="10">
        <f t="shared" si="18"/>
        <v>27144.902365046106</v>
      </c>
    </row>
    <row r="302" spans="1:5">
      <c r="A302">
        <v>291</v>
      </c>
      <c r="B302" s="10">
        <f t="shared" si="19"/>
        <v>27144.902365046106</v>
      </c>
      <c r="C302">
        <f t="shared" si="16"/>
        <v>216.45726338775955</v>
      </c>
      <c r="D302" s="6">
        <f t="shared" si="17"/>
        <v>-507.53449329542798</v>
      </c>
      <c r="E302" s="10">
        <f t="shared" si="18"/>
        <v>26853.825135138435</v>
      </c>
    </row>
    <row r="303" spans="1:5">
      <c r="A303">
        <v>292</v>
      </c>
      <c r="B303" s="10">
        <f t="shared" si="19"/>
        <v>26853.825135138435</v>
      </c>
      <c r="C303">
        <f t="shared" si="16"/>
        <v>214.1361726808195</v>
      </c>
      <c r="D303" s="6">
        <f t="shared" si="17"/>
        <v>-507.53449329542798</v>
      </c>
      <c r="E303" s="10">
        <f t="shared" si="18"/>
        <v>26560.426814523827</v>
      </c>
    </row>
    <row r="304" spans="1:5">
      <c r="A304">
        <v>293</v>
      </c>
      <c r="B304" s="10">
        <f t="shared" si="19"/>
        <v>26560.426814523827</v>
      </c>
      <c r="C304">
        <f t="shared" si="16"/>
        <v>211.79657327063407</v>
      </c>
      <c r="D304" s="6">
        <f t="shared" si="17"/>
        <v>-507.53449329542798</v>
      </c>
      <c r="E304" s="10">
        <f t="shared" si="18"/>
        <v>26264.688894499031</v>
      </c>
    </row>
    <row r="305" spans="1:5">
      <c r="A305">
        <v>294</v>
      </c>
      <c r="B305" s="10">
        <f t="shared" si="19"/>
        <v>26264.688894499031</v>
      </c>
      <c r="C305">
        <f t="shared" si="16"/>
        <v>209.43831756620443</v>
      </c>
      <c r="D305" s="6">
        <f t="shared" si="17"/>
        <v>-507.53449329542798</v>
      </c>
      <c r="E305" s="10">
        <f t="shared" si="18"/>
        <v>25966.592718769807</v>
      </c>
    </row>
    <row r="306" spans="1:5">
      <c r="A306">
        <v>295</v>
      </c>
      <c r="B306" s="10">
        <f t="shared" si="19"/>
        <v>25966.592718769807</v>
      </c>
      <c r="C306">
        <f t="shared" si="16"/>
        <v>207.06125679962042</v>
      </c>
      <c r="D306" s="6">
        <f t="shared" si="17"/>
        <v>-507.53449329542798</v>
      </c>
      <c r="E306" s="10">
        <f t="shared" si="18"/>
        <v>25666.119482274</v>
      </c>
    </row>
    <row r="307" spans="1:5">
      <c r="A307">
        <v>296</v>
      </c>
      <c r="B307" s="10">
        <f t="shared" si="19"/>
        <v>25666.119482274</v>
      </c>
      <c r="C307">
        <f t="shared" si="16"/>
        <v>204.66524101667565</v>
      </c>
      <c r="D307" s="6">
        <f t="shared" si="17"/>
        <v>-507.53449329542798</v>
      </c>
      <c r="E307" s="10">
        <f t="shared" si="18"/>
        <v>25363.250229995247</v>
      </c>
    </row>
    <row r="308" spans="1:5">
      <c r="A308">
        <v>297</v>
      </c>
      <c r="B308" s="10">
        <f t="shared" si="19"/>
        <v>25363.250229995247</v>
      </c>
      <c r="C308">
        <f t="shared" si="16"/>
        <v>202.25011906740778</v>
      </c>
      <c r="D308" s="6">
        <f t="shared" si="17"/>
        <v>-507.53449329542798</v>
      </c>
      <c r="E308" s="10">
        <f t="shared" si="18"/>
        <v>25057.965855767226</v>
      </c>
    </row>
    <row r="309" spans="1:5">
      <c r="A309">
        <v>298</v>
      </c>
      <c r="B309" s="10">
        <f t="shared" si="19"/>
        <v>25057.965855767226</v>
      </c>
      <c r="C309">
        <f t="shared" si="16"/>
        <v>199.81573859656356</v>
      </c>
      <c r="D309" s="6">
        <f t="shared" si="17"/>
        <v>-507.53449329542798</v>
      </c>
      <c r="E309" s="10">
        <f t="shared" si="18"/>
        <v>24750.247101068362</v>
      </c>
    </row>
    <row r="310" spans="1:5">
      <c r="A310">
        <v>299</v>
      </c>
      <c r="B310" s="10">
        <f t="shared" si="19"/>
        <v>24750.247101068362</v>
      </c>
      <c r="C310">
        <f t="shared" si="16"/>
        <v>197.36194603398741</v>
      </c>
      <c r="D310" s="6">
        <f t="shared" si="17"/>
        <v>-507.53449329542798</v>
      </c>
      <c r="E310" s="10">
        <f t="shared" si="18"/>
        <v>24440.07455380692</v>
      </c>
    </row>
    <row r="311" spans="1:5">
      <c r="A311">
        <v>300</v>
      </c>
      <c r="B311" s="10">
        <f t="shared" si="19"/>
        <v>24440.07455380692</v>
      </c>
      <c r="C311">
        <f t="shared" si="16"/>
        <v>194.8885865849339</v>
      </c>
      <c r="D311" s="6">
        <f t="shared" si="17"/>
        <v>-507.53449329542798</v>
      </c>
      <c r="E311" s="10">
        <f t="shared" si="18"/>
        <v>24127.428647096425</v>
      </c>
    </row>
    <row r="312" spans="1:5">
      <c r="A312">
        <v>301</v>
      </c>
      <c r="B312" s="10">
        <f t="shared" si="19"/>
        <v>24127.428647096425</v>
      </c>
      <c r="C312">
        <f t="shared" si="16"/>
        <v>192.39550422030246</v>
      </c>
      <c r="D312" s="6">
        <f t="shared" si="17"/>
        <v>-507.53449329542798</v>
      </c>
      <c r="E312" s="10">
        <f t="shared" si="18"/>
        <v>23812.289658021298</v>
      </c>
    </row>
    <row r="313" spans="1:5">
      <c r="A313">
        <v>302</v>
      </c>
      <c r="B313" s="10">
        <f t="shared" si="19"/>
        <v>23812.289658021298</v>
      </c>
      <c r="C313">
        <f t="shared" si="16"/>
        <v>189.88254166679462</v>
      </c>
      <c r="D313" s="6">
        <f t="shared" si="17"/>
        <v>-507.53449329542798</v>
      </c>
      <c r="E313" s="10">
        <f t="shared" si="18"/>
        <v>23494.637706392663</v>
      </c>
    </row>
    <row r="314" spans="1:5">
      <c r="A314">
        <v>303</v>
      </c>
      <c r="B314" s="10">
        <f t="shared" si="19"/>
        <v>23494.637706392663</v>
      </c>
      <c r="C314">
        <f t="shared" si="16"/>
        <v>187.34954039699255</v>
      </c>
      <c r="D314" s="6">
        <f t="shared" si="17"/>
        <v>-507.53449329542798</v>
      </c>
      <c r="E314" s="10">
        <f t="shared" si="18"/>
        <v>23174.452753494228</v>
      </c>
    </row>
    <row r="315" spans="1:5">
      <c r="A315">
        <v>304</v>
      </c>
      <c r="B315" s="10">
        <f t="shared" si="19"/>
        <v>23174.452753494228</v>
      </c>
      <c r="C315">
        <f t="shared" si="16"/>
        <v>184.79634061935849</v>
      </c>
      <c r="D315" s="6">
        <f t="shared" si="17"/>
        <v>-507.53449329542798</v>
      </c>
      <c r="E315" s="10">
        <f t="shared" si="18"/>
        <v>22851.714600818159</v>
      </c>
    </row>
    <row r="316" spans="1:5">
      <c r="A316">
        <v>305</v>
      </c>
      <c r="B316" s="10">
        <f t="shared" si="19"/>
        <v>22851.714600818159</v>
      </c>
      <c r="C316">
        <f t="shared" si="16"/>
        <v>182.22278126815453</v>
      </c>
      <c r="D316" s="6">
        <f t="shared" si="17"/>
        <v>-507.53449329542798</v>
      </c>
      <c r="E316" s="10">
        <f t="shared" si="18"/>
        <v>22526.402888790886</v>
      </c>
    </row>
    <row r="317" spans="1:5">
      <c r="A317">
        <v>306</v>
      </c>
      <c r="B317" s="10">
        <f t="shared" si="19"/>
        <v>22526.402888790886</v>
      </c>
      <c r="C317">
        <f t="shared" si="16"/>
        <v>179.62869999328194</v>
      </c>
      <c r="D317" s="6">
        <f t="shared" si="17"/>
        <v>-507.53449329542798</v>
      </c>
      <c r="E317" s="10">
        <f t="shared" si="18"/>
        <v>22198.497095488739</v>
      </c>
    </row>
    <row r="318" spans="1:5">
      <c r="A318">
        <v>307</v>
      </c>
      <c r="B318" s="10">
        <f t="shared" si="19"/>
        <v>22198.497095488739</v>
      </c>
      <c r="C318">
        <f t="shared" si="16"/>
        <v>177.01393315003955</v>
      </c>
      <c r="D318" s="6">
        <f t="shared" si="17"/>
        <v>-507.53449329542798</v>
      </c>
      <c r="E318" s="10">
        <f t="shared" si="18"/>
        <v>21867.97653534335</v>
      </c>
    </row>
    <row r="319" spans="1:5">
      <c r="A319">
        <v>308</v>
      </c>
      <c r="B319" s="10">
        <f t="shared" si="19"/>
        <v>21867.97653534335</v>
      </c>
      <c r="C319">
        <f t="shared" si="16"/>
        <v>174.37831578880028</v>
      </c>
      <c r="D319" s="6">
        <f t="shared" si="17"/>
        <v>-507.53449329542798</v>
      </c>
      <c r="E319" s="10">
        <f t="shared" si="18"/>
        <v>21534.820357836721</v>
      </c>
    </row>
    <row r="320" spans="1:5">
      <c r="A320">
        <v>309</v>
      </c>
      <c r="B320" s="10">
        <f t="shared" si="19"/>
        <v>21534.820357836721</v>
      </c>
      <c r="C320">
        <f t="shared" si="16"/>
        <v>171.72168164460564</v>
      </c>
      <c r="D320" s="6">
        <f t="shared" si="17"/>
        <v>-507.53449329542798</v>
      </c>
      <c r="E320" s="10">
        <f t="shared" si="18"/>
        <v>21199.007546185898</v>
      </c>
    </row>
    <row r="321" spans="1:5">
      <c r="A321">
        <v>310</v>
      </c>
      <c r="B321" s="10">
        <f t="shared" si="19"/>
        <v>21199.007546185898</v>
      </c>
      <c r="C321">
        <f t="shared" si="16"/>
        <v>169.04386312667694</v>
      </c>
      <c r="D321" s="6">
        <f t="shared" si="17"/>
        <v>-507.53449329542798</v>
      </c>
      <c r="E321" s="10">
        <f t="shared" si="18"/>
        <v>20860.516916017146</v>
      </c>
    </row>
    <row r="322" spans="1:5">
      <c r="A322">
        <v>311</v>
      </c>
      <c r="B322" s="10">
        <f t="shared" si="19"/>
        <v>20860.516916017146</v>
      </c>
      <c r="C322">
        <f t="shared" si="16"/>
        <v>166.34469130784319</v>
      </c>
      <c r="D322" s="6">
        <f t="shared" si="17"/>
        <v>-507.53449329542798</v>
      </c>
      <c r="E322" s="10">
        <f t="shared" si="18"/>
        <v>20519.327114029562</v>
      </c>
    </row>
    <row r="323" spans="1:5">
      <c r="A323">
        <v>312</v>
      </c>
      <c r="B323" s="10">
        <f t="shared" si="19"/>
        <v>20519.327114029562</v>
      </c>
      <c r="C323">
        <f t="shared" si="16"/>
        <v>163.62399591388433</v>
      </c>
      <c r="D323" s="6">
        <f t="shared" si="17"/>
        <v>-507.53449329542798</v>
      </c>
      <c r="E323" s="10">
        <f t="shared" si="18"/>
        <v>20175.416616648017</v>
      </c>
    </row>
    <row r="324" spans="1:5">
      <c r="A324">
        <v>313</v>
      </c>
      <c r="B324" s="10">
        <f t="shared" si="19"/>
        <v>20175.416616648017</v>
      </c>
      <c r="C324">
        <f t="shared" si="16"/>
        <v>160.88160531278976</v>
      </c>
      <c r="D324" s="6">
        <f t="shared" si="17"/>
        <v>-507.53449329542798</v>
      </c>
      <c r="E324" s="10">
        <f t="shared" si="18"/>
        <v>19828.763728665377</v>
      </c>
    </row>
    <row r="325" spans="1:5">
      <c r="A325">
        <v>314</v>
      </c>
      <c r="B325" s="10">
        <f t="shared" si="19"/>
        <v>19828.763728665377</v>
      </c>
      <c r="C325">
        <f t="shared" si="16"/>
        <v>158.11734650393115</v>
      </c>
      <c r="D325" s="6">
        <f t="shared" si="17"/>
        <v>-507.53449329542798</v>
      </c>
      <c r="E325" s="10">
        <f t="shared" si="18"/>
        <v>19479.34658187388</v>
      </c>
    </row>
    <row r="326" spans="1:5">
      <c r="A326">
        <v>315</v>
      </c>
      <c r="B326" s="10">
        <f t="shared" si="19"/>
        <v>19479.34658187388</v>
      </c>
      <c r="C326">
        <f t="shared" si="16"/>
        <v>155.33104510714887</v>
      </c>
      <c r="D326" s="6">
        <f t="shared" si="17"/>
        <v>-507.53449329542798</v>
      </c>
      <c r="E326" s="10">
        <f t="shared" si="18"/>
        <v>19127.1431336856</v>
      </c>
    </row>
    <row r="327" spans="1:5">
      <c r="A327">
        <v>316</v>
      </c>
      <c r="B327" s="10">
        <f t="shared" si="19"/>
        <v>19127.1431336856</v>
      </c>
      <c r="C327">
        <f t="shared" si="16"/>
        <v>152.52252535175137</v>
      </c>
      <c r="D327" s="6">
        <f t="shared" si="17"/>
        <v>-507.53449329542798</v>
      </c>
      <c r="E327" s="10">
        <f t="shared" si="18"/>
        <v>18772.131165741925</v>
      </c>
    </row>
    <row r="328" spans="1:5">
      <c r="A328">
        <v>317</v>
      </c>
      <c r="B328" s="10">
        <f t="shared" si="19"/>
        <v>18772.131165741925</v>
      </c>
      <c r="C328">
        <f t="shared" si="16"/>
        <v>149.69161006542703</v>
      </c>
      <c r="D328" s="6">
        <f t="shared" si="17"/>
        <v>-507.53449329542798</v>
      </c>
      <c r="E328" s="10">
        <f t="shared" si="18"/>
        <v>18414.288282511923</v>
      </c>
    </row>
    <row r="329" spans="1:5">
      <c r="A329">
        <v>318</v>
      </c>
      <c r="B329" s="10">
        <f t="shared" si="19"/>
        <v>18414.288282511923</v>
      </c>
      <c r="C329">
        <f t="shared" si="16"/>
        <v>146.8381206630672</v>
      </c>
      <c r="D329" s="6">
        <f t="shared" si="17"/>
        <v>-507.53449329542798</v>
      </c>
      <c r="E329" s="10">
        <f t="shared" si="18"/>
        <v>18053.59190987956</v>
      </c>
    </row>
    <row r="330" spans="1:5">
      <c r="A330">
        <v>319</v>
      </c>
      <c r="B330" s="10">
        <f t="shared" si="19"/>
        <v>18053.59190987956</v>
      </c>
      <c r="C330">
        <f t="shared" si="16"/>
        <v>143.96187713550052</v>
      </c>
      <c r="D330" s="6">
        <f t="shared" si="17"/>
        <v>-507.53449329542798</v>
      </c>
      <c r="E330" s="10">
        <f t="shared" si="18"/>
        <v>17690.019293719633</v>
      </c>
    </row>
    <row r="331" spans="1:5">
      <c r="A331">
        <v>320</v>
      </c>
      <c r="B331" s="10">
        <f t="shared" si="19"/>
        <v>17690.019293719633</v>
      </c>
      <c r="C331">
        <f t="shared" si="16"/>
        <v>141.06269803813734</v>
      </c>
      <c r="D331" s="6">
        <f t="shared" si="17"/>
        <v>-507.53449329542798</v>
      </c>
      <c r="E331" s="10">
        <f t="shared" si="18"/>
        <v>17323.547498462343</v>
      </c>
    </row>
    <row r="332" spans="1:5">
      <c r="A332">
        <v>321</v>
      </c>
      <c r="B332" s="10">
        <f t="shared" si="19"/>
        <v>17323.547498462343</v>
      </c>
      <c r="C332">
        <f t="shared" si="16"/>
        <v>138.14040047952324</v>
      </c>
      <c r="D332" s="6">
        <f t="shared" si="17"/>
        <v>-507.53449329542798</v>
      </c>
      <c r="E332" s="10">
        <f t="shared" si="18"/>
        <v>16954.153405646437</v>
      </c>
    </row>
    <row r="333" spans="1:5">
      <c r="A333">
        <v>322</v>
      </c>
      <c r="B333" s="10">
        <f t="shared" si="19"/>
        <v>16954.153405646437</v>
      </c>
      <c r="C333">
        <f t="shared" ref="C333:C371" si="20">B333*$B$4</f>
        <v>135.19480010980169</v>
      </c>
      <c r="D333" s="6">
        <f t="shared" ref="D333:D371" si="21">$B$8</f>
        <v>-507.53449329542798</v>
      </c>
      <c r="E333" s="10">
        <f t="shared" ref="E333:E371" si="22">SUM(B333:D333)</f>
        <v>16581.813712460811</v>
      </c>
    </row>
    <row r="334" spans="1:5">
      <c r="A334">
        <v>323</v>
      </c>
      <c r="B334" s="10">
        <f t="shared" ref="B334:B371" si="23">E333</f>
        <v>16581.813712460811</v>
      </c>
      <c r="C334">
        <f t="shared" si="20"/>
        <v>132.22571110908459</v>
      </c>
      <c r="D334" s="6">
        <f t="shared" si="21"/>
        <v>-507.53449329542798</v>
      </c>
      <c r="E334" s="10">
        <f t="shared" si="22"/>
        <v>16206.504930274466</v>
      </c>
    </row>
    <row r="335" spans="1:5">
      <c r="A335">
        <v>324</v>
      </c>
      <c r="B335" s="10">
        <f t="shared" si="23"/>
        <v>16206.504930274466</v>
      </c>
      <c r="C335">
        <f t="shared" si="20"/>
        <v>129.23294617572981</v>
      </c>
      <c r="D335" s="6">
        <f t="shared" si="21"/>
        <v>-507.53449329542798</v>
      </c>
      <c r="E335" s="10">
        <f t="shared" si="22"/>
        <v>15828.203383154767</v>
      </c>
    </row>
    <row r="336" spans="1:5">
      <c r="A336">
        <v>325</v>
      </c>
      <c r="B336" s="10">
        <f t="shared" si="23"/>
        <v>15828.203383154767</v>
      </c>
      <c r="C336">
        <f t="shared" si="20"/>
        <v>126.21631651452577</v>
      </c>
      <c r="D336" s="6">
        <f t="shared" si="21"/>
        <v>-507.53449329542798</v>
      </c>
      <c r="E336" s="10">
        <f t="shared" si="22"/>
        <v>15446.885206373865</v>
      </c>
    </row>
    <row r="337" spans="1:5">
      <c r="A337">
        <v>326</v>
      </c>
      <c r="B337" s="10">
        <f t="shared" si="23"/>
        <v>15446.885206373865</v>
      </c>
      <c r="C337">
        <f t="shared" si="20"/>
        <v>123.17563182478131</v>
      </c>
      <c r="D337" s="6">
        <f t="shared" si="21"/>
        <v>-507.53449329542798</v>
      </c>
      <c r="E337" s="10">
        <f t="shared" si="22"/>
        <v>15062.526344903217</v>
      </c>
    </row>
    <row r="338" spans="1:5">
      <c r="A338">
        <v>327</v>
      </c>
      <c r="B338" s="10">
        <f t="shared" si="23"/>
        <v>15062.526344903217</v>
      </c>
      <c r="C338">
        <f t="shared" si="20"/>
        <v>120.11070028832079</v>
      </c>
      <c r="D338" s="6">
        <f t="shared" si="21"/>
        <v>-507.53449329542798</v>
      </c>
      <c r="E338" s="10">
        <f t="shared" si="22"/>
        <v>14675.102551896109</v>
      </c>
    </row>
    <row r="339" spans="1:5">
      <c r="A339">
        <v>328</v>
      </c>
      <c r="B339" s="10">
        <f t="shared" si="23"/>
        <v>14675.102551896109</v>
      </c>
      <c r="C339">
        <f t="shared" si="20"/>
        <v>117.02132855738357</v>
      </c>
      <c r="D339" s="6">
        <f t="shared" si="21"/>
        <v>-507.53449329542798</v>
      </c>
      <c r="E339" s="10">
        <f t="shared" si="22"/>
        <v>14284.589387158063</v>
      </c>
    </row>
    <row r="340" spans="1:5">
      <c r="A340">
        <v>329</v>
      </c>
      <c r="B340" s="10">
        <f t="shared" si="23"/>
        <v>14284.589387158063</v>
      </c>
      <c r="C340">
        <f t="shared" si="20"/>
        <v>113.90732174242676</v>
      </c>
      <c r="D340" s="6">
        <f t="shared" si="21"/>
        <v>-507.53449329542798</v>
      </c>
      <c r="E340" s="10">
        <f t="shared" si="22"/>
        <v>13890.962215605061</v>
      </c>
    </row>
    <row r="341" spans="1:5">
      <c r="A341">
        <v>330</v>
      </c>
      <c r="B341" s="10">
        <f t="shared" si="23"/>
        <v>13890.962215605061</v>
      </c>
      <c r="C341">
        <f t="shared" si="20"/>
        <v>110.76848339983093</v>
      </c>
      <c r="D341" s="6">
        <f t="shared" si="21"/>
        <v>-507.53449329542798</v>
      </c>
      <c r="E341" s="10">
        <f t="shared" si="22"/>
        <v>13494.196205709462</v>
      </c>
    </row>
    <row r="342" spans="1:5">
      <c r="A342">
        <v>331</v>
      </c>
      <c r="B342" s="10">
        <f t="shared" si="23"/>
        <v>13494.196205709462</v>
      </c>
      <c r="C342">
        <f t="shared" si="20"/>
        <v>107.6046155195076</v>
      </c>
      <c r="D342" s="6">
        <f t="shared" si="21"/>
        <v>-507.53449329542798</v>
      </c>
      <c r="E342" s="10">
        <f t="shared" si="22"/>
        <v>13094.266327933541</v>
      </c>
    </row>
    <row r="343" spans="1:5">
      <c r="A343">
        <v>332</v>
      </c>
      <c r="B343" s="10">
        <f t="shared" si="23"/>
        <v>13094.266327933541</v>
      </c>
      <c r="C343">
        <f t="shared" si="20"/>
        <v>104.41551851240808</v>
      </c>
      <c r="D343" s="6">
        <f t="shared" si="21"/>
        <v>-507.53449329542798</v>
      </c>
      <c r="E343" s="10">
        <f t="shared" si="22"/>
        <v>12691.14735315052</v>
      </c>
    </row>
    <row r="344" spans="1:5">
      <c r="A344">
        <v>333</v>
      </c>
      <c r="B344" s="10">
        <f t="shared" si="23"/>
        <v>12691.14735315052</v>
      </c>
      <c r="C344">
        <f t="shared" si="20"/>
        <v>101.20099119793255</v>
      </c>
      <c r="D344" s="6">
        <f t="shared" si="21"/>
        <v>-507.53449329542798</v>
      </c>
      <c r="E344" s="10">
        <f t="shared" si="22"/>
        <v>12284.813851053024</v>
      </c>
    </row>
    <row r="345" spans="1:5">
      <c r="A345">
        <v>334</v>
      </c>
      <c r="B345" s="10">
        <f t="shared" si="23"/>
        <v>12284.813851053024</v>
      </c>
      <c r="C345">
        <f t="shared" si="20"/>
        <v>97.960830791238863</v>
      </c>
      <c r="D345" s="6">
        <f t="shared" si="21"/>
        <v>-507.53449329542798</v>
      </c>
      <c r="E345" s="10">
        <f t="shared" si="22"/>
        <v>11875.240188548834</v>
      </c>
    </row>
    <row r="346" spans="1:5">
      <c r="A346">
        <v>335</v>
      </c>
      <c r="B346" s="10">
        <f t="shared" si="23"/>
        <v>11875.240188548834</v>
      </c>
      <c r="C346">
        <f t="shared" si="20"/>
        <v>94.694832890450016</v>
      </c>
      <c r="D346" s="6">
        <f t="shared" si="21"/>
        <v>-507.53449329542798</v>
      </c>
      <c r="E346" s="10">
        <f t="shared" si="22"/>
        <v>11462.400528143855</v>
      </c>
    </row>
    <row r="347" spans="1:5">
      <c r="A347">
        <v>336</v>
      </c>
      <c r="B347" s="10">
        <f t="shared" si="23"/>
        <v>11462.400528143855</v>
      </c>
      <c r="C347">
        <f t="shared" si="20"/>
        <v>91.402791463759769</v>
      </c>
      <c r="D347" s="6">
        <f t="shared" si="21"/>
        <v>-507.53449329542798</v>
      </c>
      <c r="E347" s="10">
        <f t="shared" si="22"/>
        <v>11046.268826312185</v>
      </c>
    </row>
    <row r="348" spans="1:5">
      <c r="A348">
        <v>337</v>
      </c>
      <c r="B348" s="10">
        <f t="shared" si="23"/>
        <v>11046.268826312185</v>
      </c>
      <c r="C348">
        <f t="shared" si="20"/>
        <v>88.08449883643533</v>
      </c>
      <c r="D348" s="6">
        <f t="shared" si="21"/>
        <v>-507.53449329542798</v>
      </c>
      <c r="E348" s="10">
        <f t="shared" si="22"/>
        <v>10626.818831853192</v>
      </c>
    </row>
    <row r="349" spans="1:5">
      <c r="A349">
        <v>338</v>
      </c>
      <c r="B349" s="10">
        <f t="shared" si="23"/>
        <v>10626.818831853192</v>
      </c>
      <c r="C349">
        <f t="shared" si="20"/>
        <v>84.739745677716414</v>
      </c>
      <c r="D349" s="6">
        <f t="shared" si="21"/>
        <v>-507.53449329542798</v>
      </c>
      <c r="E349" s="10">
        <f t="shared" si="22"/>
        <v>10204.02408423548</v>
      </c>
    </row>
    <row r="350" spans="1:5">
      <c r="A350">
        <v>339</v>
      </c>
      <c r="B350" s="10">
        <f t="shared" si="23"/>
        <v>10204.02408423548</v>
      </c>
      <c r="C350">
        <f t="shared" si="20"/>
        <v>81.368320987609849</v>
      </c>
      <c r="D350" s="6">
        <f t="shared" si="21"/>
        <v>-507.53449329542798</v>
      </c>
      <c r="E350" s="10">
        <f t="shared" si="22"/>
        <v>9777.8579119276601</v>
      </c>
    </row>
    <row r="351" spans="1:5">
      <c r="A351">
        <v>340</v>
      </c>
      <c r="B351" s="10">
        <f t="shared" si="23"/>
        <v>9777.8579119276601</v>
      </c>
      <c r="C351">
        <f t="shared" si="20"/>
        <v>77.970012083578894</v>
      </c>
      <c r="D351" s="6">
        <f t="shared" si="21"/>
        <v>-507.53449329542798</v>
      </c>
      <c r="E351" s="10">
        <f t="shared" si="22"/>
        <v>9348.2934307158102</v>
      </c>
    </row>
    <row r="352" spans="1:5">
      <c r="A352">
        <v>341</v>
      </c>
      <c r="B352" s="10">
        <f t="shared" si="23"/>
        <v>9348.2934307158102</v>
      </c>
      <c r="C352">
        <f t="shared" si="20"/>
        <v>74.544604587126415</v>
      </c>
      <c r="D352" s="6">
        <f t="shared" si="21"/>
        <v>-507.53449329542798</v>
      </c>
      <c r="E352" s="10">
        <f t="shared" si="22"/>
        <v>8915.3035420075084</v>
      </c>
    </row>
    <row r="353" spans="1:5">
      <c r="A353">
        <v>342</v>
      </c>
      <c r="B353" s="10">
        <f t="shared" si="23"/>
        <v>8915.3035420075084</v>
      </c>
      <c r="C353">
        <f t="shared" si="20"/>
        <v>71.091882410270998</v>
      </c>
      <c r="D353" s="6">
        <f t="shared" si="21"/>
        <v>-507.53449329542798</v>
      </c>
      <c r="E353" s="10">
        <f t="shared" si="22"/>
        <v>8478.8609311223518</v>
      </c>
    </row>
    <row r="354" spans="1:5">
      <c r="A354">
        <v>343</v>
      </c>
      <c r="B354" s="10">
        <f t="shared" si="23"/>
        <v>8478.8609311223518</v>
      </c>
      <c r="C354">
        <f t="shared" si="20"/>
        <v>67.611627741915356</v>
      </c>
      <c r="D354" s="6">
        <f t="shared" si="21"/>
        <v>-507.53449329542798</v>
      </c>
      <c r="E354" s="10">
        <f t="shared" si="22"/>
        <v>8038.9380655688392</v>
      </c>
    </row>
    <row r="355" spans="1:5">
      <c r="A355">
        <v>344</v>
      </c>
      <c r="B355" s="10">
        <f t="shared" si="23"/>
        <v>8038.9380655688392</v>
      </c>
      <c r="C355">
        <f t="shared" si="20"/>
        <v>64.103621034105899</v>
      </c>
      <c r="D355" s="6">
        <f t="shared" si="21"/>
        <v>-507.53449329542798</v>
      </c>
      <c r="E355" s="10">
        <f t="shared" si="22"/>
        <v>7595.5071933075178</v>
      </c>
    </row>
    <row r="356" spans="1:5">
      <c r="A356">
        <v>345</v>
      </c>
      <c r="B356" s="10">
        <f t="shared" si="23"/>
        <v>7595.5071933075178</v>
      </c>
      <c r="C356">
        <f t="shared" si="20"/>
        <v>60.567640988182838</v>
      </c>
      <c r="D356" s="6">
        <f t="shared" si="21"/>
        <v>-507.53449329542798</v>
      </c>
      <c r="E356" s="10">
        <f t="shared" si="22"/>
        <v>7148.5403410002727</v>
      </c>
    </row>
    <row r="357" spans="1:5">
      <c r="A357">
        <v>346</v>
      </c>
      <c r="B357" s="10">
        <f t="shared" si="23"/>
        <v>7148.5403410002727</v>
      </c>
      <c r="C357">
        <f t="shared" si="20"/>
        <v>57.003464540819778</v>
      </c>
      <c r="D357" s="6">
        <f t="shared" si="21"/>
        <v>-507.53449329542798</v>
      </c>
      <c r="E357" s="10">
        <f t="shared" si="22"/>
        <v>6698.0093122456647</v>
      </c>
    </row>
    <row r="358" spans="1:5">
      <c r="A358">
        <v>347</v>
      </c>
      <c r="B358" s="10">
        <f t="shared" si="23"/>
        <v>6698.0093122456647</v>
      </c>
      <c r="C358">
        <f t="shared" si="20"/>
        <v>53.41086684995205</v>
      </c>
      <c r="D358" s="6">
        <f t="shared" si="21"/>
        <v>-507.53449329542798</v>
      </c>
      <c r="E358" s="10">
        <f t="shared" si="22"/>
        <v>6243.8856858001891</v>
      </c>
    </row>
    <row r="359" spans="1:5">
      <c r="A359">
        <v>348</v>
      </c>
      <c r="B359" s="10">
        <f t="shared" si="23"/>
        <v>6243.8856858001891</v>
      </c>
      <c r="C359">
        <f t="shared" si="20"/>
        <v>49.789621280592797</v>
      </c>
      <c r="D359" s="6">
        <f t="shared" si="21"/>
        <v>-507.53449329542798</v>
      </c>
      <c r="E359" s="10">
        <f t="shared" si="22"/>
        <v>5786.1408137853541</v>
      </c>
    </row>
    <row r="360" spans="1:5">
      <c r="A360">
        <v>349</v>
      </c>
      <c r="B360" s="10">
        <f t="shared" si="23"/>
        <v>5786.1408137853541</v>
      </c>
      <c r="C360">
        <f t="shared" si="20"/>
        <v>46.139499390535917</v>
      </c>
      <c r="D360" s="6">
        <f t="shared" si="21"/>
        <v>-507.53449329542798</v>
      </c>
      <c r="E360" s="10">
        <f t="shared" si="22"/>
        <v>5324.7458198804625</v>
      </c>
    </row>
    <row r="361" spans="1:5">
      <c r="A361">
        <v>350</v>
      </c>
      <c r="B361" s="10">
        <f t="shared" si="23"/>
        <v>5324.7458198804625</v>
      </c>
      <c r="C361">
        <f t="shared" si="20"/>
        <v>42.460270915945117</v>
      </c>
      <c r="D361" s="6">
        <f t="shared" si="21"/>
        <v>-507.53449329542798</v>
      </c>
      <c r="E361" s="10">
        <f t="shared" si="22"/>
        <v>4859.6715975009802</v>
      </c>
    </row>
    <row r="362" spans="1:5">
      <c r="A362">
        <v>351</v>
      </c>
      <c r="B362" s="10">
        <f t="shared" si="23"/>
        <v>4859.6715975009802</v>
      </c>
      <c r="C362">
        <f t="shared" si="20"/>
        <v>38.751703756827908</v>
      </c>
      <c r="D362" s="6">
        <f t="shared" si="21"/>
        <v>-507.53449329542798</v>
      </c>
      <c r="E362" s="10">
        <f t="shared" si="22"/>
        <v>4390.8888079623803</v>
      </c>
    </row>
    <row r="363" spans="1:5">
      <c r="A363">
        <v>352</v>
      </c>
      <c r="B363" s="10">
        <f t="shared" si="23"/>
        <v>4390.8888079623803</v>
      </c>
      <c r="C363">
        <f t="shared" si="20"/>
        <v>35.013563962393874</v>
      </c>
      <c r="D363" s="6">
        <f t="shared" si="21"/>
        <v>-507.53449329542798</v>
      </c>
      <c r="E363" s="10">
        <f t="shared" si="22"/>
        <v>3918.3678786293463</v>
      </c>
    </row>
    <row r="364" spans="1:5">
      <c r="A364">
        <v>353</v>
      </c>
      <c r="B364" s="10">
        <f t="shared" si="23"/>
        <v>3918.3678786293463</v>
      </c>
      <c r="C364">
        <f t="shared" si="20"/>
        <v>31.245615716296147</v>
      </c>
      <c r="D364" s="6">
        <f t="shared" si="21"/>
        <v>-507.53449329542798</v>
      </c>
      <c r="E364" s="10">
        <f t="shared" si="22"/>
        <v>3442.0790010502142</v>
      </c>
    </row>
    <row r="365" spans="1:5">
      <c r="A365">
        <v>354</v>
      </c>
      <c r="B365" s="10">
        <f t="shared" si="23"/>
        <v>3442.0790010502142</v>
      </c>
      <c r="C365">
        <f t="shared" si="20"/>
        <v>27.447621321755197</v>
      </c>
      <c r="D365" s="6">
        <f t="shared" si="21"/>
        <v>-507.53449329542798</v>
      </c>
      <c r="E365" s="10">
        <f t="shared" si="22"/>
        <v>2961.9921290765415</v>
      </c>
    </row>
    <row r="366" spans="1:5">
      <c r="A366">
        <v>355</v>
      </c>
      <c r="B366" s="10">
        <f t="shared" si="23"/>
        <v>2961.9921290765415</v>
      </c>
      <c r="C366">
        <f t="shared" si="20"/>
        <v>23.619341186563986</v>
      </c>
      <c r="D366" s="6">
        <f t="shared" si="21"/>
        <v>-507.53449329542798</v>
      </c>
      <c r="E366" s="10">
        <f t="shared" si="22"/>
        <v>2478.0769769676772</v>
      </c>
    </row>
    <row r="367" spans="1:5">
      <c r="A367">
        <v>356</v>
      </c>
      <c r="B367" s="10">
        <f t="shared" si="23"/>
        <v>2478.0769769676772</v>
      </c>
      <c r="C367">
        <f t="shared" si="20"/>
        <v>19.760533807973577</v>
      </c>
      <c r="D367" s="6">
        <f t="shared" si="21"/>
        <v>-507.53449329542798</v>
      </c>
      <c r="E367" s="10">
        <f t="shared" si="22"/>
        <v>1990.3030174802225</v>
      </c>
    </row>
    <row r="368" spans="1:5">
      <c r="A368">
        <v>357</v>
      </c>
      <c r="B368" s="10">
        <f t="shared" si="23"/>
        <v>1990.3030174802225</v>
      </c>
      <c r="C368">
        <f t="shared" si="20"/>
        <v>15.870955757458198</v>
      </c>
      <c r="D368" s="6">
        <f t="shared" si="21"/>
        <v>-507.53449329542798</v>
      </c>
      <c r="E368" s="10">
        <f t="shared" si="22"/>
        <v>1498.6394799422528</v>
      </c>
    </row>
    <row r="369" spans="1:5">
      <c r="A369">
        <v>358</v>
      </c>
      <c r="B369" s="10">
        <f t="shared" si="23"/>
        <v>1498.6394799422528</v>
      </c>
      <c r="C369">
        <f t="shared" si="20"/>
        <v>11.95036166535883</v>
      </c>
      <c r="D369" s="6">
        <f t="shared" si="21"/>
        <v>-507.53449329542798</v>
      </c>
      <c r="E369" s="10">
        <f t="shared" si="22"/>
        <v>1003.0553483121836</v>
      </c>
    </row>
    <row r="370" spans="1:5">
      <c r="A370">
        <v>359</v>
      </c>
      <c r="B370" s="10">
        <f t="shared" si="23"/>
        <v>1003.0553483121836</v>
      </c>
      <c r="C370">
        <f t="shared" si="20"/>
        <v>7.9985042054043305</v>
      </c>
      <c r="D370" s="6">
        <f t="shared" si="21"/>
        <v>-507.53449329542798</v>
      </c>
      <c r="E370" s="10">
        <f t="shared" si="22"/>
        <v>503.51935922215989</v>
      </c>
    </row>
    <row r="371" spans="1:5">
      <c r="A371">
        <v>360</v>
      </c>
      <c r="B371" s="10">
        <f t="shared" si="23"/>
        <v>503.51935922215989</v>
      </c>
      <c r="C371">
        <f t="shared" si="20"/>
        <v>4.015134079109143</v>
      </c>
      <c r="D371" s="6">
        <f t="shared" si="21"/>
        <v>-507.53449329542798</v>
      </c>
      <c r="E371" s="10">
        <f t="shared" si="22"/>
        <v>5.8410591918800492E-9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94136-EBFC-1441-B67A-F090F8B65D7F}">
  <dimension ref="A1:B5"/>
  <sheetViews>
    <sheetView zoomScaleNormal="100" workbookViewId="0">
      <selection activeCell="B6" sqref="B6"/>
    </sheetView>
  </sheetViews>
  <sheetFormatPr baseColWidth="10" defaultRowHeight="13"/>
  <sheetData>
    <row r="1" spans="1:2">
      <c r="A1" s="1" t="s">
        <v>12</v>
      </c>
      <c r="B1">
        <v>112.5</v>
      </c>
    </row>
    <row r="2" spans="1:2">
      <c r="A2" s="1" t="s">
        <v>19</v>
      </c>
      <c r="B2">
        <v>10</v>
      </c>
    </row>
    <row r="3" spans="1:2">
      <c r="A3" s="1" t="s">
        <v>27</v>
      </c>
      <c r="B3" s="7">
        <v>0.12</v>
      </c>
    </row>
    <row r="5" spans="1:2">
      <c r="A5" s="1" t="s">
        <v>20</v>
      </c>
      <c r="B5" s="6">
        <f>PV(B3,B2,B1,0,0)</f>
        <v>-635.65009069622261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2801A-8AE0-A94B-A1D2-9B3A754DE4F4}">
  <dimension ref="A1:E57"/>
  <sheetViews>
    <sheetView zoomScaleNormal="100" workbookViewId="0">
      <selection activeCell="E6" sqref="E6"/>
    </sheetView>
  </sheetViews>
  <sheetFormatPr baseColWidth="10" defaultRowHeight="13"/>
  <sheetData>
    <row r="1" spans="1:5">
      <c r="A1" s="1" t="s">
        <v>20</v>
      </c>
      <c r="B1" s="10">
        <v>20000</v>
      </c>
    </row>
    <row r="2" spans="1:5">
      <c r="A2" s="1" t="s">
        <v>12</v>
      </c>
      <c r="B2">
        <v>500</v>
      </c>
    </row>
    <row r="3" spans="1:5">
      <c r="A3" s="1" t="s">
        <v>28</v>
      </c>
      <c r="B3">
        <v>48</v>
      </c>
    </row>
    <row r="5" spans="1:5">
      <c r="A5" s="1" t="s">
        <v>4</v>
      </c>
      <c r="D5" s="1" t="s">
        <v>6</v>
      </c>
    </row>
    <row r="6" spans="1:5">
      <c r="A6" s="1" t="s">
        <v>29</v>
      </c>
      <c r="B6" s="16">
        <f>RATE(B3,-B2,B1,0,0)</f>
        <v>7.7014724882017074E-3</v>
      </c>
      <c r="D6" s="1" t="s">
        <v>30</v>
      </c>
      <c r="E6" s="17">
        <f>(1+B6)^12-1</f>
        <v>9.6434564589338523E-2</v>
      </c>
    </row>
    <row r="7" spans="1:5">
      <c r="A7" s="1" t="s">
        <v>7</v>
      </c>
      <c r="B7" s="16">
        <f>IRR(B9:B57)</f>
        <v>7.7014724882020769E-3</v>
      </c>
    </row>
    <row r="8" spans="1:5">
      <c r="A8" s="1" t="s">
        <v>26</v>
      </c>
      <c r="B8" s="1" t="s">
        <v>12</v>
      </c>
    </row>
    <row r="9" spans="1:5">
      <c r="A9">
        <v>0</v>
      </c>
      <c r="B9" s="10">
        <f>-B1</f>
        <v>-20000</v>
      </c>
    </row>
    <row r="10" spans="1:5">
      <c r="A10">
        <v>1</v>
      </c>
      <c r="B10">
        <v>500</v>
      </c>
    </row>
    <row r="11" spans="1:5">
      <c r="A11">
        <v>2</v>
      </c>
      <c r="B11">
        <v>500</v>
      </c>
    </row>
    <row r="12" spans="1:5">
      <c r="A12">
        <v>3</v>
      </c>
      <c r="B12">
        <v>500</v>
      </c>
    </row>
    <row r="13" spans="1:5">
      <c r="A13">
        <v>4</v>
      </c>
      <c r="B13">
        <v>500</v>
      </c>
    </row>
    <row r="14" spans="1:5">
      <c r="A14">
        <v>5</v>
      </c>
      <c r="B14">
        <v>500</v>
      </c>
    </row>
    <row r="15" spans="1:5">
      <c r="A15">
        <v>6</v>
      </c>
      <c r="B15">
        <v>500</v>
      </c>
    </row>
    <row r="16" spans="1:5">
      <c r="A16">
        <v>7</v>
      </c>
      <c r="B16">
        <v>500</v>
      </c>
    </row>
    <row r="17" spans="1:2">
      <c r="A17">
        <v>8</v>
      </c>
      <c r="B17">
        <v>500</v>
      </c>
    </row>
    <row r="18" spans="1:2">
      <c r="A18">
        <v>9</v>
      </c>
      <c r="B18">
        <v>500</v>
      </c>
    </row>
    <row r="19" spans="1:2">
      <c r="A19">
        <v>10</v>
      </c>
      <c r="B19">
        <v>500</v>
      </c>
    </row>
    <row r="20" spans="1:2">
      <c r="A20">
        <v>11</v>
      </c>
      <c r="B20">
        <v>500</v>
      </c>
    </row>
    <row r="21" spans="1:2">
      <c r="A21">
        <v>12</v>
      </c>
      <c r="B21">
        <v>500</v>
      </c>
    </row>
    <row r="22" spans="1:2">
      <c r="A22">
        <v>13</v>
      </c>
      <c r="B22">
        <v>500</v>
      </c>
    </row>
    <row r="23" spans="1:2">
      <c r="A23">
        <v>14</v>
      </c>
      <c r="B23">
        <v>500</v>
      </c>
    </row>
    <row r="24" spans="1:2">
      <c r="A24">
        <v>15</v>
      </c>
      <c r="B24">
        <v>500</v>
      </c>
    </row>
    <row r="25" spans="1:2">
      <c r="A25">
        <v>16</v>
      </c>
      <c r="B25">
        <v>500</v>
      </c>
    </row>
    <row r="26" spans="1:2">
      <c r="A26">
        <v>17</v>
      </c>
      <c r="B26">
        <v>500</v>
      </c>
    </row>
    <row r="27" spans="1:2">
      <c r="A27">
        <v>18</v>
      </c>
      <c r="B27">
        <v>500</v>
      </c>
    </row>
    <row r="28" spans="1:2">
      <c r="A28">
        <v>19</v>
      </c>
      <c r="B28">
        <v>500</v>
      </c>
    </row>
    <row r="29" spans="1:2">
      <c r="A29">
        <v>20</v>
      </c>
      <c r="B29">
        <v>500</v>
      </c>
    </row>
    <row r="30" spans="1:2">
      <c r="A30">
        <v>21</v>
      </c>
      <c r="B30">
        <v>500</v>
      </c>
    </row>
    <row r="31" spans="1:2">
      <c r="A31">
        <v>22</v>
      </c>
      <c r="B31">
        <v>500</v>
      </c>
    </row>
    <row r="32" spans="1:2">
      <c r="A32">
        <v>23</v>
      </c>
      <c r="B32">
        <v>500</v>
      </c>
    </row>
    <row r="33" spans="1:2">
      <c r="A33">
        <v>24</v>
      </c>
      <c r="B33">
        <v>500</v>
      </c>
    </row>
    <row r="34" spans="1:2">
      <c r="A34">
        <v>25</v>
      </c>
      <c r="B34">
        <v>500</v>
      </c>
    </row>
    <row r="35" spans="1:2">
      <c r="A35">
        <v>26</v>
      </c>
      <c r="B35">
        <v>500</v>
      </c>
    </row>
    <row r="36" spans="1:2">
      <c r="A36">
        <v>27</v>
      </c>
      <c r="B36">
        <v>500</v>
      </c>
    </row>
    <row r="37" spans="1:2">
      <c r="A37">
        <v>28</v>
      </c>
      <c r="B37">
        <v>500</v>
      </c>
    </row>
    <row r="38" spans="1:2">
      <c r="A38">
        <v>29</v>
      </c>
      <c r="B38">
        <v>500</v>
      </c>
    </row>
    <row r="39" spans="1:2">
      <c r="A39">
        <v>30</v>
      </c>
      <c r="B39">
        <v>500</v>
      </c>
    </row>
    <row r="40" spans="1:2">
      <c r="A40">
        <v>31</v>
      </c>
      <c r="B40">
        <v>500</v>
      </c>
    </row>
    <row r="41" spans="1:2">
      <c r="A41">
        <v>32</v>
      </c>
      <c r="B41">
        <v>500</v>
      </c>
    </row>
    <row r="42" spans="1:2">
      <c r="A42">
        <v>33</v>
      </c>
      <c r="B42">
        <v>500</v>
      </c>
    </row>
    <row r="43" spans="1:2">
      <c r="A43">
        <v>34</v>
      </c>
      <c r="B43">
        <v>500</v>
      </c>
    </row>
    <row r="44" spans="1:2">
      <c r="A44">
        <v>35</v>
      </c>
      <c r="B44">
        <v>500</v>
      </c>
    </row>
    <row r="45" spans="1:2">
      <c r="A45">
        <v>36</v>
      </c>
      <c r="B45">
        <v>500</v>
      </c>
    </row>
    <row r="46" spans="1:2">
      <c r="A46">
        <v>37</v>
      </c>
      <c r="B46">
        <v>500</v>
      </c>
    </row>
    <row r="47" spans="1:2">
      <c r="A47">
        <v>38</v>
      </c>
      <c r="B47">
        <v>500</v>
      </c>
    </row>
    <row r="48" spans="1:2">
      <c r="A48">
        <v>39</v>
      </c>
      <c r="B48">
        <v>500</v>
      </c>
    </row>
    <row r="49" spans="1:2">
      <c r="A49">
        <v>40</v>
      </c>
      <c r="B49">
        <v>500</v>
      </c>
    </row>
    <row r="50" spans="1:2">
      <c r="A50">
        <v>41</v>
      </c>
      <c r="B50">
        <v>500</v>
      </c>
    </row>
    <row r="51" spans="1:2">
      <c r="A51">
        <v>42</v>
      </c>
      <c r="B51">
        <v>500</v>
      </c>
    </row>
    <row r="52" spans="1:2">
      <c r="A52">
        <v>43</v>
      </c>
      <c r="B52">
        <v>500</v>
      </c>
    </row>
    <row r="53" spans="1:2">
      <c r="A53">
        <v>44</v>
      </c>
      <c r="B53">
        <v>500</v>
      </c>
    </row>
    <row r="54" spans="1:2">
      <c r="A54">
        <v>45</v>
      </c>
      <c r="B54">
        <v>500</v>
      </c>
    </row>
    <row r="55" spans="1:2">
      <c r="A55">
        <v>46</v>
      </c>
      <c r="B55">
        <v>500</v>
      </c>
    </row>
    <row r="56" spans="1:2">
      <c r="A56">
        <v>47</v>
      </c>
      <c r="B56">
        <v>500</v>
      </c>
    </row>
    <row r="57" spans="1:2">
      <c r="A57">
        <v>48</v>
      </c>
      <c r="B57">
        <v>500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7542-E759-D441-B02D-6DFE2EA20A2B}">
  <dimension ref="A1:E29"/>
  <sheetViews>
    <sheetView zoomScaleNormal="100" workbookViewId="0">
      <selection activeCell="D7" sqref="D7:D16"/>
    </sheetView>
  </sheetViews>
  <sheetFormatPr baseColWidth="10" defaultRowHeight="13"/>
  <cols>
    <col min="1" max="1" width="6.83203125" bestFit="1" customWidth="1"/>
    <col min="2" max="2" width="23.6640625" bestFit="1" customWidth="1"/>
    <col min="3" max="3" width="7.6640625" bestFit="1" customWidth="1"/>
    <col min="4" max="4" width="10.5" bestFit="1" customWidth="1"/>
    <col min="5" max="5" width="25.5" bestFit="1" customWidth="1"/>
  </cols>
  <sheetData>
    <row r="1" spans="1:5">
      <c r="A1" s="1" t="s">
        <v>20</v>
      </c>
      <c r="B1" s="10">
        <v>12000</v>
      </c>
    </row>
    <row r="2" spans="1:5">
      <c r="A2" s="1" t="s">
        <v>27</v>
      </c>
      <c r="B2" s="7">
        <v>0.06</v>
      </c>
    </row>
    <row r="3" spans="1:5">
      <c r="A3" s="1" t="s">
        <v>12</v>
      </c>
      <c r="B3">
        <v>2000</v>
      </c>
    </row>
    <row r="5" spans="1:5">
      <c r="A5" s="1" t="s">
        <v>21</v>
      </c>
      <c r="B5">
        <f>NPER(B2,-B3,B1,0,0)</f>
        <v>7.6590949958917527</v>
      </c>
    </row>
    <row r="6" spans="1:5">
      <c r="A6" s="1" t="s">
        <v>2</v>
      </c>
      <c r="B6" s="1" t="s">
        <v>31</v>
      </c>
      <c r="C6" s="1" t="s">
        <v>23</v>
      </c>
      <c r="D6" s="1" t="s">
        <v>24</v>
      </c>
      <c r="E6" s="1" t="s">
        <v>32</v>
      </c>
    </row>
    <row r="7" spans="1:5">
      <c r="A7">
        <v>1</v>
      </c>
      <c r="B7" s="10">
        <f>B1</f>
        <v>12000</v>
      </c>
      <c r="C7">
        <f>B7*$B$2</f>
        <v>720</v>
      </c>
      <c r="D7" s="6">
        <f>-$B$3</f>
        <v>-2000</v>
      </c>
      <c r="E7" s="10">
        <f>SUM(B7:D7)</f>
        <v>10720</v>
      </c>
    </row>
    <row r="8" spans="1:5">
      <c r="A8">
        <v>2</v>
      </c>
      <c r="B8" s="10">
        <f>E7</f>
        <v>10720</v>
      </c>
      <c r="C8">
        <f t="shared" ref="C8:C16" si="0">B8*$B$2</f>
        <v>643.19999999999993</v>
      </c>
      <c r="D8" s="6">
        <f t="shared" ref="D8:D16" si="1">-$B$3</f>
        <v>-2000</v>
      </c>
      <c r="E8" s="10">
        <f t="shared" ref="E8:E16" si="2">SUM(B8:D8)</f>
        <v>9363.2000000000007</v>
      </c>
    </row>
    <row r="9" spans="1:5">
      <c r="A9">
        <v>3</v>
      </c>
      <c r="B9" s="10">
        <f t="shared" ref="B9:B29" si="3">E8</f>
        <v>9363.2000000000007</v>
      </c>
      <c r="C9">
        <f t="shared" si="0"/>
        <v>561.79200000000003</v>
      </c>
      <c r="D9" s="6">
        <f t="shared" si="1"/>
        <v>-2000</v>
      </c>
      <c r="E9" s="10">
        <f t="shared" si="2"/>
        <v>7924.9920000000002</v>
      </c>
    </row>
    <row r="10" spans="1:5">
      <c r="A10">
        <v>4</v>
      </c>
      <c r="B10" s="10">
        <f t="shared" si="3"/>
        <v>7924.9920000000002</v>
      </c>
      <c r="C10">
        <f t="shared" si="0"/>
        <v>475.49952000000002</v>
      </c>
      <c r="D10" s="6">
        <f t="shared" si="1"/>
        <v>-2000</v>
      </c>
      <c r="E10" s="10">
        <f t="shared" si="2"/>
        <v>6400.4915199999996</v>
      </c>
    </row>
    <row r="11" spans="1:5">
      <c r="A11">
        <v>5</v>
      </c>
      <c r="B11" s="10">
        <f t="shared" si="3"/>
        <v>6400.4915199999996</v>
      </c>
      <c r="C11">
        <f t="shared" si="0"/>
        <v>384.02949119999994</v>
      </c>
      <c r="D11" s="6">
        <f t="shared" si="1"/>
        <v>-2000</v>
      </c>
      <c r="E11" s="10">
        <f t="shared" si="2"/>
        <v>4784.5210111999995</v>
      </c>
    </row>
    <row r="12" spans="1:5">
      <c r="A12">
        <v>6</v>
      </c>
      <c r="B12" s="10">
        <f t="shared" si="3"/>
        <v>4784.5210111999995</v>
      </c>
      <c r="C12">
        <f t="shared" si="0"/>
        <v>287.07126067199994</v>
      </c>
      <c r="D12" s="6">
        <f t="shared" si="1"/>
        <v>-2000</v>
      </c>
      <c r="E12" s="10">
        <f t="shared" si="2"/>
        <v>3071.5922718719994</v>
      </c>
    </row>
    <row r="13" spans="1:5">
      <c r="A13">
        <v>7</v>
      </c>
      <c r="B13" s="10">
        <f t="shared" si="3"/>
        <v>3071.5922718719994</v>
      </c>
      <c r="C13">
        <f t="shared" si="0"/>
        <v>184.29553631231997</v>
      </c>
      <c r="D13" s="6">
        <f t="shared" si="1"/>
        <v>-2000</v>
      </c>
      <c r="E13" s="10">
        <f t="shared" si="2"/>
        <v>1255.8878081843195</v>
      </c>
    </row>
    <row r="14" spans="1:5">
      <c r="A14">
        <v>8</v>
      </c>
      <c r="B14" s="10">
        <f t="shared" si="3"/>
        <v>1255.8878081843195</v>
      </c>
      <c r="C14">
        <f t="shared" si="0"/>
        <v>75.353268491059168</v>
      </c>
      <c r="D14" s="6">
        <f t="shared" si="1"/>
        <v>-2000</v>
      </c>
      <c r="E14" s="10">
        <f t="shared" si="2"/>
        <v>-668.75892332462126</v>
      </c>
    </row>
    <row r="15" spans="1:5">
      <c r="A15">
        <v>9</v>
      </c>
      <c r="B15" s="10">
        <f t="shared" si="3"/>
        <v>-668.75892332462126</v>
      </c>
      <c r="C15">
        <f t="shared" si="0"/>
        <v>-40.125535399477272</v>
      </c>
      <c r="D15" s="6">
        <f t="shared" si="1"/>
        <v>-2000</v>
      </c>
      <c r="E15" s="10">
        <f t="shared" si="2"/>
        <v>-2708.8844587240983</v>
      </c>
    </row>
    <row r="16" spans="1:5">
      <c r="A16">
        <v>10</v>
      </c>
      <c r="B16" s="10">
        <f t="shared" si="3"/>
        <v>-2708.8844587240983</v>
      </c>
      <c r="C16">
        <f t="shared" si="0"/>
        <v>-162.53306752344588</v>
      </c>
      <c r="D16" s="6">
        <f t="shared" si="1"/>
        <v>-2000</v>
      </c>
      <c r="E16" s="10">
        <f t="shared" si="2"/>
        <v>-4871.4175262475437</v>
      </c>
    </row>
    <row r="17" spans="2:5">
      <c r="B17" s="10"/>
      <c r="D17" s="6"/>
      <c r="E17" s="10"/>
    </row>
    <row r="18" spans="2:5">
      <c r="B18" s="10"/>
      <c r="D18" s="6"/>
      <c r="E18" s="10"/>
    </row>
    <row r="19" spans="2:5">
      <c r="B19" s="10"/>
      <c r="D19" s="6"/>
      <c r="E19" s="10"/>
    </row>
    <row r="20" spans="2:5">
      <c r="B20" s="10"/>
      <c r="D20" s="6"/>
      <c r="E20" s="10"/>
    </row>
    <row r="21" spans="2:5">
      <c r="B21" s="10"/>
      <c r="D21" s="6"/>
      <c r="E21" s="10"/>
    </row>
    <row r="22" spans="2:5">
      <c r="B22" s="10"/>
      <c r="D22" s="6"/>
      <c r="E22" s="10"/>
    </row>
    <row r="23" spans="2:5">
      <c r="B23" s="10"/>
      <c r="D23" s="6"/>
      <c r="E23" s="10"/>
    </row>
    <row r="24" spans="2:5">
      <c r="B24" s="10"/>
      <c r="D24" s="6"/>
      <c r="E24" s="10"/>
    </row>
    <row r="25" spans="2:5">
      <c r="B25" s="10"/>
      <c r="D25" s="6"/>
      <c r="E25" s="10"/>
    </row>
    <row r="26" spans="2:5">
      <c r="B26" s="10"/>
      <c r="D26" s="6"/>
      <c r="E26" s="10"/>
    </row>
    <row r="27" spans="2:5">
      <c r="B27" s="10"/>
      <c r="D27" s="6"/>
      <c r="E27" s="10"/>
    </row>
    <row r="28" spans="2:5">
      <c r="B28" s="10"/>
      <c r="D28" s="6"/>
      <c r="E28" s="10"/>
    </row>
    <row r="29" spans="2:5">
      <c r="B29" s="10"/>
      <c r="D29" s="6"/>
      <c r="E29" s="10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BC2FE-E8AE-8143-8001-125FA58E7062}">
  <dimension ref="A1:B9"/>
  <sheetViews>
    <sheetView zoomScaleNormal="100" workbookViewId="0">
      <selection activeCell="B6" sqref="B6"/>
    </sheetView>
  </sheetViews>
  <sheetFormatPr baseColWidth="10" defaultRowHeight="13"/>
  <sheetData>
    <row r="1" spans="1:2">
      <c r="A1" s="1" t="s">
        <v>27</v>
      </c>
      <c r="B1" s="7">
        <v>0.03</v>
      </c>
    </row>
    <row r="2" spans="1:2">
      <c r="A2" s="1" t="s">
        <v>20</v>
      </c>
      <c r="B2" s="10">
        <v>100000</v>
      </c>
    </row>
    <row r="3" spans="1:2">
      <c r="A3" s="1" t="s">
        <v>19</v>
      </c>
      <c r="B3">
        <v>10</v>
      </c>
    </row>
    <row r="5" spans="1:2">
      <c r="A5" s="1" t="s">
        <v>4</v>
      </c>
    </row>
    <row r="6" spans="1:2">
      <c r="A6" s="1" t="s">
        <v>33</v>
      </c>
      <c r="B6">
        <f>B2*EXP(B3*B1)</f>
        <v>134985.88075760033</v>
      </c>
    </row>
    <row r="8" spans="1:2">
      <c r="A8" s="1" t="s">
        <v>6</v>
      </c>
    </row>
    <row r="9" spans="1:2">
      <c r="A9" s="1" t="s">
        <v>34</v>
      </c>
      <c r="B9" s="18">
        <f>(B6/B2)^(1/B3)-1</f>
        <v>3.0454533953516938E-2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742A2-4FA8-E84D-8CB4-BDBCF0A568E0}">
  <dimension ref="A1:B5"/>
  <sheetViews>
    <sheetView zoomScaleNormal="100" workbookViewId="0">
      <selection activeCell="B6" sqref="B6"/>
    </sheetView>
  </sheetViews>
  <sheetFormatPr baseColWidth="10" defaultRowHeight="13"/>
  <sheetData>
    <row r="1" spans="1:2">
      <c r="A1" s="1" t="s">
        <v>27</v>
      </c>
      <c r="B1" s="8">
        <v>5.1999999999999998E-2</v>
      </c>
    </row>
    <row r="2" spans="1:2">
      <c r="A2" s="1" t="s">
        <v>20</v>
      </c>
      <c r="B2" s="10">
        <v>25000</v>
      </c>
    </row>
    <row r="3" spans="1:2">
      <c r="A3" s="1" t="s">
        <v>35</v>
      </c>
      <c r="B3">
        <f>3+4/12</f>
        <v>3.3333333333333335</v>
      </c>
    </row>
    <row r="5" spans="1:2">
      <c r="A5" s="1" t="s">
        <v>33</v>
      </c>
      <c r="B5">
        <f>B2*EXP(B1*B3)</f>
        <v>29731.561496029579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57BBB-58F8-B04B-B680-0FDD87EA0FD0}">
  <dimension ref="A1:C11"/>
  <sheetViews>
    <sheetView zoomScaleNormal="100" workbookViewId="0">
      <selection activeCell="C6" sqref="C6"/>
    </sheetView>
  </sheetViews>
  <sheetFormatPr baseColWidth="10" defaultRowHeight="13"/>
  <sheetData>
    <row r="1" spans="1:3">
      <c r="A1" s="1" t="s">
        <v>36</v>
      </c>
      <c r="B1" s="7">
        <v>0.15</v>
      </c>
    </row>
    <row r="3" spans="1:3">
      <c r="A3" s="1" t="s">
        <v>37</v>
      </c>
      <c r="B3" s="1" t="s">
        <v>3</v>
      </c>
    </row>
    <row r="4" spans="1:3">
      <c r="A4">
        <v>1</v>
      </c>
      <c r="B4" s="10">
        <v>15000</v>
      </c>
      <c r="C4">
        <f>B4/EXP($B$1*A4)</f>
        <v>12910.619646375868</v>
      </c>
    </row>
    <row r="5" spans="1:3">
      <c r="A5">
        <v>2</v>
      </c>
      <c r="B5" s="10">
        <v>22000</v>
      </c>
      <c r="C5">
        <f t="shared" ref="C5:C10" si="0">B5/EXP($B$1*A5)</f>
        <v>16298.000854997792</v>
      </c>
    </row>
    <row r="6" spans="1:3">
      <c r="A6">
        <v>3</v>
      </c>
      <c r="B6">
        <v>14750</v>
      </c>
      <c r="C6">
        <f t="shared" si="0"/>
        <v>9405.0152364211572</v>
      </c>
    </row>
    <row r="7" spans="1:3">
      <c r="A7">
        <v>4</v>
      </c>
      <c r="B7">
        <v>3222</v>
      </c>
      <c r="C7">
        <f t="shared" si="0"/>
        <v>1768.2710914949532</v>
      </c>
    </row>
    <row r="8" spans="1:3">
      <c r="A8">
        <v>5</v>
      </c>
      <c r="B8">
        <v>6333</v>
      </c>
      <c r="C8">
        <f t="shared" si="0"/>
        <v>2991.4973785088459</v>
      </c>
    </row>
    <row r="9" spans="1:3">
      <c r="A9">
        <v>6</v>
      </c>
      <c r="B9" s="10">
        <v>18000</v>
      </c>
      <c r="C9">
        <f t="shared" si="0"/>
        <v>7318.2538753307845</v>
      </c>
    </row>
    <row r="10" spans="1:3">
      <c r="A10">
        <v>7</v>
      </c>
      <c r="B10" s="10">
        <v>280000</v>
      </c>
      <c r="C10">
        <f t="shared" si="0"/>
        <v>97982.56975112349</v>
      </c>
    </row>
    <row r="11" spans="1:3">
      <c r="B11" s="1" t="s">
        <v>20</v>
      </c>
      <c r="C11">
        <f>SUM(C4:C10)</f>
        <v>148674.22783425287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DC1BD-8784-C649-ABF5-71C92F943472}">
  <dimension ref="A1:D11"/>
  <sheetViews>
    <sheetView zoomScaleNormal="100" workbookViewId="0">
      <selection activeCell="D12" sqref="D12"/>
    </sheetView>
  </sheetViews>
  <sheetFormatPr baseColWidth="10" defaultRowHeight="13"/>
  <cols>
    <col min="1" max="1" width="35.5" bestFit="1" customWidth="1"/>
    <col min="3" max="3" width="18" bestFit="1" customWidth="1"/>
  </cols>
  <sheetData>
    <row r="1" spans="1:4">
      <c r="A1" s="1" t="s">
        <v>38</v>
      </c>
      <c r="B1" s="7">
        <v>0.15</v>
      </c>
    </row>
    <row r="2" spans="1:4">
      <c r="A2" s="1" t="s">
        <v>39</v>
      </c>
      <c r="B2" s="19">
        <v>38718</v>
      </c>
    </row>
    <row r="3" spans="1:4">
      <c r="A3" s="1" t="s">
        <v>0</v>
      </c>
      <c r="B3" s="1" t="s">
        <v>40</v>
      </c>
      <c r="C3" s="1" t="s">
        <v>41</v>
      </c>
      <c r="D3" s="1" t="s">
        <v>20</v>
      </c>
    </row>
    <row r="4" spans="1:4">
      <c r="A4" s="19">
        <v>38748</v>
      </c>
      <c r="B4" s="10">
        <v>15000</v>
      </c>
      <c r="C4" s="20">
        <f>YEARFRAC($B$2,A4,1)</f>
        <v>8.2191780821917804E-2</v>
      </c>
      <c r="D4">
        <f>B4/EXP($B$1*C4)</f>
        <v>14816.203811410485</v>
      </c>
    </row>
    <row r="5" spans="1:4">
      <c r="A5" s="19">
        <v>39113</v>
      </c>
      <c r="B5" s="10">
        <v>22000</v>
      </c>
      <c r="C5" s="20">
        <f t="shared" ref="C5:C10" si="0">YEARFRAC($B$2,A5,1)</f>
        <v>1.0821917808219179</v>
      </c>
      <c r="D5">
        <f t="shared" ref="D5:D10" si="1">B5/EXP($B$1*C5)</f>
        <v>18703.556374536507</v>
      </c>
    </row>
    <row r="6" spans="1:4">
      <c r="A6" s="19">
        <v>39280</v>
      </c>
      <c r="B6" s="10">
        <v>14750</v>
      </c>
      <c r="C6" s="20">
        <f t="shared" si="0"/>
        <v>1.5397260273972602</v>
      </c>
      <c r="D6">
        <f t="shared" si="1"/>
        <v>11708.138270500473</v>
      </c>
    </row>
    <row r="7" spans="1:4">
      <c r="A7" s="19">
        <v>39447</v>
      </c>
      <c r="B7" s="10">
        <v>3222</v>
      </c>
      <c r="C7" s="20">
        <f t="shared" si="0"/>
        <v>1.9972602739726026</v>
      </c>
      <c r="D7">
        <f t="shared" si="1"/>
        <v>2387.8974331336808</v>
      </c>
    </row>
    <row r="8" spans="1:4">
      <c r="A8" s="19">
        <v>39521</v>
      </c>
      <c r="B8" s="10">
        <v>6333</v>
      </c>
      <c r="C8" s="20">
        <f t="shared" si="0"/>
        <v>2.1979927007299271</v>
      </c>
      <c r="D8">
        <f t="shared" si="1"/>
        <v>4554.3150784021391</v>
      </c>
    </row>
    <row r="9" spans="1:4">
      <c r="A9" s="19">
        <v>39763</v>
      </c>
      <c r="B9" s="10">
        <v>18000</v>
      </c>
      <c r="C9" s="20">
        <f t="shared" si="0"/>
        <v>2.8604014598540148</v>
      </c>
      <c r="D9">
        <f t="shared" si="1"/>
        <v>11720.172927170725</v>
      </c>
    </row>
    <row r="10" spans="1:4">
      <c r="A10" s="19">
        <v>39885</v>
      </c>
      <c r="B10" s="10">
        <v>280000</v>
      </c>
      <c r="C10" s="20">
        <f t="shared" si="0"/>
        <v>3.1950718685831623</v>
      </c>
      <c r="D10">
        <f t="shared" si="1"/>
        <v>173387.47378248847</v>
      </c>
    </row>
    <row r="11" spans="1:4">
      <c r="C11" s="1" t="s">
        <v>5</v>
      </c>
      <c r="D11">
        <f>SUM(D4:D10)</f>
        <v>237277.75767764248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910E1-5342-7B45-930E-30450B92309B}">
  <dimension ref="A1:B5"/>
  <sheetViews>
    <sheetView zoomScaleNormal="100" workbookViewId="0">
      <selection activeCell="C5" sqref="C5"/>
    </sheetView>
  </sheetViews>
  <sheetFormatPr baseColWidth="10" defaultRowHeight="13"/>
  <cols>
    <col min="1" max="1" width="27.33203125" bestFit="1" customWidth="1"/>
  </cols>
  <sheetData>
    <row r="1" spans="1:2">
      <c r="A1" s="1" t="s">
        <v>42</v>
      </c>
      <c r="B1">
        <v>1000</v>
      </c>
    </row>
    <row r="2" spans="1:2">
      <c r="A2" s="1" t="s">
        <v>43</v>
      </c>
      <c r="B2">
        <v>1100</v>
      </c>
    </row>
    <row r="4" spans="1:2">
      <c r="A4" s="1" t="s">
        <v>44</v>
      </c>
      <c r="B4" s="14">
        <f>B2/B1-1</f>
        <v>0.10000000000000009</v>
      </c>
    </row>
    <row r="5" spans="1:2">
      <c r="A5" s="1" t="s">
        <v>45</v>
      </c>
      <c r="B5" s="15">
        <f>LN(B2/B1)</f>
        <v>9.5310179804324935E-2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7A687-7C28-B048-BAE5-7E8DCC3EF1DB}">
  <dimension ref="A1:D12"/>
  <sheetViews>
    <sheetView zoomScaleNormal="100" workbookViewId="0">
      <selection activeCell="D12" sqref="D12"/>
    </sheetView>
  </sheetViews>
  <sheetFormatPr baseColWidth="10" defaultRowHeight="13"/>
  <cols>
    <col min="2" max="2" width="11.83203125" bestFit="1" customWidth="1"/>
    <col min="3" max="3" width="13" bestFit="1" customWidth="1"/>
  </cols>
  <sheetData>
    <row r="1" spans="1:4" ht="14">
      <c r="A1" s="1" t="s">
        <v>0</v>
      </c>
      <c r="B1" s="21" t="s">
        <v>46</v>
      </c>
      <c r="C1" s="21" t="s">
        <v>47</v>
      </c>
      <c r="D1" s="21" t="s">
        <v>48</v>
      </c>
    </row>
    <row r="2" spans="1:4">
      <c r="A2" s="22">
        <v>32905</v>
      </c>
      <c r="C2">
        <v>103.87</v>
      </c>
    </row>
    <row r="3" spans="1:4">
      <c r="A3" s="22">
        <v>32994</v>
      </c>
      <c r="B3">
        <v>1.21</v>
      </c>
      <c r="C3">
        <v>120</v>
      </c>
      <c r="D3" s="15">
        <f>C3/C2-1</f>
        <v>0.15529026667950308</v>
      </c>
    </row>
    <row r="4" spans="1:4">
      <c r="A4" s="22">
        <v>33086</v>
      </c>
      <c r="B4">
        <v>1.21</v>
      </c>
      <c r="C4">
        <v>101.87</v>
      </c>
      <c r="D4" s="15">
        <f t="shared" ref="D4:D10" si="0">C4/C3-1</f>
        <v>-0.15108333333333335</v>
      </c>
    </row>
    <row r="5" spans="1:4">
      <c r="A5" s="22">
        <v>33178</v>
      </c>
      <c r="B5">
        <v>1.21</v>
      </c>
      <c r="C5">
        <v>113.62</v>
      </c>
      <c r="D5" s="15">
        <f t="shared" si="0"/>
        <v>0.11534308432315687</v>
      </c>
    </row>
    <row r="6" spans="1:4">
      <c r="A6" s="22">
        <v>33270</v>
      </c>
      <c r="B6">
        <v>1.21</v>
      </c>
      <c r="C6">
        <v>128.75</v>
      </c>
      <c r="D6" s="15">
        <f t="shared" si="0"/>
        <v>0.13316317549727152</v>
      </c>
    </row>
    <row r="7" spans="1:4">
      <c r="A7" s="22">
        <v>33359</v>
      </c>
      <c r="B7">
        <v>1.21</v>
      </c>
      <c r="C7">
        <v>106.12</v>
      </c>
      <c r="D7" s="15">
        <f t="shared" si="0"/>
        <v>-0.17576699029126208</v>
      </c>
    </row>
    <row r="8" spans="1:4">
      <c r="A8" s="22">
        <v>33451</v>
      </c>
      <c r="B8">
        <v>1.21</v>
      </c>
      <c r="C8">
        <v>96.87</v>
      </c>
      <c r="D8" s="15">
        <f t="shared" si="0"/>
        <v>-8.7165473049378051E-2</v>
      </c>
    </row>
    <row r="9" spans="1:4">
      <c r="A9" s="22">
        <v>33543</v>
      </c>
      <c r="B9">
        <v>1.21</v>
      </c>
      <c r="C9">
        <v>92.5</v>
      </c>
      <c r="D9" s="15">
        <f t="shared" si="0"/>
        <v>-4.5112005780943543E-2</v>
      </c>
    </row>
    <row r="10" spans="1:4">
      <c r="A10" s="22">
        <v>33635</v>
      </c>
      <c r="B10">
        <v>1.21</v>
      </c>
      <c r="C10">
        <v>86.87</v>
      </c>
      <c r="D10" s="15">
        <f t="shared" si="0"/>
        <v>-6.0864864864864865E-2</v>
      </c>
    </row>
    <row r="12" spans="1:4">
      <c r="C12" s="1" t="s">
        <v>49</v>
      </c>
      <c r="D12" s="23">
        <f>SUMIF(D3:D10,"&gt;25%",B3:B10)</f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F0027-04FD-924F-AEFC-929AD3D4E2F3}">
  <dimension ref="A1:C6"/>
  <sheetViews>
    <sheetView zoomScaleNormal="100" workbookViewId="0">
      <selection activeCell="C6" sqref="C6"/>
    </sheetView>
  </sheetViews>
  <sheetFormatPr baseColWidth="10" defaultRowHeight="13"/>
  <cols>
    <col min="2" max="2" width="20.5" bestFit="1" customWidth="1"/>
  </cols>
  <sheetData>
    <row r="1" spans="1:3" ht="14">
      <c r="A1" s="1" t="s">
        <v>50</v>
      </c>
      <c r="B1" s="21" t="s">
        <v>51</v>
      </c>
      <c r="C1" s="1" t="s">
        <v>48</v>
      </c>
    </row>
    <row r="2" spans="1:3">
      <c r="A2" s="1" t="s">
        <v>52</v>
      </c>
      <c r="B2" s="7">
        <v>0.4</v>
      </c>
      <c r="C2" s="7">
        <v>0.15</v>
      </c>
    </row>
    <row r="3" spans="1:3">
      <c r="A3" s="1" t="s">
        <v>53</v>
      </c>
      <c r="B3" s="7">
        <v>0.25</v>
      </c>
      <c r="C3" s="7">
        <v>0.22</v>
      </c>
    </row>
    <row r="4" spans="1:3">
      <c r="A4" s="1" t="s">
        <v>54</v>
      </c>
      <c r="B4" s="7">
        <v>0.35</v>
      </c>
      <c r="C4" s="7">
        <v>0.13</v>
      </c>
    </row>
    <row r="6" spans="1:3">
      <c r="B6" s="1" t="s">
        <v>55</v>
      </c>
      <c r="C6" s="17">
        <f>SUMPRODUCT(B2:B4,C2:C4)</f>
        <v>0.16049999999999998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85B0A-00D2-B946-B1F3-F40D9B3B33A4}">
  <dimension ref="A1:C18"/>
  <sheetViews>
    <sheetView zoomScaleNormal="100" workbookViewId="0">
      <selection activeCell="B10" sqref="B10"/>
    </sheetView>
  </sheetViews>
  <sheetFormatPr baseColWidth="10" defaultRowHeight="13"/>
  <cols>
    <col min="2" max="2" width="13" customWidth="1"/>
  </cols>
  <sheetData>
    <row r="1" spans="1:3" ht="14">
      <c r="A1" s="1" t="s">
        <v>56</v>
      </c>
      <c r="B1" s="21" t="s">
        <v>57</v>
      </c>
      <c r="C1" s="1" t="s">
        <v>58</v>
      </c>
    </row>
    <row r="2" spans="1:3">
      <c r="A2" s="1" t="s">
        <v>59</v>
      </c>
      <c r="B2">
        <v>85</v>
      </c>
      <c r="C2" t="str">
        <f>VLOOKUP(B2,$A$14:$B$18,2)</f>
        <v>A</v>
      </c>
    </row>
    <row r="3" spans="1:3">
      <c r="A3" s="1" t="s">
        <v>60</v>
      </c>
      <c r="B3">
        <v>68</v>
      </c>
      <c r="C3" t="str">
        <f t="shared" ref="C3:C11" si="0">VLOOKUP(B3,$A$14:$B$18,2)</f>
        <v>C</v>
      </c>
    </row>
    <row r="4" spans="1:3">
      <c r="A4" s="1" t="s">
        <v>61</v>
      </c>
      <c r="B4">
        <v>72</v>
      </c>
      <c r="C4" t="str">
        <f t="shared" si="0"/>
        <v>B</v>
      </c>
    </row>
    <row r="5" spans="1:3">
      <c r="A5" s="1" t="s">
        <v>62</v>
      </c>
      <c r="B5">
        <v>100</v>
      </c>
      <c r="C5" t="str">
        <f t="shared" si="0"/>
        <v>A</v>
      </c>
    </row>
    <row r="6" spans="1:3">
      <c r="A6" s="1" t="s">
        <v>63</v>
      </c>
      <c r="B6">
        <v>57</v>
      </c>
      <c r="C6" t="str">
        <f t="shared" si="0"/>
        <v>D</v>
      </c>
    </row>
    <row r="7" spans="1:3">
      <c r="A7" s="1" t="s">
        <v>64</v>
      </c>
      <c r="B7">
        <v>91</v>
      </c>
      <c r="C7" t="str">
        <f t="shared" si="0"/>
        <v>A</v>
      </c>
    </row>
    <row r="8" spans="1:3">
      <c r="A8" s="1" t="s">
        <v>65</v>
      </c>
      <c r="B8">
        <v>78</v>
      </c>
      <c r="C8" t="str">
        <f t="shared" si="0"/>
        <v>B</v>
      </c>
    </row>
    <row r="9" spans="1:3">
      <c r="A9" s="1" t="s">
        <v>66</v>
      </c>
      <c r="B9">
        <v>81</v>
      </c>
      <c r="C9" t="str">
        <f t="shared" si="0"/>
        <v>B</v>
      </c>
    </row>
    <row r="10" spans="1:3">
      <c r="A10" s="1" t="s">
        <v>67</v>
      </c>
      <c r="B10">
        <v>45</v>
      </c>
      <c r="C10" t="str">
        <f t="shared" si="0"/>
        <v>F</v>
      </c>
    </row>
    <row r="11" spans="1:3">
      <c r="A11" s="1" t="s">
        <v>68</v>
      </c>
      <c r="B11">
        <v>93</v>
      </c>
      <c r="C11" t="str">
        <f t="shared" si="0"/>
        <v>A</v>
      </c>
    </row>
    <row r="13" spans="1:3">
      <c r="A13" s="1" t="s">
        <v>69</v>
      </c>
    </row>
    <row r="14" spans="1:3">
      <c r="A14" s="1">
        <v>0</v>
      </c>
      <c r="B14" s="1" t="s">
        <v>70</v>
      </c>
    </row>
    <row r="15" spans="1:3">
      <c r="A15" s="1">
        <v>50</v>
      </c>
      <c r="B15" s="1" t="s">
        <v>71</v>
      </c>
    </row>
    <row r="16" spans="1:3">
      <c r="A16" s="1">
        <v>60</v>
      </c>
      <c r="B16" s="1" t="s">
        <v>54</v>
      </c>
    </row>
    <row r="17" spans="1:2">
      <c r="A17" s="1">
        <v>70</v>
      </c>
      <c r="B17" s="1" t="s">
        <v>53</v>
      </c>
    </row>
    <row r="18" spans="1:2">
      <c r="A18" s="1">
        <v>85</v>
      </c>
      <c r="B18" s="1" t="s">
        <v>52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B0B2A-B672-9745-9233-9125954A043E}">
  <dimension ref="A1:B18"/>
  <sheetViews>
    <sheetView zoomScaleNormal="100" workbookViewId="0">
      <selection sqref="A1:B1"/>
    </sheetView>
  </sheetViews>
  <sheetFormatPr baseColWidth="10" defaultRowHeight="13"/>
  <cols>
    <col min="1" max="1" width="34.83203125" bestFit="1" customWidth="1"/>
  </cols>
  <sheetData>
    <row r="1" spans="1:2" ht="28" customHeight="1">
      <c r="A1" s="24" t="s">
        <v>72</v>
      </c>
      <c r="B1" s="24"/>
    </row>
    <row r="2" spans="1:2">
      <c r="A2" s="1" t="s">
        <v>73</v>
      </c>
      <c r="B2">
        <v>81.63</v>
      </c>
    </row>
    <row r="3" spans="1:2">
      <c r="A3" s="1" t="s">
        <v>74</v>
      </c>
      <c r="B3">
        <v>32.99</v>
      </c>
    </row>
    <row r="4" spans="1:2">
      <c r="A4" s="1" t="s">
        <v>75</v>
      </c>
      <c r="B4">
        <v>49.15</v>
      </c>
    </row>
    <row r="5" spans="1:2">
      <c r="A5" s="1" t="s">
        <v>76</v>
      </c>
      <c r="B5">
        <v>50.07</v>
      </c>
    </row>
    <row r="6" spans="1:2">
      <c r="A6" s="1" t="s">
        <v>77</v>
      </c>
      <c r="B6">
        <v>70.959999999999994</v>
      </c>
    </row>
    <row r="7" spans="1:2">
      <c r="A7" s="1" t="s">
        <v>78</v>
      </c>
      <c r="B7">
        <v>52.08</v>
      </c>
    </row>
    <row r="8" spans="1:2">
      <c r="A8" s="1" t="s">
        <v>79</v>
      </c>
      <c r="B8">
        <v>73.739999999999995</v>
      </c>
    </row>
    <row r="9" spans="1:2">
      <c r="A9" s="1" t="s">
        <v>80</v>
      </c>
      <c r="B9">
        <v>46.75</v>
      </c>
    </row>
    <row r="10" spans="1:2">
      <c r="A10" s="1" t="s">
        <v>81</v>
      </c>
      <c r="B10">
        <v>42.6</v>
      </c>
    </row>
    <row r="12" spans="1:2">
      <c r="A12" s="1" t="s">
        <v>82</v>
      </c>
      <c r="B12">
        <f>AVERAGE(B2:B10)</f>
        <v>55.552222222222227</v>
      </c>
    </row>
    <row r="13" spans="1:2">
      <c r="A13" s="1" t="s">
        <v>83</v>
      </c>
      <c r="B13">
        <f>MEDIAN(B2:B10)</f>
        <v>50.07</v>
      </c>
    </row>
    <row r="14" spans="1:2">
      <c r="A14" s="1" t="s">
        <v>84</v>
      </c>
      <c r="B14">
        <f>LARGE(B2:B10,1)</f>
        <v>81.63</v>
      </c>
    </row>
    <row r="15" spans="1:2">
      <c r="A15" s="1" t="s">
        <v>85</v>
      </c>
      <c r="B15">
        <f>MAX(B2:B10)</f>
        <v>81.63</v>
      </c>
    </row>
    <row r="16" spans="1:2">
      <c r="A16" s="1" t="s">
        <v>84</v>
      </c>
      <c r="B16">
        <f>LARGE(B2:B10,9)</f>
        <v>32.99</v>
      </c>
    </row>
    <row r="17" spans="1:2">
      <c r="A17" s="1" t="s">
        <v>86</v>
      </c>
      <c r="B17">
        <f>MIN(B2:B10)</f>
        <v>32.99</v>
      </c>
    </row>
    <row r="18" spans="1:2">
      <c r="A18" s="1" t="s">
        <v>87</v>
      </c>
      <c r="B18">
        <f>_xlfn.RANK.EQ(B7,B2:B10)</f>
        <v>4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2417B-5344-9D42-856D-DD5E636AB231}">
  <dimension ref="A1:C14"/>
  <sheetViews>
    <sheetView tabSelected="1" zoomScaleNormal="100" workbookViewId="0">
      <selection activeCell="F7" sqref="F7"/>
    </sheetView>
  </sheetViews>
  <sheetFormatPr baseColWidth="10" defaultRowHeight="13"/>
  <cols>
    <col min="1" max="1" width="34.83203125" bestFit="1" customWidth="1"/>
    <col min="2" max="2" width="7" bestFit="1" customWidth="1"/>
  </cols>
  <sheetData>
    <row r="1" spans="1:3" ht="28" customHeight="1">
      <c r="A1" s="24" t="s">
        <v>72</v>
      </c>
      <c r="B1" s="24"/>
      <c r="C1" s="21"/>
    </row>
    <row r="2" spans="1:3" ht="13" customHeight="1">
      <c r="A2" s="1" t="s">
        <v>73</v>
      </c>
      <c r="B2">
        <v>81.63</v>
      </c>
    </row>
    <row r="3" spans="1:3" ht="13" customHeight="1">
      <c r="A3" s="1" t="s">
        <v>74</v>
      </c>
      <c r="B3">
        <v>32.99</v>
      </c>
    </row>
    <row r="4" spans="1:3" ht="13" customHeight="1">
      <c r="A4" s="1" t="s">
        <v>75</v>
      </c>
      <c r="B4">
        <v>49.15</v>
      </c>
    </row>
    <row r="5" spans="1:3" ht="13" customHeight="1">
      <c r="A5" s="1" t="s">
        <v>76</v>
      </c>
      <c r="B5">
        <v>50.07</v>
      </c>
    </row>
    <row r="6" spans="1:3" ht="13" customHeight="1">
      <c r="A6" s="1" t="s">
        <v>77</v>
      </c>
      <c r="B6">
        <v>70.959999999999994</v>
      </c>
    </row>
    <row r="7" spans="1:3" ht="13" customHeight="1">
      <c r="A7" s="1" t="s">
        <v>78</v>
      </c>
      <c r="B7">
        <v>52.08</v>
      </c>
    </row>
    <row r="8" spans="1:3" ht="13" customHeight="1">
      <c r="A8" s="1" t="s">
        <v>79</v>
      </c>
      <c r="B8">
        <v>73.739999999999995</v>
      </c>
    </row>
    <row r="9" spans="1:3" ht="13" customHeight="1">
      <c r="A9" s="1" t="s">
        <v>80</v>
      </c>
      <c r="B9">
        <v>46.75</v>
      </c>
    </row>
    <row r="10" spans="1:3" ht="13" customHeight="1">
      <c r="A10" s="1" t="s">
        <v>81</v>
      </c>
      <c r="B10">
        <v>42.6</v>
      </c>
    </row>
    <row r="12" spans="1:3">
      <c r="A12" s="1" t="s">
        <v>88</v>
      </c>
      <c r="B12">
        <f>COUNTA(A2:A10)</f>
        <v>9</v>
      </c>
    </row>
    <row r="13" spans="1:3">
      <c r="A13" s="1" t="s">
        <v>89</v>
      </c>
      <c r="B13">
        <f>COUNT(B2:B10)</f>
        <v>9</v>
      </c>
    </row>
    <row r="14" spans="1:3">
      <c r="A14" s="1" t="s">
        <v>90</v>
      </c>
      <c r="B14">
        <f>COUNTIF(B2:B10,"&gt;=30")</f>
        <v>9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Exercise 1 template</vt:lpstr>
      <vt:lpstr>Exercise 2 template</vt:lpstr>
      <vt:lpstr>Exercise 3 template</vt:lpstr>
      <vt:lpstr>Exercise 4 template</vt:lpstr>
      <vt:lpstr>Exercise 5 template</vt:lpstr>
      <vt:lpstr>Exercise 6 template</vt:lpstr>
      <vt:lpstr>Exercise 7 template</vt:lpstr>
      <vt:lpstr>Exercise 8 template</vt:lpstr>
      <vt:lpstr>Exercise 9 template</vt:lpstr>
      <vt:lpstr>Exercise 10 template</vt:lpstr>
      <vt:lpstr>Exercise 11 template</vt:lpstr>
      <vt:lpstr>Exercise 12 template</vt:lpstr>
      <vt:lpstr>Exercise 13 template</vt:lpstr>
      <vt:lpstr>Exercise 14 template</vt:lpstr>
      <vt:lpstr>Exercise 15 template</vt:lpstr>
      <vt:lpstr>Exercise 16 template</vt:lpstr>
      <vt:lpstr>Exercise 17 template</vt:lpstr>
      <vt:lpstr>Exercise 18 template</vt:lpstr>
    </vt:vector>
  </TitlesOfParts>
  <Company>The Wharton School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天强 帅</cp:lastModifiedBy>
  <dcterms:created xsi:type="dcterms:W3CDTF">2005-01-02T15:42:10Z</dcterms:created>
  <dcterms:modified xsi:type="dcterms:W3CDTF">2023-12-09T17:35:45Z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 Ch21_IM_exercises.xlsm</vt:lpwstr>
  </property>
</Properties>
</file>