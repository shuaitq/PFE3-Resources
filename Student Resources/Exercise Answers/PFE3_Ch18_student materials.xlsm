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D906A126-0315-F843-A50C-36DCA7DE0754}" xr6:coauthVersionLast="47" xr6:coauthVersionMax="47" xr10:uidLastSave="{00000000-0000-0000-0000-000000000000}"/>
  <bookViews>
    <workbookView xWindow="4340" yWindow="500" windowWidth="24460" windowHeight="16060" firstSheet="11" activeTab="22" xr2:uid="{00000000-000D-0000-FFFF-FFFF00000000}"/>
  </bookViews>
  <sheets>
    <sheet name="May 2009" sheetId="39" state="hidden" r:id="rId1"/>
    <sheet name="Jun 2009" sheetId="40" state="hidden" r:id="rId2"/>
    <sheet name="IBM Jul09" sheetId="41" state="hidden" r:id="rId3"/>
    <sheet name="Oct2009" sheetId="42" state="hidden" r:id="rId4"/>
    <sheet name="Jan2010" sheetId="43" state="hidden" r:id="rId5"/>
    <sheet name="Jan2011" sheetId="44" state="hidden" r:id="rId6"/>
    <sheet name="Peacemount prices" sheetId="22" state="hidden" r:id="rId7"/>
    <sheet name="EoC Exercise 1 Template" sheetId="77" r:id="rId8"/>
    <sheet name="EoC Exercise 2 Template" sheetId="78" r:id="rId9"/>
    <sheet name="EoC Exercise 3 Template" sheetId="79" r:id="rId10"/>
    <sheet name="EoC Exercise 4 Template" sheetId="80" r:id="rId11"/>
    <sheet name="EoC Exercise 5 Template" sheetId="81" r:id="rId12"/>
    <sheet name="EoC Exercise 6 Template" sheetId="82" r:id="rId13"/>
    <sheet name="EoC Exercise 7 Template" sheetId="83" r:id="rId14"/>
    <sheet name="EoC Exercise 8 Template" sheetId="84" r:id="rId15"/>
    <sheet name="EoC Exercise 9 Template" sheetId="85" r:id="rId16"/>
    <sheet name="EoC Exercise 10 Template" sheetId="86" r:id="rId17"/>
    <sheet name="EoC Exercise 11 Template" sheetId="87" r:id="rId18"/>
    <sheet name="EoC Exercise 12 Template" sheetId="88" r:id="rId19"/>
    <sheet name="EoC Exercise 13 Template" sheetId="89" r:id="rId20"/>
    <sheet name="EoC Exercise 14 Template" sheetId="90" r:id="rId21"/>
    <sheet name="EoC Exercise 15 Template" sheetId="91" r:id="rId22"/>
    <sheet name="EoC Exercise 16 Template" sheetId="92" r:id="rId23"/>
  </sheets>
  <functionGroups builtInGroupCount="19"/>
  <externalReferences>
    <externalReference r:id="rId24"/>
  </externalReferences>
  <definedNames>
    <definedName name="cadf">#REF!</definedName>
    <definedName name="Call">#REF!</definedName>
    <definedName name="implied_call_volatility">'[1]Page 304'!$B$13</definedName>
    <definedName name="interest">'[1]Page 300'!$B$6</definedName>
    <definedName name="r_">'[1]Page 300'!$B$6</definedName>
    <definedName name="S">'[1]Page 300'!$B$3</definedName>
    <definedName name="sigma">'[1]Page 300'!$B$7</definedName>
    <definedName name="T">'[1]Page 300'!$B$5</definedName>
    <definedName name="target_call_price">'[1]Page 304'!$B$11</definedName>
    <definedName name="X">'[1]Page 300'!$B$4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92" l="1"/>
  <c r="E15" i="92"/>
  <c r="E16" i="92"/>
  <c r="E17" i="92"/>
  <c r="E18" i="92"/>
  <c r="E19" i="92"/>
  <c r="E20" i="92"/>
  <c r="E21" i="92"/>
  <c r="E22" i="92"/>
  <c r="E23" i="92"/>
  <c r="E13" i="92"/>
  <c r="D14" i="92"/>
  <c r="D15" i="92"/>
  <c r="D16" i="92"/>
  <c r="D17" i="92"/>
  <c r="D18" i="92"/>
  <c r="D19" i="92"/>
  <c r="D20" i="92"/>
  <c r="D21" i="92"/>
  <c r="D22" i="92"/>
  <c r="D23" i="92"/>
  <c r="D13" i="92"/>
  <c r="C14" i="92"/>
  <c r="C15" i="92"/>
  <c r="C16" i="92"/>
  <c r="C17" i="92"/>
  <c r="C18" i="92"/>
  <c r="C19" i="92"/>
  <c r="C20" i="92"/>
  <c r="C21" i="92"/>
  <c r="C22" i="92"/>
  <c r="C23" i="92"/>
  <c r="C13" i="92"/>
  <c r="B14" i="92"/>
  <c r="B15" i="92"/>
  <c r="B16" i="92"/>
  <c r="B17" i="92"/>
  <c r="B18" i="92"/>
  <c r="B19" i="92"/>
  <c r="B20" i="92"/>
  <c r="B21" i="92"/>
  <c r="B22" i="92"/>
  <c r="B23" i="92"/>
  <c r="B13" i="92"/>
  <c r="B6" i="92"/>
  <c r="A3" i="91" l="1"/>
  <c r="B10" i="90"/>
  <c r="B8" i="90"/>
  <c r="B9" i="90" s="1"/>
  <c r="B14" i="90"/>
  <c r="B15" i="90" s="1"/>
  <c r="B16" i="90" s="1"/>
  <c r="B19" i="89"/>
  <c r="B16" i="89"/>
  <c r="B11" i="89"/>
  <c r="B10" i="89"/>
  <c r="B9" i="89"/>
  <c r="B8" i="89"/>
  <c r="B28" i="88"/>
  <c r="B15" i="88"/>
  <c r="B14" i="88"/>
  <c r="B22" i="88"/>
  <c r="B13" i="88"/>
  <c r="B7" i="88"/>
  <c r="B14" i="87"/>
  <c r="B13" i="87"/>
  <c r="B12" i="87"/>
  <c r="B11" i="87"/>
  <c r="B6" i="87"/>
  <c r="B20" i="86"/>
  <c r="B18" i="86"/>
  <c r="B12" i="86"/>
  <c r="B11" i="86"/>
  <c r="B10" i="86"/>
  <c r="B8" i="86"/>
  <c r="B9" i="86"/>
  <c r="B3" i="85"/>
  <c r="B4" i="85"/>
  <c r="B8" i="84"/>
  <c r="B11" i="83"/>
  <c r="B10" i="83"/>
  <c r="B13" i="82"/>
  <c r="B26" i="81"/>
  <c r="B10" i="81"/>
  <c r="B12" i="81"/>
  <c r="B11" i="81"/>
  <c r="B7" i="80"/>
  <c r="B8" i="78"/>
  <c r="B7" i="78"/>
  <c r="B6" i="78"/>
  <c r="B16" i="77"/>
  <c r="B15" i="77"/>
  <c r="B14" i="77"/>
  <c r="B13" i="77"/>
  <c r="B9" i="77"/>
  <c r="B8" i="77"/>
  <c r="B16" i="88" l="1"/>
  <c r="B6" i="85"/>
  <c r="B13" i="81"/>
  <c r="B19" i="81" s="1"/>
  <c r="B20" i="81" s="1"/>
  <c r="I50" i="42"/>
  <c r="I49" i="42"/>
  <c r="I48" i="42"/>
  <c r="I47" i="42"/>
  <c r="I46" i="42"/>
  <c r="I45" i="42"/>
  <c r="I44" i="42"/>
  <c r="I43" i="42"/>
  <c r="I42" i="42"/>
  <c r="I41" i="42"/>
  <c r="I40" i="42"/>
  <c r="I39" i="42"/>
  <c r="I38" i="42"/>
  <c r="I37" i="42"/>
  <c r="I36" i="42"/>
  <c r="I35" i="42"/>
  <c r="I34" i="42"/>
  <c r="I33" i="42"/>
  <c r="I32" i="42"/>
  <c r="I31" i="42"/>
  <c r="I30" i="42"/>
  <c r="I25" i="42"/>
  <c r="I24" i="42"/>
  <c r="I23" i="42"/>
  <c r="I22" i="42"/>
  <c r="I21" i="42"/>
  <c r="I20" i="42"/>
  <c r="I19" i="42"/>
  <c r="I18" i="42"/>
  <c r="I17" i="42"/>
  <c r="I16" i="42"/>
  <c r="I15" i="42"/>
  <c r="I14" i="42"/>
  <c r="I13" i="42"/>
  <c r="I12" i="42"/>
  <c r="I11" i="42"/>
  <c r="I10" i="42"/>
  <c r="I9" i="42"/>
  <c r="I8" i="42"/>
  <c r="I7" i="42"/>
  <c r="I6" i="42"/>
  <c r="B14" i="81" l="1"/>
</calcChain>
</file>

<file path=xl/sharedStrings.xml><?xml version="1.0" encoding="utf-8"?>
<sst xmlns="http://schemas.openxmlformats.org/spreadsheetml/2006/main" count="538" uniqueCount="323">
  <si>
    <t>Date</t>
  </si>
  <si>
    <t>PEACEMOUNT STOCK PRICE</t>
  </si>
  <si>
    <t>Share
price</t>
  </si>
  <si>
    <t>CALL OPTIONS</t>
  </si>
  <si>
    <t>Expire at close Fri, May 15, 2009</t>
  </si>
  <si>
    <t>Strike</t>
  </si>
  <si>
    <t>Symbol</t>
  </si>
  <si>
    <t>Last</t>
  </si>
  <si>
    <t>Chg</t>
  </si>
  <si>
    <t>Bid</t>
  </si>
  <si>
    <t>Ask</t>
  </si>
  <si>
    <t>Vol</t>
  </si>
  <si>
    <t>Open Int</t>
  </si>
  <si>
    <t>IBMEU.X</t>
  </si>
  <si>
    <t>IBMEV.X</t>
  </si>
  <si>
    <t>IBMEL.X</t>
  </si>
  <si>
    <t>IBMEP.X</t>
  </si>
  <si>
    <t>IBMEQ.X</t>
  </si>
  <si>
    <t>IBMER.X</t>
  </si>
  <si>
    <t>IBMES.X</t>
  </si>
  <si>
    <t>IBMET.X</t>
  </si>
  <si>
    <t>IBMEA.X</t>
  </si>
  <si>
    <t>IBMEB.X</t>
  </si>
  <si>
    <t>N/A</t>
  </si>
  <si>
    <t>IBMEC.X</t>
  </si>
  <si>
    <t>IBMED.X</t>
  </si>
  <si>
    <t>IBMEE.X</t>
  </si>
  <si>
    <t>IBMEF.X</t>
  </si>
  <si>
    <t>PUT OPTIONS</t>
  </si>
  <si>
    <t>IBMQV.X</t>
  </si>
  <si>
    <t>IBMQL.X</t>
  </si>
  <si>
    <t>IBMQM.X</t>
  </si>
  <si>
    <t>IBMQN.X</t>
  </si>
  <si>
    <t>IBMQO.X</t>
  </si>
  <si>
    <t>IBMQP.X</t>
  </si>
  <si>
    <t>IBMQQ.X</t>
  </si>
  <si>
    <t>IBMQR.X</t>
  </si>
  <si>
    <t>IBMQS.X</t>
  </si>
  <si>
    <t>IBMQT.X</t>
  </si>
  <si>
    <t>IBMQA.X</t>
  </si>
  <si>
    <t>IBMQB.X</t>
  </si>
  <si>
    <t>IBMQC.X</t>
  </si>
  <si>
    <t>IBMQD.X</t>
  </si>
  <si>
    <t>IBMQE.X</t>
  </si>
  <si>
    <t>IBMQF.X</t>
  </si>
  <si>
    <t>   </t>
  </si>
  <si>
    <t>Highlighted options are in-the-money.</t>
  </si>
  <si>
    <t xml:space="preserve">Expand to Straddle View... </t>
  </si>
  <si>
    <t>Expire at close Fri, Jun 19, 2009</t>
  </si>
  <si>
    <t>IBMFP.X</t>
  </si>
  <si>
    <t>IBMFQ.X</t>
  </si>
  <si>
    <t>IBMFR.X</t>
  </si>
  <si>
    <t>IBMFS.X</t>
  </si>
  <si>
    <t>IBMFT.X</t>
  </si>
  <si>
    <t>IBMFA.X</t>
  </si>
  <si>
    <t>IBMFB.X</t>
  </si>
  <si>
    <t>IBMFC.X</t>
  </si>
  <si>
    <t>IBMFD.X</t>
  </si>
  <si>
    <t>IBMFE.X</t>
  </si>
  <si>
    <t>IBMFF.X</t>
  </si>
  <si>
    <t>IBMFH.X</t>
  </si>
  <si>
    <t>IBMRL.X</t>
  </si>
  <si>
    <t>IBMRM.X</t>
  </si>
  <si>
    <t>IBMRN.X</t>
  </si>
  <si>
    <t>IBMRO.X</t>
  </si>
  <si>
    <t>IBMRP.X</t>
  </si>
  <si>
    <t>IBMRQ.X</t>
  </si>
  <si>
    <t>IBMRR.X</t>
  </si>
  <si>
    <t>IBMRS.X</t>
  </si>
  <si>
    <t>IBMRT.X</t>
  </si>
  <si>
    <t>IBMRA.X</t>
  </si>
  <si>
    <t>IBMRB.X</t>
  </si>
  <si>
    <t>IBMRC.X</t>
  </si>
  <si>
    <t>IBMRD.X</t>
  </si>
  <si>
    <t>IBMRE.X</t>
  </si>
  <si>
    <t>IBMRF.X</t>
  </si>
  <si>
    <t>IBMRG.X</t>
  </si>
  <si>
    <t>ADVERTISEMENT</t>
  </si>
  <si>
    <t>11 MAY 2009:  OPTIONS ON IBM, EXPIRING 17 JULY 2009</t>
  </si>
  <si>
    <r>
      <t xml:space="preserve">View By Expiration: May 09 | Jun 09 | Jul 09 | </t>
    </r>
    <r>
      <rPr>
        <b/>
        <sz val="11"/>
        <color theme="1"/>
        <rFont val="宋体"/>
        <family val="2"/>
        <scheme val="minor"/>
      </rPr>
      <t>Oct 09</t>
    </r>
    <r>
      <rPr>
        <sz val="10"/>
        <rFont val="Arial"/>
        <family val="2"/>
      </rPr>
      <t xml:space="preserve"> | Jan 10 | Jan 11</t>
    </r>
  </si>
  <si>
    <t>Expire at close Fri, Oct 16, 2009</t>
  </si>
  <si>
    <t>IBMJU.X</t>
  </si>
  <si>
    <t>IBMJV.X</t>
  </si>
  <si>
    <t>IBMJL.X</t>
  </si>
  <si>
    <t>IBMJM.X</t>
  </si>
  <si>
    <t>IBMJN.X</t>
  </si>
  <si>
    <t>IBMJO.X</t>
  </si>
  <si>
    <t>IBMJP.X</t>
  </si>
  <si>
    <t>IBMJQ.X</t>
  </si>
  <si>
    <t>IBMJR.X</t>
  </si>
  <si>
    <t>IBMJS.X</t>
  </si>
  <si>
    <t>IBMJT.X</t>
  </si>
  <si>
    <t>IBMJA.X</t>
  </si>
  <si>
    <t>IBMJB.X</t>
  </si>
  <si>
    <t>IBMJC.X</t>
  </si>
  <si>
    <t>IBMJD.X</t>
  </si>
  <si>
    <t>IBMJE.X</t>
  </si>
  <si>
    <t>IBMJF.X</t>
  </si>
  <si>
    <t>IBMJG.X</t>
  </si>
  <si>
    <t>IBMJH.X</t>
  </si>
  <si>
    <t>IBMJI.X</t>
  </si>
  <si>
    <t>IBMVX.X</t>
  </si>
  <si>
    <t>IBMVU.X</t>
  </si>
  <si>
    <t>IBMVV.X</t>
  </si>
  <si>
    <t>IBMVL.X</t>
  </si>
  <si>
    <t>IBMVM.X</t>
  </si>
  <si>
    <t>IBMVN.X</t>
  </si>
  <si>
    <t>IBMVO.X</t>
  </si>
  <si>
    <t>IBMVP.X</t>
  </si>
  <si>
    <t>IBMVQ.X</t>
  </si>
  <si>
    <t>IBMVR.X</t>
  </si>
  <si>
    <t>IBMVS.X</t>
  </si>
  <si>
    <t>IBMVT.X</t>
  </si>
  <si>
    <t>IBMVA.X</t>
  </si>
  <si>
    <t>IBMVB.X</t>
  </si>
  <si>
    <t>IBMVC.X</t>
  </si>
  <si>
    <t>IBMVD.X</t>
  </si>
  <si>
    <t>IBMVE.X</t>
  </si>
  <si>
    <t>IBMVF.X</t>
  </si>
  <si>
    <t>IBMVG.X</t>
  </si>
  <si>
    <t>IBMVH.X</t>
  </si>
  <si>
    <t>IBMVI.X</t>
  </si>
  <si>
    <t>Expire at close Fri, Jan 15, 2010</t>
  </si>
  <si>
    <t>WIBAW.X</t>
  </si>
  <si>
    <t>WIBAL.X</t>
  </si>
  <si>
    <t>WIBAX.X</t>
  </si>
  <si>
    <t>WIBAN.X</t>
  </si>
  <si>
    <t>WIBAO.X</t>
  </si>
  <si>
    <t>WIBAP.X</t>
  </si>
  <si>
    <t>WIBAQ.X</t>
  </si>
  <si>
    <t>WIBAR.X</t>
  </si>
  <si>
    <t>WIBAS.X</t>
  </si>
  <si>
    <t>WIBAT.X</t>
  </si>
  <si>
    <t>WIBAA.X</t>
  </si>
  <si>
    <t>WIBAB.X</t>
  </si>
  <si>
    <t>WIBAC.X</t>
  </si>
  <si>
    <t>WIBAD.X</t>
  </si>
  <si>
    <t>WIBAE.X</t>
  </si>
  <si>
    <t>WIBAF.X</t>
  </si>
  <si>
    <t>WIBAG.X</t>
  </si>
  <si>
    <t>WIBAH.X</t>
  </si>
  <si>
    <t>WIBAI.X</t>
  </si>
  <si>
    <t>WIBAJ.X</t>
  </si>
  <si>
    <t>WIBAK.X</t>
  </si>
  <si>
    <t>WIBAY.X</t>
  </si>
  <si>
    <t>WIBAM.X</t>
  </si>
  <si>
    <t>WIBAZ.X</t>
  </si>
  <si>
    <t>WIBAU.X</t>
  </si>
  <si>
    <t>WIBAV.X</t>
  </si>
  <si>
    <t>WIBMW.X</t>
  </si>
  <si>
    <t>WIBML.X</t>
  </si>
  <si>
    <t>WIBMX.X</t>
  </si>
  <si>
    <t>WIBMN.X</t>
  </si>
  <si>
    <t>WIBMO.X</t>
  </si>
  <si>
    <t>WIBMP.X</t>
  </si>
  <si>
    <t>WIBMQ.X</t>
  </si>
  <si>
    <t>WIBMR.X</t>
  </si>
  <si>
    <t>WIBMS.X</t>
  </si>
  <si>
    <t>WIBMT.X</t>
  </si>
  <si>
    <t>WIBMA.X</t>
  </si>
  <si>
    <t>WIBMB.X</t>
  </si>
  <si>
    <t>WIBMC.X</t>
  </si>
  <si>
    <t>WIBMD.X</t>
  </si>
  <si>
    <t>WIBME.X</t>
  </si>
  <si>
    <t>WIBMF.X</t>
  </si>
  <si>
    <t>WIBMG.X</t>
  </si>
  <si>
    <t>WIBMH.X</t>
  </si>
  <si>
    <t>WIBMI.X</t>
  </si>
  <si>
    <t>WIBMJ.X</t>
  </si>
  <si>
    <t>WIBMK.X</t>
  </si>
  <si>
    <t>WIBMY.X</t>
  </si>
  <si>
    <t>WIBMZ.X</t>
  </si>
  <si>
    <t>WIBMV.X</t>
  </si>
  <si>
    <t>Expire at close Fri, Jan 21, 2011</t>
  </si>
  <si>
    <t>VIBAG.X</t>
  </si>
  <si>
    <t>VIBAW.X</t>
  </si>
  <si>
    <t>VIBAI.X</t>
  </si>
  <si>
    <t>VIBAZ.X</t>
  </si>
  <si>
    <t>VIBAK.X</t>
  </si>
  <si>
    <t>VIBAL.X</t>
  </si>
  <si>
    <t>VIBAM.X</t>
  </si>
  <si>
    <t>VIBAN.X</t>
  </si>
  <si>
    <t>VIBAP.X</t>
  </si>
  <si>
    <t>VIBAQ.X</t>
  </si>
  <si>
    <t>VIBAR.X</t>
  </si>
  <si>
    <t>VIBAS.X</t>
  </si>
  <si>
    <t>XBYAT.X</t>
  </si>
  <si>
    <t>XBYAB.X</t>
  </si>
  <si>
    <t>XBYAD.X</t>
  </si>
  <si>
    <t>XBYAF.X</t>
  </si>
  <si>
    <t>XBYAH.X</t>
  </si>
  <si>
    <t>XBYAJ.X</t>
  </si>
  <si>
    <t>XBYAK.X</t>
  </si>
  <si>
    <t>VIBMU.X</t>
  </si>
  <si>
    <t>VIBMX.X</t>
  </si>
  <si>
    <t>VIBME.X</t>
  </si>
  <si>
    <t>VIBMV.X</t>
  </si>
  <si>
    <t>VIBMG.X</t>
  </si>
  <si>
    <t>VIBMW.X</t>
  </si>
  <si>
    <t>VIBMI.X</t>
  </si>
  <si>
    <t>VIBMZ.X</t>
  </si>
  <si>
    <t>VIBMK.X</t>
  </si>
  <si>
    <t>VIBML.X</t>
  </si>
  <si>
    <t>VIBMM.X</t>
  </si>
  <si>
    <t>VIBMN.X</t>
  </si>
  <si>
    <t>VIBMP.X</t>
  </si>
  <si>
    <t>VIBMQ.X</t>
  </si>
  <si>
    <t>VIBMR.X</t>
  </si>
  <si>
    <t>VIBMS.X</t>
  </si>
  <si>
    <t>XBYMT.X</t>
  </si>
  <si>
    <t>XBYMB.X</t>
  </si>
  <si>
    <t>XBYMD.X</t>
  </si>
  <si>
    <t>XBYMF.X</t>
  </si>
  <si>
    <t>XBYMH.X</t>
  </si>
  <si>
    <t>XBYMJ.X</t>
  </si>
  <si>
    <t>Section b.</t>
    <phoneticPr fontId="14" type="noConversion"/>
  </si>
  <si>
    <t>stock price</t>
    <phoneticPr fontId="14" type="noConversion"/>
  </si>
  <si>
    <t>price</t>
    <phoneticPr fontId="14" type="noConversion"/>
  </si>
  <si>
    <t>Section a.</t>
    <phoneticPr fontId="14" type="noConversion"/>
  </si>
  <si>
    <t>expiring months</t>
    <phoneticPr fontId="14" type="noConversion"/>
  </si>
  <si>
    <t>strike price</t>
    <phoneticPr fontId="14" type="noConversion"/>
  </si>
  <si>
    <t>IR</t>
    <phoneticPr fontId="14" type="noConversion"/>
  </si>
  <si>
    <t>can't</t>
    <phoneticPr fontId="14" type="noConversion"/>
  </si>
  <si>
    <t>PV</t>
    <phoneticPr fontId="14" type="noConversion"/>
  </si>
  <si>
    <t>at least price</t>
    <phoneticPr fontId="14" type="noConversion"/>
  </si>
  <si>
    <t>buy a call</t>
    <phoneticPr fontId="14" type="noConversion"/>
  </si>
  <si>
    <t>exercise the call now</t>
    <phoneticPr fontId="14" type="noConversion"/>
  </si>
  <si>
    <t>sell the stock at market</t>
    <phoneticPr fontId="14" type="noConversion"/>
  </si>
  <si>
    <t>PNL</t>
    <phoneticPr fontId="14" type="noConversion"/>
  </si>
  <si>
    <t>expires in month</t>
    <phoneticPr fontId="14" type="noConversion"/>
  </si>
  <si>
    <t>exercise PNL</t>
    <phoneticPr fontId="14" type="noConversion"/>
  </si>
  <si>
    <t>sell price at least</t>
    <phoneticPr fontId="14" type="noConversion"/>
  </si>
  <si>
    <t>exercise or sell</t>
    <phoneticPr fontId="14" type="noConversion"/>
  </si>
  <si>
    <t>exercise the option early</t>
    <phoneticPr fontId="14" type="noConversion"/>
  </si>
  <si>
    <t>if I don't exercise the option early, if stock price not change, after the dividend tomorrow, 98-90=8, only can get 8 profit</t>
    <phoneticPr fontId="14" type="noConversion"/>
  </si>
  <si>
    <t>call</t>
    <phoneticPr fontId="14" type="noConversion"/>
  </si>
  <si>
    <t>put</t>
    <phoneticPr fontId="14" type="noConversion"/>
  </si>
  <si>
    <t>expires month</t>
    <phoneticPr fontId="14" type="noConversion"/>
  </si>
  <si>
    <t>rf</t>
    <phoneticPr fontId="14" type="noConversion"/>
  </si>
  <si>
    <t>buy stock</t>
    <phoneticPr fontId="14" type="noConversion"/>
  </si>
  <si>
    <t>buy put</t>
    <phoneticPr fontId="14" type="noConversion"/>
  </si>
  <si>
    <t>write call</t>
    <phoneticPr fontId="14" type="noConversion"/>
  </si>
  <si>
    <t>write put</t>
    <phoneticPr fontId="14" type="noConversion"/>
  </si>
  <si>
    <t>buy call</t>
    <phoneticPr fontId="14" type="noConversion"/>
  </si>
  <si>
    <t>time 0</t>
    <phoneticPr fontId="14" type="noConversion"/>
  </si>
  <si>
    <t>time t</t>
    <phoneticPr fontId="14" type="noConversion"/>
  </si>
  <si>
    <t>short stock</t>
    <phoneticPr fontId="14" type="noConversion"/>
  </si>
  <si>
    <t>buy stock close short position</t>
    <phoneticPr fontId="14" type="noConversion"/>
  </si>
  <si>
    <t>buy asset with rf</t>
    <phoneticPr fontId="14" type="noConversion"/>
  </si>
  <si>
    <t>total</t>
    <phoneticPr fontId="14" type="noConversion"/>
  </si>
  <si>
    <t>call + put</t>
    <phoneticPr fontId="14" type="noConversion"/>
  </si>
  <si>
    <t>p-50</t>
    <phoneticPr fontId="14" type="noConversion"/>
  </si>
  <si>
    <t>p</t>
    <phoneticPr fontId="14" type="noConversion"/>
  </si>
  <si>
    <t>sell asset with rf</t>
    <phoneticPr fontId="14" type="noConversion"/>
  </si>
  <si>
    <t>-p</t>
    <phoneticPr fontId="14" type="noConversion"/>
  </si>
  <si>
    <t>call price at least</t>
    <phoneticPr fontId="14" type="noConversion"/>
  </si>
  <si>
    <t>still have but very small</t>
    <phoneticPr fontId="14" type="noConversion"/>
  </si>
  <si>
    <t>20+PV(180)-S0</t>
    <phoneticPr fontId="14" type="noConversion"/>
  </si>
  <si>
    <t>10+PV(200)-S0</t>
    <phoneticPr fontId="14" type="noConversion"/>
  </si>
  <si>
    <t>5+PV(220)-S0</t>
    <phoneticPr fontId="14" type="noConversion"/>
  </si>
  <si>
    <t>call butterfly</t>
    <phoneticPr fontId="14" type="noConversion"/>
  </si>
  <si>
    <t>put butterfly</t>
    <phoneticPr fontId="14" type="noConversion"/>
  </si>
  <si>
    <t>-5-PV(180)+2*PV(200)-PV(220) =&gt; -5</t>
    <phoneticPr fontId="14" type="noConversion"/>
  </si>
  <si>
    <t>Strike</t>
    <phoneticPr fontId="14" type="noConversion"/>
  </si>
  <si>
    <t>Put/Call</t>
    <phoneticPr fontId="14" type="noConversion"/>
  </si>
  <si>
    <t>Call</t>
    <phoneticPr fontId="14" type="noConversion"/>
  </si>
  <si>
    <t>Put</t>
    <phoneticPr fontId="14" type="noConversion"/>
  </si>
  <si>
    <t>Price</t>
    <phoneticPr fontId="14" type="noConversion"/>
  </si>
  <si>
    <t>days</t>
    <phoneticPr fontId="14" type="noConversion"/>
  </si>
  <si>
    <t>put price</t>
    <phoneticPr fontId="14" type="noConversion"/>
  </si>
  <si>
    <t>P1-P2+C2-C1</t>
    <phoneticPr fontId="14" type="noConversion"/>
  </si>
  <si>
    <t>PV(1025)-PV(1040)</t>
    <phoneticPr fontId="14" type="noConversion"/>
  </si>
  <si>
    <t>expires year</t>
    <phoneticPr fontId="14" type="noConversion"/>
  </si>
  <si>
    <t>rf &gt; 0</t>
    <phoneticPr fontId="14" type="noConversion"/>
  </si>
  <si>
    <t>S &lt; X</t>
    <phoneticPr fontId="14" type="noConversion"/>
  </si>
  <si>
    <t>rf = 0</t>
    <phoneticPr fontId="14" type="noConversion"/>
  </si>
  <si>
    <t>S = X</t>
    <phoneticPr fontId="14" type="noConversion"/>
  </si>
  <si>
    <t>rf &lt; 0</t>
    <phoneticPr fontId="14" type="noConversion"/>
  </si>
  <si>
    <t>S &gt; X</t>
    <phoneticPr fontId="14" type="noConversion"/>
  </si>
  <si>
    <t>X</t>
    <phoneticPr fontId="14" type="noConversion"/>
  </si>
  <si>
    <t>st</t>
    <phoneticPr fontId="14" type="noConversion"/>
  </si>
  <si>
    <t>put(X)</t>
    <phoneticPr fontId="14" type="noConversion"/>
  </si>
  <si>
    <t>call(X)</t>
    <phoneticPr fontId="14" type="noConversion"/>
  </si>
  <si>
    <t>call price</t>
    <phoneticPr fontId="14" type="noConversion"/>
  </si>
  <si>
    <t>Treasury bill cost</t>
    <phoneticPr fontId="14" type="noConversion"/>
  </si>
  <si>
    <t>Treasury bill get</t>
    <phoneticPr fontId="14" type="noConversion"/>
  </si>
  <si>
    <t>take a loan = PV(25)</t>
    <phoneticPr fontId="14" type="noConversion"/>
  </si>
  <si>
    <t>25-p</t>
    <phoneticPr fontId="14" type="noConversion"/>
  </si>
  <si>
    <t>sell stock</t>
    <phoneticPr fontId="14" type="noConversion"/>
  </si>
  <si>
    <t>payoff loan</t>
    <phoneticPr fontId="14" type="noConversion"/>
  </si>
  <si>
    <t>profit</t>
    <phoneticPr fontId="14" type="noConversion"/>
  </si>
  <si>
    <t>min price</t>
    <phoneticPr fontId="14" type="noConversion"/>
  </si>
  <si>
    <t>exercise put now</t>
    <phoneticPr fontId="14" type="noConversion"/>
  </si>
  <si>
    <t>total PNL</t>
    <phoneticPr fontId="14" type="noConversion"/>
  </si>
  <si>
    <t>r</t>
    <phoneticPr fontId="14" type="noConversion"/>
  </si>
  <si>
    <t>no, should greater than 2.52</t>
    <phoneticPr fontId="14" type="noConversion"/>
  </si>
  <si>
    <t>date t</t>
    <phoneticPr fontId="14" type="noConversion"/>
  </si>
  <si>
    <t>if stock price &lt;= 20</t>
    <phoneticPr fontId="14" type="noConversion"/>
  </si>
  <si>
    <t>put profit</t>
    <phoneticPr fontId="14" type="noConversion"/>
  </si>
  <si>
    <t>20-p</t>
    <phoneticPr fontId="14" type="noConversion"/>
  </si>
  <si>
    <t>pay back loan</t>
    <phoneticPr fontId="14" type="noConversion"/>
  </si>
  <si>
    <t>if stock price &gt; 20</t>
    <phoneticPr fontId="14" type="noConversion"/>
  </si>
  <si>
    <t>p-20 &gt; 0</t>
    <phoneticPr fontId="14" type="noConversion"/>
  </si>
  <si>
    <t>take loan with FV = 20</t>
    <phoneticPr fontId="14" type="noConversion"/>
  </si>
  <si>
    <t>exercise price</t>
    <phoneticPr fontId="14" type="noConversion"/>
  </si>
  <si>
    <t>expires months</t>
    <phoneticPr fontId="14" type="noConversion"/>
  </si>
  <si>
    <t>i</t>
    <phoneticPr fontId="14" type="noConversion"/>
  </si>
  <si>
    <t>ir</t>
    <phoneticPr fontId="14" type="noConversion"/>
  </si>
  <si>
    <t>net payoff</t>
    <phoneticPr fontId="14" type="noConversion"/>
  </si>
  <si>
    <t>ii</t>
    <phoneticPr fontId="14" type="noConversion"/>
  </si>
  <si>
    <t>S</t>
    <phoneticPr fontId="14" type="noConversion"/>
  </si>
  <si>
    <t>b</t>
    <phoneticPr fontId="14" type="noConversion"/>
  </si>
  <si>
    <t>put profit after 6 months</t>
    <phoneticPr fontId="14" type="noConversion"/>
  </si>
  <si>
    <t>max loss</t>
    <phoneticPr fontId="14" type="noConversion"/>
  </si>
  <si>
    <t>a</t>
    <phoneticPr fontId="14" type="noConversion"/>
  </si>
  <si>
    <t>b better because less max loss</t>
    <phoneticPr fontId="14" type="noConversion"/>
  </si>
  <si>
    <t>less than 22.5</t>
    <phoneticPr fontId="14" type="noConversion"/>
  </si>
  <si>
    <t>upper bound for the X = $60</t>
    <phoneticPr fontId="14" type="noConversion"/>
  </si>
  <si>
    <t>St</t>
    <phoneticPr fontId="14" type="noConversion"/>
  </si>
  <si>
    <t>buy put X = 55</t>
    <phoneticPr fontId="14" type="noConversion"/>
  </si>
  <si>
    <t>write 2 put X = 60</t>
    <phoneticPr fontId="14" type="noConversion"/>
  </si>
  <si>
    <t>buy puy X = 65</t>
    <phoneticPr fontId="14" type="noConversion"/>
  </si>
  <si>
    <t>yes, at least profit 1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</si>
</sst>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¥&quot;#,##0.00_);[Red]\(&quot;¥&quot;#,##0.00\)"/>
    <numFmt numFmtId="176" formatCode="&quot;¥&quot;#,##0.00000000_);[Red]\(&quot;¥&quot;#,##0.00000000\)"/>
    <numFmt numFmtId="183" formatCode="&quot;¥&quot;#,##0.00000_);[Red]\(&quot;¥&quot;#,##0.00000\)"/>
    <numFmt numFmtId="187" formatCode="&quot;¥&quot;#,##0.0000000000_);[Red]\(&quot;¥&quot;#,##0.0000000000\)"/>
    <numFmt numFmtId="189" formatCode="0.0000000000"/>
    <numFmt numFmtId="199" formatCode="0.00000000%"/>
  </numFmts>
  <fonts count="17">
    <font>
      <sz val="10"/>
      <name val="Arial"/>
    </font>
    <font>
      <sz val="10"/>
      <name val="Arial"/>
      <family val="2"/>
    </font>
    <font>
      <sz val="11"/>
      <color theme="1"/>
      <name val="宋体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1"/>
      <color theme="1"/>
      <name val="宋体"/>
      <family val="2"/>
      <scheme val="minor"/>
    </font>
    <font>
      <b/>
      <sz val="7.5"/>
      <color theme="1"/>
      <name val="宋体"/>
      <family val="2"/>
      <scheme val="minor"/>
    </font>
    <font>
      <u/>
      <sz val="11"/>
      <color theme="10"/>
      <name val="Calibri"/>
      <family val="2"/>
    </font>
    <font>
      <b/>
      <sz val="11"/>
      <color rgb="FF000000"/>
      <name val="宋体"/>
      <family val="2"/>
      <scheme val="minor"/>
    </font>
    <font>
      <b/>
      <sz val="11"/>
      <color rgb="FFCC0000"/>
      <name val="宋体"/>
      <family val="2"/>
      <scheme val="minor"/>
    </font>
    <font>
      <b/>
      <sz val="11"/>
      <color rgb="FF008800"/>
      <name val="宋体"/>
      <family val="2"/>
      <scheme val="minor"/>
    </font>
    <font>
      <sz val="7.5"/>
      <color theme="1"/>
      <name val="宋体"/>
      <family val="2"/>
      <scheme val="minor"/>
    </font>
    <font>
      <sz val="7.5"/>
      <color theme="1"/>
      <name val="Arial"/>
      <family val="2"/>
    </font>
    <font>
      <sz val="9"/>
      <name val="宋体"/>
      <family val="3"/>
      <charset val="134"/>
    </font>
    <font>
      <sz val="10"/>
      <color rgb="FF1A1819"/>
      <name val="Helvetica"/>
      <family val="2"/>
    </font>
    <font>
      <sz val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8" fillId="0" borderId="0" applyNumberFormat="0" applyFill="0" applyBorder="0" applyAlignment="0" applyProtection="0">
      <alignment vertical="top"/>
      <protection locked="0"/>
    </xf>
    <xf numFmtId="9" fontId="16" fillId="0" borderId="0" applyFont="0" applyFill="0" applyBorder="0" applyAlignment="0" applyProtection="0">
      <alignment vertical="center"/>
    </xf>
  </cellStyleXfs>
  <cellXfs count="36">
    <xf numFmtId="0" fontId="0" fillId="0" borderId="0" xfId="0"/>
    <xf numFmtId="0" fontId="4" fillId="0" borderId="0" xfId="0" applyFont="1"/>
    <xf numFmtId="2" fontId="0" fillId="0" borderId="0" xfId="0" applyNumberForma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1"/>
    <xf numFmtId="0" fontId="7" fillId="0" borderId="0" xfId="1" applyFont="1" applyAlignment="1">
      <alignment vertical="top" wrapText="1"/>
    </xf>
    <xf numFmtId="0" fontId="2" fillId="0" borderId="0" xfId="1" applyAlignment="1">
      <alignment horizontal="right" vertical="top" wrapText="1"/>
    </xf>
    <xf numFmtId="0" fontId="2" fillId="0" borderId="0" xfId="1" applyAlignment="1">
      <alignment wrapText="1"/>
    </xf>
    <xf numFmtId="0" fontId="2" fillId="0" borderId="0" xfId="1" applyAlignment="1">
      <alignment horizontal="center" wrapText="1"/>
    </xf>
    <xf numFmtId="0" fontId="8" fillId="0" borderId="0" xfId="2" applyAlignment="1" applyProtection="1"/>
    <xf numFmtId="0" fontId="8" fillId="0" borderId="0" xfId="2" applyAlignment="1" applyProtection="1">
      <alignment wrapText="1"/>
    </xf>
    <xf numFmtId="0" fontId="6" fillId="0" borderId="0" xfId="1" applyFont="1" applyAlignment="1">
      <alignment horizontal="right" wrapText="1"/>
    </xf>
    <xf numFmtId="0" fontId="9" fillId="0" borderId="0" xfId="1" applyFont="1" applyAlignment="1">
      <alignment horizontal="right" wrapText="1"/>
    </xf>
    <xf numFmtId="0" fontId="2" fillId="0" borderId="0" xfId="1" applyAlignment="1">
      <alignment horizontal="right" wrapText="1"/>
    </xf>
    <xf numFmtId="0" fontId="10" fillId="0" borderId="0" xfId="1" applyFont="1" applyAlignment="1">
      <alignment horizontal="right" wrapText="1"/>
    </xf>
    <xf numFmtId="3" fontId="2" fillId="0" borderId="0" xfId="1" applyNumberFormat="1" applyAlignment="1">
      <alignment horizontal="right" wrapText="1"/>
    </xf>
    <xf numFmtId="0" fontId="11" fillId="0" borderId="0" xfId="1" applyFont="1" applyAlignment="1">
      <alignment horizontal="right" wrapText="1"/>
    </xf>
    <xf numFmtId="0" fontId="12" fillId="0" borderId="0" xfId="1" applyFont="1" applyAlignment="1">
      <alignment wrapText="1"/>
    </xf>
    <xf numFmtId="0" fontId="8" fillId="0" borderId="0" xfId="2" applyAlignment="1" applyProtection="1">
      <alignment horizontal="center" wrapText="1"/>
    </xf>
    <xf numFmtId="14" fontId="0" fillId="0" borderId="0" xfId="0" applyNumberFormat="1"/>
    <xf numFmtId="0" fontId="1" fillId="0" borderId="0" xfId="0" applyFont="1"/>
    <xf numFmtId="0" fontId="15" fillId="0" borderId="0" xfId="0" applyFont="1"/>
    <xf numFmtId="9" fontId="0" fillId="0" borderId="0" xfId="0" applyNumberFormat="1"/>
    <xf numFmtId="176" fontId="0" fillId="0" borderId="0" xfId="0" applyNumberFormat="1"/>
    <xf numFmtId="0" fontId="13" fillId="0" borderId="0" xfId="1" applyFont="1" applyAlignment="1">
      <alignment horizontal="center" wrapText="1"/>
    </xf>
    <xf numFmtId="0" fontId="0" fillId="0" borderId="0" xfId="0" applyNumberFormat="1"/>
    <xf numFmtId="8" fontId="0" fillId="0" borderId="0" xfId="0" applyNumberFormat="1"/>
    <xf numFmtId="183" fontId="0" fillId="0" borderId="0" xfId="0" applyNumberFormat="1"/>
    <xf numFmtId="49" fontId="1" fillId="0" borderId="0" xfId="0" applyNumberFormat="1" applyFont="1"/>
    <xf numFmtId="8" fontId="1" fillId="0" borderId="0" xfId="0" applyNumberFormat="1" applyFont="1"/>
    <xf numFmtId="187" fontId="1" fillId="0" borderId="0" xfId="0" applyNumberFormat="1" applyFont="1"/>
    <xf numFmtId="189" fontId="0" fillId="0" borderId="0" xfId="0" applyNumberFormat="1"/>
    <xf numFmtId="3" fontId="0" fillId="0" borderId="0" xfId="0" applyNumberFormat="1"/>
    <xf numFmtId="199" fontId="0" fillId="0" borderId="0" xfId="0" applyNumberFormat="1"/>
    <xf numFmtId="0" fontId="0" fillId="0" borderId="0" xfId="3" applyNumberFormat="1" applyFont="1" applyAlignment="1"/>
  </cellXfs>
  <cellStyles count="4">
    <cellStyle name="Normal 2" xfId="1" xr:uid="{00000000-0005-0000-0000-000003000000}"/>
    <cellStyle name="百分比" xfId="3" builtinId="5"/>
    <cellStyle name="常规" xfId="0" builtinId="0"/>
    <cellStyle name="超链接" xfId="2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'EoC Exercise 16 Template'!$E$12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'EoC Exercise 16 Template'!$A$13:$A$23</c:f>
              <c:numCache>
                <c:formatCode>General</c:formatCode>
                <c:ptCount val="11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</c:numCache>
            </c:numRef>
          </c:xVal>
          <c:yVal>
            <c:numRef>
              <c:f>'EoC Exercise 16 Template'!$E$13:$E$23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DC-AA49-B115-09AAE32E4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910224"/>
        <c:axId val="2003493440"/>
      </c:scatterChart>
      <c:valAx>
        <c:axId val="209091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03493440"/>
        <c:crosses val="autoZero"/>
        <c:crossBetween val="midCat"/>
      </c:valAx>
      <c:valAx>
        <c:axId val="200349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90910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us.ard.yahoo.com/SIG=15l480vr4/M=712214.13288378.13413184.3958340/D=fin/S=28951412:SKY/Y=YAHOO/EXP=1242037253/L=qGY960wNclLx3UJ8SPZPUgB4V0ZvFEoH3.UABBIN/B=07o6CUwNBlc-/J=1242030053318796/K=huY4dCi75PNj4HeoHmUM0g/A=5689439/R=0/*http:/ad.n2434.doubleclick.net/click;h=v8/382a/4/ea/*/z;210527841;4-0;0;32023601;2321-160/600;29609833/29627712/1;;~sscs=?http:/www.schwabat.com/offer/offerdirect.aspx?offer=KJK&amp;url=/Price/Overview.aspx%5bQM%5d%5bAMP%5doffer=KJK%5bAMP%5ddetails=YAHOO_noplacement_banner_nostatus" TargetMode="External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4" Type="http://schemas.openxmlformats.org/officeDocument/2006/relationships/image" Target="../media/image4.gi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3</xdr:col>
      <xdr:colOff>95250</xdr:colOff>
      <xdr:row>6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95250</xdr:colOff>
      <xdr:row>7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95250</xdr:colOff>
      <xdr:row>8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95250</xdr:colOff>
      <xdr:row>9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95250</xdr:colOff>
      <xdr:row>27</xdr:row>
      <xdr:rowOff>133350</xdr:rowOff>
    </xdr:to>
    <xdr:pic>
      <xdr:nvPicPr>
        <xdr:cNvPr id="9" name="Picture 8" descr="Up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47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95250</xdr:colOff>
      <xdr:row>28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666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95250</xdr:colOff>
      <xdr:row>30</xdr:row>
      <xdr:rowOff>133350</xdr:rowOff>
    </xdr:to>
    <xdr:pic>
      <xdr:nvPicPr>
        <xdr:cNvPr id="11" name="Picture 10" descr="Up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04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95250</xdr:colOff>
      <xdr:row>31</xdr:row>
      <xdr:rowOff>133350</xdr:rowOff>
    </xdr:to>
    <xdr:pic>
      <xdr:nvPicPr>
        <xdr:cNvPr id="12" name="Picture 11" descr="Up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23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95250</xdr:colOff>
      <xdr:row>32</xdr:row>
      <xdr:rowOff>133350</xdr:rowOff>
    </xdr:to>
    <xdr:pic>
      <xdr:nvPicPr>
        <xdr:cNvPr id="13" name="Picture 12" descr="Up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42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95250</xdr:colOff>
      <xdr:row>33</xdr:row>
      <xdr:rowOff>133350</xdr:rowOff>
    </xdr:to>
    <xdr:pic>
      <xdr:nvPicPr>
        <xdr:cNvPr id="14" name="Picture 13" descr="Up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62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5" name="Picture 14" descr="Up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95250</xdr:colOff>
      <xdr:row>4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333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95250</xdr:colOff>
      <xdr:row>5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52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95250</xdr:colOff>
      <xdr:row>6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95250</xdr:colOff>
      <xdr:row>7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95250</xdr:colOff>
      <xdr:row>8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95250</xdr:colOff>
      <xdr:row>9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95250</xdr:colOff>
      <xdr:row>22</xdr:row>
      <xdr:rowOff>133350</xdr:rowOff>
    </xdr:to>
    <xdr:pic>
      <xdr:nvPicPr>
        <xdr:cNvPr id="11" name="Picture 10" descr="Up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533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95250</xdr:colOff>
      <xdr:row>23</xdr:row>
      <xdr:rowOff>133350</xdr:rowOff>
    </xdr:to>
    <xdr:pic>
      <xdr:nvPicPr>
        <xdr:cNvPr id="12" name="Picture 11" descr="Up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552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95250</xdr:colOff>
      <xdr:row>25</xdr:row>
      <xdr:rowOff>133350</xdr:rowOff>
    </xdr:to>
    <xdr:pic>
      <xdr:nvPicPr>
        <xdr:cNvPr id="13" name="Picture 12" descr="Up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590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95250</xdr:colOff>
      <xdr:row>26</xdr:row>
      <xdr:rowOff>133350</xdr:rowOff>
    </xdr:to>
    <xdr:pic>
      <xdr:nvPicPr>
        <xdr:cNvPr id="14" name="Picture 13" descr="Up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95250</xdr:colOff>
      <xdr:row>27</xdr:row>
      <xdr:rowOff>133350</xdr:rowOff>
    </xdr:to>
    <xdr:pic>
      <xdr:nvPicPr>
        <xdr:cNvPr id="15" name="Picture 14" descr="Up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28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95250</xdr:colOff>
      <xdr:row>28</xdr:row>
      <xdr:rowOff>133350</xdr:rowOff>
    </xdr:to>
    <xdr:pic>
      <xdr:nvPicPr>
        <xdr:cNvPr id="16" name="Picture 15" descr="Up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47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95250</xdr:colOff>
      <xdr:row>29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66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95250</xdr:colOff>
      <xdr:row>30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85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95250</xdr:colOff>
      <xdr:row>33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4295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95250</xdr:colOff>
      <xdr:row>13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95250</xdr:colOff>
      <xdr:row>14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95250</xdr:colOff>
      <xdr:row>15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95250</xdr:colOff>
      <xdr:row>16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95250</xdr:colOff>
      <xdr:row>17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95250</xdr:colOff>
      <xdr:row>18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95250</xdr:colOff>
      <xdr:row>19</xdr:row>
      <xdr:rowOff>133350</xdr:rowOff>
    </xdr:to>
    <xdr:pic>
      <xdr:nvPicPr>
        <xdr:cNvPr id="11" name="Picture 10" descr="Down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95250</xdr:colOff>
      <xdr:row>20</xdr:row>
      <xdr:rowOff>133350</xdr:rowOff>
    </xdr:to>
    <xdr:pic>
      <xdr:nvPicPr>
        <xdr:cNvPr id="12" name="Picture 11" descr="Down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95250</xdr:colOff>
      <xdr:row>30</xdr:row>
      <xdr:rowOff>133350</xdr:rowOff>
    </xdr:to>
    <xdr:pic>
      <xdr:nvPicPr>
        <xdr:cNvPr id="13" name="Picture 12" descr="Up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571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95250</xdr:colOff>
      <xdr:row>31</xdr:row>
      <xdr:rowOff>133350</xdr:rowOff>
    </xdr:to>
    <xdr:pic>
      <xdr:nvPicPr>
        <xdr:cNvPr id="14" name="Picture 13" descr="Up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590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95250</xdr:colOff>
      <xdr:row>32</xdr:row>
      <xdr:rowOff>133350</xdr:rowOff>
    </xdr:to>
    <xdr:pic>
      <xdr:nvPicPr>
        <xdr:cNvPr id="15" name="Picture 14" descr="Up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95250</xdr:colOff>
      <xdr:row>33</xdr:row>
      <xdr:rowOff>133350</xdr:rowOff>
    </xdr:to>
    <xdr:pic>
      <xdr:nvPicPr>
        <xdr:cNvPr id="16" name="Picture 15" descr="Up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28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95250</xdr:colOff>
      <xdr:row>34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47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95250</xdr:colOff>
      <xdr:row>35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66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95250</xdr:colOff>
      <xdr:row>36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85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95250</xdr:colOff>
      <xdr:row>37</xdr:row>
      <xdr:rowOff>133350</xdr:rowOff>
    </xdr:to>
    <xdr:pic>
      <xdr:nvPicPr>
        <xdr:cNvPr id="20" name="Picture 19" descr="Up"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704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95250</xdr:colOff>
      <xdr:row>38</xdr:row>
      <xdr:rowOff>133350</xdr:rowOff>
    </xdr:to>
    <xdr:pic>
      <xdr:nvPicPr>
        <xdr:cNvPr id="21" name="Picture 20" descr="Up"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723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95250</xdr:colOff>
      <xdr:row>39</xdr:row>
      <xdr:rowOff>133350</xdr:rowOff>
    </xdr:to>
    <xdr:pic>
      <xdr:nvPicPr>
        <xdr:cNvPr id="22" name="Picture 21" descr="Up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742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2</xdr:col>
      <xdr:colOff>304800</xdr:colOff>
      <xdr:row>77</xdr:row>
      <xdr:rowOff>0</xdr:rowOff>
    </xdr:to>
    <xdr:pic>
      <xdr:nvPicPr>
        <xdr:cNvPr id="23" name="Picture 24" descr="Click here to find out more!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0" y="8953500"/>
          <a:ext cx="1524000" cy="571500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95250</xdr:colOff>
      <xdr:row>9</xdr:row>
      <xdr:rowOff>133350</xdr:rowOff>
    </xdr:to>
    <xdr:pic>
      <xdr:nvPicPr>
        <xdr:cNvPr id="24" name="Picture 12" descr="Up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95250</xdr:colOff>
      <xdr:row>10</xdr:row>
      <xdr:rowOff>133350</xdr:rowOff>
    </xdr:to>
    <xdr:pic>
      <xdr:nvPicPr>
        <xdr:cNvPr id="25" name="Picture 13" descr="Up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133350</xdr:rowOff>
    </xdr:to>
    <xdr:pic>
      <xdr:nvPicPr>
        <xdr:cNvPr id="26" name="Picture 14" descr="Up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95250</xdr:colOff>
      <xdr:row>12</xdr:row>
      <xdr:rowOff>133350</xdr:rowOff>
    </xdr:to>
    <xdr:pic>
      <xdr:nvPicPr>
        <xdr:cNvPr id="27" name="Picture 15" descr="Up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95250</xdr:colOff>
      <xdr:row>13</xdr:row>
      <xdr:rowOff>133350</xdr:rowOff>
    </xdr:to>
    <xdr:pic>
      <xdr:nvPicPr>
        <xdr:cNvPr id="28" name="Picture 16" descr="Up"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11</xdr:col>
      <xdr:colOff>95250</xdr:colOff>
      <xdr:row>14</xdr:row>
      <xdr:rowOff>133350</xdr:rowOff>
    </xdr:to>
    <xdr:pic>
      <xdr:nvPicPr>
        <xdr:cNvPr id="29" name="Picture 17" descr="Up"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15</xdr:row>
      <xdr:rowOff>0</xdr:rowOff>
    </xdr:from>
    <xdr:to>
      <xdr:col>11</xdr:col>
      <xdr:colOff>95250</xdr:colOff>
      <xdr:row>15</xdr:row>
      <xdr:rowOff>133350</xdr:rowOff>
    </xdr:to>
    <xdr:pic>
      <xdr:nvPicPr>
        <xdr:cNvPr id="30" name="Picture 18" descr="Up"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11</xdr:col>
      <xdr:colOff>95250</xdr:colOff>
      <xdr:row>16</xdr:row>
      <xdr:rowOff>133350</xdr:rowOff>
    </xdr:to>
    <xdr:pic>
      <xdr:nvPicPr>
        <xdr:cNvPr id="31" name="Picture 19" descr="Up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17</xdr:row>
      <xdr:rowOff>0</xdr:rowOff>
    </xdr:from>
    <xdr:to>
      <xdr:col>11</xdr:col>
      <xdr:colOff>95250</xdr:colOff>
      <xdr:row>17</xdr:row>
      <xdr:rowOff>133350</xdr:rowOff>
    </xdr:to>
    <xdr:pic>
      <xdr:nvPicPr>
        <xdr:cNvPr id="32" name="Picture 20" descr="Up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18</xdr:row>
      <xdr:rowOff>0</xdr:rowOff>
    </xdr:from>
    <xdr:to>
      <xdr:col>11</xdr:col>
      <xdr:colOff>95250</xdr:colOff>
      <xdr:row>18</xdr:row>
      <xdr:rowOff>133350</xdr:rowOff>
    </xdr:to>
    <xdr:pic>
      <xdr:nvPicPr>
        <xdr:cNvPr id="33" name="Picture 21" descr="Up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34290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5</xdr:row>
      <xdr:rowOff>0</xdr:rowOff>
    </xdr:from>
    <xdr:to>
      <xdr:col>3</xdr:col>
      <xdr:colOff>95250</xdr:colOff>
      <xdr:row>5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52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95250</xdr:colOff>
      <xdr:row>7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95250</xdr:colOff>
      <xdr:row>13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95250</xdr:colOff>
      <xdr:row>14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95250</xdr:colOff>
      <xdr:row>15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95250</xdr:colOff>
      <xdr:row>16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95250</xdr:colOff>
      <xdr:row>17</xdr:row>
      <xdr:rowOff>133350</xdr:rowOff>
    </xdr:to>
    <xdr:pic>
      <xdr:nvPicPr>
        <xdr:cNvPr id="11" name="Picture 10" descr="Down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95250</xdr:colOff>
      <xdr:row>18</xdr:row>
      <xdr:rowOff>133350</xdr:rowOff>
    </xdr:to>
    <xdr:pic>
      <xdr:nvPicPr>
        <xdr:cNvPr id="12" name="Picture 11" descr="Down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00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95250</xdr:colOff>
      <xdr:row>19</xdr:row>
      <xdr:rowOff>133350</xdr:rowOff>
    </xdr:to>
    <xdr:pic>
      <xdr:nvPicPr>
        <xdr:cNvPr id="13" name="Picture 12" descr="Down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19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95250</xdr:colOff>
      <xdr:row>20</xdr:row>
      <xdr:rowOff>133350</xdr:rowOff>
    </xdr:to>
    <xdr:pic>
      <xdr:nvPicPr>
        <xdr:cNvPr id="14" name="Picture 13" descr="Down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381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95250</xdr:colOff>
      <xdr:row>21</xdr:row>
      <xdr:rowOff>133350</xdr:rowOff>
    </xdr:to>
    <xdr:pic>
      <xdr:nvPicPr>
        <xdr:cNvPr id="15" name="Picture 14" descr="Down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572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95250</xdr:colOff>
      <xdr:row>23</xdr:row>
      <xdr:rowOff>133350</xdr:rowOff>
    </xdr:to>
    <xdr:pic>
      <xdr:nvPicPr>
        <xdr:cNvPr id="16" name="Picture 15" descr="Down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95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62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95250</xdr:colOff>
      <xdr:row>35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95250</xdr:colOff>
      <xdr:row>36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00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95250</xdr:colOff>
      <xdr:row>37</xdr:row>
      <xdr:rowOff>133350</xdr:rowOff>
    </xdr:to>
    <xdr:pic>
      <xdr:nvPicPr>
        <xdr:cNvPr id="20" name="Picture 19" descr="Up"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191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95250</xdr:colOff>
      <xdr:row>38</xdr:row>
      <xdr:rowOff>133350</xdr:rowOff>
    </xdr:to>
    <xdr:pic>
      <xdr:nvPicPr>
        <xdr:cNvPr id="21" name="Picture 20" descr="Up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382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95250</xdr:colOff>
      <xdr:row>39</xdr:row>
      <xdr:rowOff>133350</xdr:rowOff>
    </xdr:to>
    <xdr:pic>
      <xdr:nvPicPr>
        <xdr:cNvPr id="22" name="Picture 21" descr="Up"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572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95250</xdr:colOff>
      <xdr:row>40</xdr:row>
      <xdr:rowOff>133350</xdr:rowOff>
    </xdr:to>
    <xdr:pic>
      <xdr:nvPicPr>
        <xdr:cNvPr id="23" name="Picture 22" descr="Up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76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95250</xdr:colOff>
      <xdr:row>41</xdr:row>
      <xdr:rowOff>133350</xdr:rowOff>
    </xdr:to>
    <xdr:pic>
      <xdr:nvPicPr>
        <xdr:cNvPr id="24" name="Picture 23" descr="Up"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953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95250</xdr:colOff>
      <xdr:row>42</xdr:row>
      <xdr:rowOff>133350</xdr:rowOff>
    </xdr:to>
    <xdr:pic>
      <xdr:nvPicPr>
        <xdr:cNvPr id="25" name="Picture 24" descr="Up"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14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95250</xdr:colOff>
      <xdr:row>44</xdr:row>
      <xdr:rowOff>133350</xdr:rowOff>
    </xdr:to>
    <xdr:pic>
      <xdr:nvPicPr>
        <xdr:cNvPr id="26" name="Picture 25" descr="Up"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52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95250</xdr:colOff>
      <xdr:row>47</xdr:row>
      <xdr:rowOff>133350</xdr:rowOff>
    </xdr:to>
    <xdr:pic>
      <xdr:nvPicPr>
        <xdr:cNvPr id="27" name="Picture 26" descr="Down"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009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3</xdr:col>
      <xdr:colOff>95250</xdr:colOff>
      <xdr:row>48</xdr:row>
      <xdr:rowOff>133350</xdr:rowOff>
    </xdr:to>
    <xdr:pic>
      <xdr:nvPicPr>
        <xdr:cNvPr id="28" name="Picture 27" descr="Up"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2870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95250</xdr:colOff>
      <xdr:row>4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52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95250</xdr:colOff>
      <xdr:row>8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95250</xdr:colOff>
      <xdr:row>13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95250</xdr:colOff>
      <xdr:row>14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95250</xdr:colOff>
      <xdr:row>15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95250</xdr:colOff>
      <xdr:row>16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95250</xdr:colOff>
      <xdr:row>17</xdr:row>
      <xdr:rowOff>133350</xdr:rowOff>
    </xdr:to>
    <xdr:pic>
      <xdr:nvPicPr>
        <xdr:cNvPr id="11" name="Picture 10" descr="Down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00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95250</xdr:colOff>
      <xdr:row>18</xdr:row>
      <xdr:rowOff>133350</xdr:rowOff>
    </xdr:to>
    <xdr:pic>
      <xdr:nvPicPr>
        <xdr:cNvPr id="12" name="Picture 11" descr="Down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19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95250</xdr:colOff>
      <xdr:row>20</xdr:row>
      <xdr:rowOff>133350</xdr:rowOff>
    </xdr:to>
    <xdr:pic>
      <xdr:nvPicPr>
        <xdr:cNvPr id="13" name="Picture 12" descr="Down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572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95250</xdr:colOff>
      <xdr:row>22</xdr:row>
      <xdr:rowOff>133350</xdr:rowOff>
    </xdr:to>
    <xdr:pic>
      <xdr:nvPicPr>
        <xdr:cNvPr id="14" name="Picture 13" descr="Down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95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95250</xdr:colOff>
      <xdr:row>27</xdr:row>
      <xdr:rowOff>133350</xdr:rowOff>
    </xdr:to>
    <xdr:pic>
      <xdr:nvPicPr>
        <xdr:cNvPr id="15" name="Picture 14" descr="Down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95250</xdr:colOff>
      <xdr:row>33</xdr:row>
      <xdr:rowOff>133350</xdr:rowOff>
    </xdr:to>
    <xdr:pic>
      <xdr:nvPicPr>
        <xdr:cNvPr id="16" name="Picture 15" descr="Up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191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95250</xdr:colOff>
      <xdr:row>38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33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95250</xdr:colOff>
      <xdr:row>39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52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95250</xdr:colOff>
      <xdr:row>40</xdr:row>
      <xdr:rowOff>133350</xdr:rowOff>
    </xdr:to>
    <xdr:pic>
      <xdr:nvPicPr>
        <xdr:cNvPr id="20" name="Picture 19" descr="Up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90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95250</xdr:colOff>
      <xdr:row>41</xdr:row>
      <xdr:rowOff>133350</xdr:rowOff>
    </xdr:to>
    <xdr:pic>
      <xdr:nvPicPr>
        <xdr:cNvPr id="21" name="Picture 20" descr="Up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09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95250</xdr:colOff>
      <xdr:row>42</xdr:row>
      <xdr:rowOff>133350</xdr:rowOff>
    </xdr:to>
    <xdr:pic>
      <xdr:nvPicPr>
        <xdr:cNvPr id="22" name="Picture 21" descr="Up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28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95250</xdr:colOff>
      <xdr:row>43</xdr:row>
      <xdr:rowOff>133350</xdr:rowOff>
    </xdr:to>
    <xdr:pic>
      <xdr:nvPicPr>
        <xdr:cNvPr id="23" name="Picture 22" descr="Up"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47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95250</xdr:colOff>
      <xdr:row>44</xdr:row>
      <xdr:rowOff>133350</xdr:rowOff>
    </xdr:to>
    <xdr:pic>
      <xdr:nvPicPr>
        <xdr:cNvPr id="24" name="Picture 23" descr="Up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8585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3</xdr:col>
      <xdr:colOff>95250</xdr:colOff>
      <xdr:row>6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95250</xdr:colOff>
      <xdr:row>13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95250</xdr:colOff>
      <xdr:row>14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95250</xdr:colOff>
      <xdr:row>15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95250</xdr:colOff>
      <xdr:row>16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95250</xdr:colOff>
      <xdr:row>17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95250</xdr:colOff>
      <xdr:row>18</xdr:row>
      <xdr:rowOff>133350</xdr:rowOff>
    </xdr:to>
    <xdr:pic>
      <xdr:nvPicPr>
        <xdr:cNvPr id="11" name="Picture 10" descr="Down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00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95250</xdr:colOff>
      <xdr:row>19</xdr:row>
      <xdr:rowOff>133350</xdr:rowOff>
    </xdr:to>
    <xdr:pic>
      <xdr:nvPicPr>
        <xdr:cNvPr id="12" name="Picture 11" descr="Down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19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95250</xdr:colOff>
      <xdr:row>26</xdr:row>
      <xdr:rowOff>133350</xdr:rowOff>
    </xdr:to>
    <xdr:pic>
      <xdr:nvPicPr>
        <xdr:cNvPr id="13" name="Picture 12" descr="Down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4" name="Picture 13" descr="Down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95250</xdr:colOff>
      <xdr:row>35</xdr:row>
      <xdr:rowOff>133350</xdr:rowOff>
    </xdr:to>
    <xdr:pic>
      <xdr:nvPicPr>
        <xdr:cNvPr id="15" name="Picture 14" descr="Up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00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95250</xdr:colOff>
      <xdr:row>38</xdr:row>
      <xdr:rowOff>133350</xdr:rowOff>
    </xdr:to>
    <xdr:pic>
      <xdr:nvPicPr>
        <xdr:cNvPr id="16" name="Picture 15" descr="Up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572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95250</xdr:colOff>
      <xdr:row>39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76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95250</xdr:colOff>
      <xdr:row>42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id="{00000000-0008-0000-18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33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3</xdr:col>
      <xdr:colOff>95250</xdr:colOff>
      <xdr:row>45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id="{00000000-0008-0000-18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9060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189943</xdr:colOff>
      <xdr:row>7</xdr:row>
      <xdr:rowOff>23728</xdr:rowOff>
    </xdr:from>
    <xdr:to>
      <xdr:col>10</xdr:col>
      <xdr:colOff>627759</xdr:colOff>
      <xdr:row>23</xdr:row>
      <xdr:rowOff>95471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CEECE4A-D122-6B82-170D-190FC5A75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WORK/MIT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>
            <v>0.153533935546875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/op?s=IBM&amp;k=95.000000" TargetMode="External"/><Relationship Id="rId18" Type="http://schemas.openxmlformats.org/officeDocument/2006/relationships/hyperlink" Target="http://finance.yahoo.com/q?s=IBMEA.X" TargetMode="External"/><Relationship Id="rId26" Type="http://schemas.openxmlformats.org/officeDocument/2006/relationships/hyperlink" Target="http://finance.yahoo.com/q?s=IBMEE.X" TargetMode="External"/><Relationship Id="rId39" Type="http://schemas.openxmlformats.org/officeDocument/2006/relationships/hyperlink" Target="http://finance.yahoo.com/q/op?s=IBM&amp;k=80.000000" TargetMode="External"/><Relationship Id="rId21" Type="http://schemas.openxmlformats.org/officeDocument/2006/relationships/hyperlink" Target="http://finance.yahoo.com/q/op?s=IBM&amp;k=115.000000" TargetMode="External"/><Relationship Id="rId34" Type="http://schemas.openxmlformats.org/officeDocument/2006/relationships/hyperlink" Target="http://finance.yahoo.com/q?s=IBMQM.X" TargetMode="External"/><Relationship Id="rId42" Type="http://schemas.openxmlformats.org/officeDocument/2006/relationships/hyperlink" Target="http://finance.yahoo.com/q?s=IBMQQ.X" TargetMode="External"/><Relationship Id="rId47" Type="http://schemas.openxmlformats.org/officeDocument/2006/relationships/hyperlink" Target="http://finance.yahoo.com/q/op?s=IBM&amp;k=100.000000" TargetMode="External"/><Relationship Id="rId50" Type="http://schemas.openxmlformats.org/officeDocument/2006/relationships/hyperlink" Target="http://finance.yahoo.com/q?s=IBMQA.X" TargetMode="External"/><Relationship Id="rId55" Type="http://schemas.openxmlformats.org/officeDocument/2006/relationships/hyperlink" Target="http://finance.yahoo.com/q/op?s=IBM&amp;k=120.000000" TargetMode="External"/><Relationship Id="rId7" Type="http://schemas.openxmlformats.org/officeDocument/2006/relationships/hyperlink" Target="http://finance.yahoo.com/q/op?s=IBM&amp;k=80.000000" TargetMode="External"/><Relationship Id="rId2" Type="http://schemas.openxmlformats.org/officeDocument/2006/relationships/hyperlink" Target="http://finance.yahoo.com/q?s=IBMEU.X" TargetMode="External"/><Relationship Id="rId16" Type="http://schemas.openxmlformats.org/officeDocument/2006/relationships/hyperlink" Target="http://finance.yahoo.com/q?s=IBMET.X" TargetMode="External"/><Relationship Id="rId29" Type="http://schemas.openxmlformats.org/officeDocument/2006/relationships/hyperlink" Target="http://finance.yahoo.com/q/op?s=IBM&amp;k=55.000000" TargetMode="External"/><Relationship Id="rId11" Type="http://schemas.openxmlformats.org/officeDocument/2006/relationships/hyperlink" Target="http://finance.yahoo.com/q/op?s=IBM&amp;k=90.000000" TargetMode="External"/><Relationship Id="rId24" Type="http://schemas.openxmlformats.org/officeDocument/2006/relationships/hyperlink" Target="http://finance.yahoo.com/q?s=IBMED.X" TargetMode="External"/><Relationship Id="rId32" Type="http://schemas.openxmlformats.org/officeDocument/2006/relationships/hyperlink" Target="http://finance.yahoo.com/q?s=IBMQL.X" TargetMode="External"/><Relationship Id="rId37" Type="http://schemas.openxmlformats.org/officeDocument/2006/relationships/hyperlink" Target="http://finance.yahoo.com/q/op?s=IBM&amp;k=75.000000" TargetMode="External"/><Relationship Id="rId40" Type="http://schemas.openxmlformats.org/officeDocument/2006/relationships/hyperlink" Target="http://finance.yahoo.com/q?s=IBMQP.X" TargetMode="External"/><Relationship Id="rId45" Type="http://schemas.openxmlformats.org/officeDocument/2006/relationships/hyperlink" Target="http://finance.yahoo.com/q/op?s=IBM&amp;k=95.000000" TargetMode="External"/><Relationship Id="rId53" Type="http://schemas.openxmlformats.org/officeDocument/2006/relationships/hyperlink" Target="http://finance.yahoo.com/q/op?s=IBM&amp;k=115.000000" TargetMode="External"/><Relationship Id="rId58" Type="http://schemas.openxmlformats.org/officeDocument/2006/relationships/hyperlink" Target="http://finance.yahoo.com/q?s=IBMQE.X" TargetMode="External"/><Relationship Id="rId5" Type="http://schemas.openxmlformats.org/officeDocument/2006/relationships/hyperlink" Target="http://finance.yahoo.com/q/op?s=IBM&amp;k=60.000000" TargetMode="External"/><Relationship Id="rId61" Type="http://schemas.openxmlformats.org/officeDocument/2006/relationships/hyperlink" Target="http://finance.yahoo.com/q/os?s=IBM&amp;m=2009-05-15" TargetMode="External"/><Relationship Id="rId19" Type="http://schemas.openxmlformats.org/officeDocument/2006/relationships/hyperlink" Target="http://finance.yahoo.com/q/op?s=IBM&amp;k=110.000000" TargetMode="External"/><Relationship Id="rId14" Type="http://schemas.openxmlformats.org/officeDocument/2006/relationships/hyperlink" Target="http://finance.yahoo.com/q?s=IBMES.X" TargetMode="External"/><Relationship Id="rId22" Type="http://schemas.openxmlformats.org/officeDocument/2006/relationships/hyperlink" Target="http://finance.yahoo.com/q?s=IBMEC.X" TargetMode="External"/><Relationship Id="rId27" Type="http://schemas.openxmlformats.org/officeDocument/2006/relationships/hyperlink" Target="http://finance.yahoo.com/q/op?s=IBM&amp;k=130.000000" TargetMode="External"/><Relationship Id="rId30" Type="http://schemas.openxmlformats.org/officeDocument/2006/relationships/hyperlink" Target="http://finance.yahoo.com/q?s=IBMQV.X" TargetMode="External"/><Relationship Id="rId35" Type="http://schemas.openxmlformats.org/officeDocument/2006/relationships/hyperlink" Target="http://finance.yahoo.com/q/op?s=IBM&amp;k=70.000000" TargetMode="External"/><Relationship Id="rId43" Type="http://schemas.openxmlformats.org/officeDocument/2006/relationships/hyperlink" Target="http://finance.yahoo.com/q/op?s=IBM&amp;k=90.000000" TargetMode="External"/><Relationship Id="rId48" Type="http://schemas.openxmlformats.org/officeDocument/2006/relationships/hyperlink" Target="http://finance.yahoo.com/q?s=IBMQT.X" TargetMode="External"/><Relationship Id="rId56" Type="http://schemas.openxmlformats.org/officeDocument/2006/relationships/hyperlink" Target="http://finance.yahoo.com/q?s=IBMQD.X" TargetMode="External"/><Relationship Id="rId8" Type="http://schemas.openxmlformats.org/officeDocument/2006/relationships/hyperlink" Target="http://finance.yahoo.com/q?s=IBMEP.X" TargetMode="External"/><Relationship Id="rId51" Type="http://schemas.openxmlformats.org/officeDocument/2006/relationships/hyperlink" Target="http://finance.yahoo.com/q/op?s=IBM&amp;k=110.000000" TargetMode="External"/><Relationship Id="rId3" Type="http://schemas.openxmlformats.org/officeDocument/2006/relationships/hyperlink" Target="http://finance.yahoo.com/q/op?s=IBM&amp;k=55.000000" TargetMode="External"/><Relationship Id="rId12" Type="http://schemas.openxmlformats.org/officeDocument/2006/relationships/hyperlink" Target="http://finance.yahoo.com/q?s=IBMER.X" TargetMode="External"/><Relationship Id="rId17" Type="http://schemas.openxmlformats.org/officeDocument/2006/relationships/hyperlink" Target="http://finance.yahoo.com/q/op?s=IBM&amp;k=105.000000" TargetMode="External"/><Relationship Id="rId25" Type="http://schemas.openxmlformats.org/officeDocument/2006/relationships/hyperlink" Target="http://finance.yahoo.com/q/op?s=IBM&amp;k=125.000000" TargetMode="External"/><Relationship Id="rId33" Type="http://schemas.openxmlformats.org/officeDocument/2006/relationships/hyperlink" Target="http://finance.yahoo.com/q/op?s=IBM&amp;k=65.000000" TargetMode="External"/><Relationship Id="rId38" Type="http://schemas.openxmlformats.org/officeDocument/2006/relationships/hyperlink" Target="http://finance.yahoo.com/q?s=IBMQO.X" TargetMode="External"/><Relationship Id="rId46" Type="http://schemas.openxmlformats.org/officeDocument/2006/relationships/hyperlink" Target="http://finance.yahoo.com/q?s=IBMQS.X" TargetMode="External"/><Relationship Id="rId59" Type="http://schemas.openxmlformats.org/officeDocument/2006/relationships/hyperlink" Target="http://finance.yahoo.com/q/op?s=IBM&amp;k=130.000000" TargetMode="External"/><Relationship Id="rId20" Type="http://schemas.openxmlformats.org/officeDocument/2006/relationships/hyperlink" Target="http://finance.yahoo.com/q?s=IBMEB.X" TargetMode="External"/><Relationship Id="rId41" Type="http://schemas.openxmlformats.org/officeDocument/2006/relationships/hyperlink" Target="http://finance.yahoo.com/q/op?s=IBM&amp;k=85.000000" TargetMode="External"/><Relationship Id="rId54" Type="http://schemas.openxmlformats.org/officeDocument/2006/relationships/hyperlink" Target="http://finance.yahoo.com/q?s=IBMQC.X" TargetMode="External"/><Relationship Id="rId62" Type="http://schemas.openxmlformats.org/officeDocument/2006/relationships/drawing" Target="../drawings/drawing1.xml"/><Relationship Id="rId1" Type="http://schemas.openxmlformats.org/officeDocument/2006/relationships/hyperlink" Target="http://finance.yahoo.com/q/op?s=IBM&amp;k=50.000000" TargetMode="External"/><Relationship Id="rId6" Type="http://schemas.openxmlformats.org/officeDocument/2006/relationships/hyperlink" Target="http://finance.yahoo.com/q?s=IBMEL.X" TargetMode="External"/><Relationship Id="rId15" Type="http://schemas.openxmlformats.org/officeDocument/2006/relationships/hyperlink" Target="http://finance.yahoo.com/q/op?s=IBM&amp;k=100.000000" TargetMode="External"/><Relationship Id="rId23" Type="http://schemas.openxmlformats.org/officeDocument/2006/relationships/hyperlink" Target="http://finance.yahoo.com/q/op?s=IBM&amp;k=120.000000" TargetMode="External"/><Relationship Id="rId28" Type="http://schemas.openxmlformats.org/officeDocument/2006/relationships/hyperlink" Target="http://finance.yahoo.com/q?s=IBMEF.X" TargetMode="External"/><Relationship Id="rId36" Type="http://schemas.openxmlformats.org/officeDocument/2006/relationships/hyperlink" Target="http://finance.yahoo.com/q?s=IBMQN.X" TargetMode="External"/><Relationship Id="rId49" Type="http://schemas.openxmlformats.org/officeDocument/2006/relationships/hyperlink" Target="http://finance.yahoo.com/q/op?s=IBM&amp;k=105.000000" TargetMode="External"/><Relationship Id="rId57" Type="http://schemas.openxmlformats.org/officeDocument/2006/relationships/hyperlink" Target="http://finance.yahoo.com/q/op?s=IBM&amp;k=125.000000" TargetMode="External"/><Relationship Id="rId10" Type="http://schemas.openxmlformats.org/officeDocument/2006/relationships/hyperlink" Target="http://finance.yahoo.com/q?s=IBMEQ.X" TargetMode="External"/><Relationship Id="rId31" Type="http://schemas.openxmlformats.org/officeDocument/2006/relationships/hyperlink" Target="http://finance.yahoo.com/q/op?s=IBM&amp;k=60.000000" TargetMode="External"/><Relationship Id="rId44" Type="http://schemas.openxmlformats.org/officeDocument/2006/relationships/hyperlink" Target="http://finance.yahoo.com/q?s=IBMQR.X" TargetMode="External"/><Relationship Id="rId52" Type="http://schemas.openxmlformats.org/officeDocument/2006/relationships/hyperlink" Target="http://finance.yahoo.com/q?s=IBMQB.X" TargetMode="External"/><Relationship Id="rId60" Type="http://schemas.openxmlformats.org/officeDocument/2006/relationships/hyperlink" Target="http://finance.yahoo.com/q?s=IBMQF.X" TargetMode="External"/><Relationship Id="rId4" Type="http://schemas.openxmlformats.org/officeDocument/2006/relationships/hyperlink" Target="http://finance.yahoo.com/q?s=IBMEV.X" TargetMode="External"/><Relationship Id="rId9" Type="http://schemas.openxmlformats.org/officeDocument/2006/relationships/hyperlink" Target="http://finance.yahoo.com/q/op?s=IBM&amp;k=85.000000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/op?s=IBM&amp;k=110.000000" TargetMode="External"/><Relationship Id="rId18" Type="http://schemas.openxmlformats.org/officeDocument/2006/relationships/hyperlink" Target="http://finance.yahoo.com/q?s=IBMFD.X" TargetMode="External"/><Relationship Id="rId26" Type="http://schemas.openxmlformats.org/officeDocument/2006/relationships/hyperlink" Target="http://finance.yahoo.com/q?s=IBMRL.X" TargetMode="External"/><Relationship Id="rId39" Type="http://schemas.openxmlformats.org/officeDocument/2006/relationships/hyperlink" Target="http://finance.yahoo.com/q/op?s=IBM&amp;k=95.000000" TargetMode="External"/><Relationship Id="rId21" Type="http://schemas.openxmlformats.org/officeDocument/2006/relationships/hyperlink" Target="http://finance.yahoo.com/q/op?s=IBM&amp;k=130.000000" TargetMode="External"/><Relationship Id="rId34" Type="http://schemas.openxmlformats.org/officeDocument/2006/relationships/hyperlink" Target="http://finance.yahoo.com/q?s=IBMRP.X" TargetMode="External"/><Relationship Id="rId42" Type="http://schemas.openxmlformats.org/officeDocument/2006/relationships/hyperlink" Target="http://finance.yahoo.com/q?s=IBMRT.X" TargetMode="External"/><Relationship Id="rId47" Type="http://schemas.openxmlformats.org/officeDocument/2006/relationships/hyperlink" Target="http://finance.yahoo.com/q/op?s=IBM&amp;k=115.000000" TargetMode="External"/><Relationship Id="rId50" Type="http://schemas.openxmlformats.org/officeDocument/2006/relationships/hyperlink" Target="http://finance.yahoo.com/q?s=IBMRD.X" TargetMode="External"/><Relationship Id="rId55" Type="http://schemas.openxmlformats.org/officeDocument/2006/relationships/hyperlink" Target="http://finance.yahoo.com/q/op?s=IBM&amp;k=135.000000" TargetMode="External"/><Relationship Id="rId7" Type="http://schemas.openxmlformats.org/officeDocument/2006/relationships/hyperlink" Target="http://finance.yahoo.com/q/op?s=IBM&amp;k=95.000000" TargetMode="External"/><Relationship Id="rId2" Type="http://schemas.openxmlformats.org/officeDocument/2006/relationships/hyperlink" Target="http://finance.yahoo.com/q?s=IBMFP.X" TargetMode="External"/><Relationship Id="rId16" Type="http://schemas.openxmlformats.org/officeDocument/2006/relationships/hyperlink" Target="http://finance.yahoo.com/q?s=IBMFC.X" TargetMode="External"/><Relationship Id="rId29" Type="http://schemas.openxmlformats.org/officeDocument/2006/relationships/hyperlink" Target="http://finance.yahoo.com/q/op?s=IBM&amp;k=70.000000" TargetMode="External"/><Relationship Id="rId11" Type="http://schemas.openxmlformats.org/officeDocument/2006/relationships/hyperlink" Target="http://finance.yahoo.com/q/op?s=IBM&amp;k=105.000000" TargetMode="External"/><Relationship Id="rId24" Type="http://schemas.openxmlformats.org/officeDocument/2006/relationships/hyperlink" Target="http://finance.yahoo.com/q?s=IBMFH.X" TargetMode="External"/><Relationship Id="rId32" Type="http://schemas.openxmlformats.org/officeDocument/2006/relationships/hyperlink" Target="http://finance.yahoo.com/q?s=IBMRO.X" TargetMode="External"/><Relationship Id="rId37" Type="http://schemas.openxmlformats.org/officeDocument/2006/relationships/hyperlink" Target="http://finance.yahoo.com/q/op?s=IBM&amp;k=90.000000" TargetMode="External"/><Relationship Id="rId40" Type="http://schemas.openxmlformats.org/officeDocument/2006/relationships/hyperlink" Target="http://finance.yahoo.com/q?s=IBMRS.X" TargetMode="External"/><Relationship Id="rId45" Type="http://schemas.openxmlformats.org/officeDocument/2006/relationships/hyperlink" Target="http://finance.yahoo.com/q/op?s=IBM&amp;k=110.000000" TargetMode="External"/><Relationship Id="rId53" Type="http://schemas.openxmlformats.org/officeDocument/2006/relationships/hyperlink" Target="http://finance.yahoo.com/q/op?s=IBM&amp;k=130.000000" TargetMode="External"/><Relationship Id="rId58" Type="http://schemas.openxmlformats.org/officeDocument/2006/relationships/drawing" Target="../drawings/drawing2.xml"/><Relationship Id="rId5" Type="http://schemas.openxmlformats.org/officeDocument/2006/relationships/hyperlink" Target="http://finance.yahoo.com/q/op?s=IBM&amp;k=90.000000" TargetMode="External"/><Relationship Id="rId19" Type="http://schemas.openxmlformats.org/officeDocument/2006/relationships/hyperlink" Target="http://finance.yahoo.com/q/op?s=IBM&amp;k=125.000000" TargetMode="External"/><Relationship Id="rId4" Type="http://schemas.openxmlformats.org/officeDocument/2006/relationships/hyperlink" Target="http://finance.yahoo.com/q?s=IBMFQ.X" TargetMode="External"/><Relationship Id="rId9" Type="http://schemas.openxmlformats.org/officeDocument/2006/relationships/hyperlink" Target="http://finance.yahoo.com/q/op?s=IBM&amp;k=100.000000" TargetMode="External"/><Relationship Id="rId14" Type="http://schemas.openxmlformats.org/officeDocument/2006/relationships/hyperlink" Target="http://finance.yahoo.com/q?s=IBMFB.X" TargetMode="External"/><Relationship Id="rId22" Type="http://schemas.openxmlformats.org/officeDocument/2006/relationships/hyperlink" Target="http://finance.yahoo.com/q?s=IBMFF.X" TargetMode="External"/><Relationship Id="rId27" Type="http://schemas.openxmlformats.org/officeDocument/2006/relationships/hyperlink" Target="http://finance.yahoo.com/q/op?s=IBM&amp;k=65.000000" TargetMode="External"/><Relationship Id="rId30" Type="http://schemas.openxmlformats.org/officeDocument/2006/relationships/hyperlink" Target="http://finance.yahoo.com/q?s=IBMRN.X" TargetMode="External"/><Relationship Id="rId35" Type="http://schemas.openxmlformats.org/officeDocument/2006/relationships/hyperlink" Target="http://finance.yahoo.com/q/op?s=IBM&amp;k=85.000000" TargetMode="External"/><Relationship Id="rId43" Type="http://schemas.openxmlformats.org/officeDocument/2006/relationships/hyperlink" Target="http://finance.yahoo.com/q/op?s=IBM&amp;k=105.000000" TargetMode="External"/><Relationship Id="rId48" Type="http://schemas.openxmlformats.org/officeDocument/2006/relationships/hyperlink" Target="http://finance.yahoo.com/q?s=IBMRC.X" TargetMode="External"/><Relationship Id="rId56" Type="http://schemas.openxmlformats.org/officeDocument/2006/relationships/hyperlink" Target="http://finance.yahoo.com/q?s=IBMRG.X" TargetMode="External"/><Relationship Id="rId8" Type="http://schemas.openxmlformats.org/officeDocument/2006/relationships/hyperlink" Target="http://finance.yahoo.com/q?s=IBMFS.X" TargetMode="External"/><Relationship Id="rId51" Type="http://schemas.openxmlformats.org/officeDocument/2006/relationships/hyperlink" Target="http://finance.yahoo.com/q/op?s=IBM&amp;k=125.000000" TargetMode="External"/><Relationship Id="rId3" Type="http://schemas.openxmlformats.org/officeDocument/2006/relationships/hyperlink" Target="http://finance.yahoo.com/q/op?s=IBM&amp;k=85.000000" TargetMode="External"/><Relationship Id="rId12" Type="http://schemas.openxmlformats.org/officeDocument/2006/relationships/hyperlink" Target="http://finance.yahoo.com/q?s=IBMFA.X" TargetMode="External"/><Relationship Id="rId17" Type="http://schemas.openxmlformats.org/officeDocument/2006/relationships/hyperlink" Target="http://finance.yahoo.com/q/op?s=IBM&amp;k=120.000000" TargetMode="External"/><Relationship Id="rId25" Type="http://schemas.openxmlformats.org/officeDocument/2006/relationships/hyperlink" Target="http://finance.yahoo.com/q/op?s=IBM&amp;k=60.000000" TargetMode="External"/><Relationship Id="rId33" Type="http://schemas.openxmlformats.org/officeDocument/2006/relationships/hyperlink" Target="http://finance.yahoo.com/q/op?s=IBM&amp;k=80.000000" TargetMode="External"/><Relationship Id="rId38" Type="http://schemas.openxmlformats.org/officeDocument/2006/relationships/hyperlink" Target="http://finance.yahoo.com/q?s=IBMRR.X" TargetMode="External"/><Relationship Id="rId46" Type="http://schemas.openxmlformats.org/officeDocument/2006/relationships/hyperlink" Target="http://finance.yahoo.com/q?s=IBMRB.X" TargetMode="External"/><Relationship Id="rId59" Type="http://schemas.openxmlformats.org/officeDocument/2006/relationships/vmlDrawing" Target="../drawings/vmlDrawing1.vml"/><Relationship Id="rId20" Type="http://schemas.openxmlformats.org/officeDocument/2006/relationships/hyperlink" Target="http://finance.yahoo.com/q?s=IBMFE.X" TargetMode="External"/><Relationship Id="rId41" Type="http://schemas.openxmlformats.org/officeDocument/2006/relationships/hyperlink" Target="http://finance.yahoo.com/q/op?s=IBM&amp;k=100.000000" TargetMode="External"/><Relationship Id="rId54" Type="http://schemas.openxmlformats.org/officeDocument/2006/relationships/hyperlink" Target="http://finance.yahoo.com/q?s=IBMRF.X" TargetMode="External"/><Relationship Id="rId1" Type="http://schemas.openxmlformats.org/officeDocument/2006/relationships/hyperlink" Target="http://finance.yahoo.com/q/op?s=IBM&amp;k=80.000000" TargetMode="External"/><Relationship Id="rId6" Type="http://schemas.openxmlformats.org/officeDocument/2006/relationships/hyperlink" Target="http://finance.yahoo.com/q?s=IBMFR.X" TargetMode="External"/><Relationship Id="rId15" Type="http://schemas.openxmlformats.org/officeDocument/2006/relationships/hyperlink" Target="http://finance.yahoo.com/q/op?s=IBM&amp;k=115.000000" TargetMode="External"/><Relationship Id="rId23" Type="http://schemas.openxmlformats.org/officeDocument/2006/relationships/hyperlink" Target="http://finance.yahoo.com/q/op?s=IBM&amp;k=140.000000" TargetMode="External"/><Relationship Id="rId28" Type="http://schemas.openxmlformats.org/officeDocument/2006/relationships/hyperlink" Target="http://finance.yahoo.com/q?s=IBMRM.X" TargetMode="External"/><Relationship Id="rId36" Type="http://schemas.openxmlformats.org/officeDocument/2006/relationships/hyperlink" Target="http://finance.yahoo.com/q?s=IBMRQ.X" TargetMode="External"/><Relationship Id="rId49" Type="http://schemas.openxmlformats.org/officeDocument/2006/relationships/hyperlink" Target="http://finance.yahoo.com/q/op?s=IBM&amp;k=120.000000" TargetMode="External"/><Relationship Id="rId57" Type="http://schemas.openxmlformats.org/officeDocument/2006/relationships/hyperlink" Target="http://finance.yahoo.com/q/os?s=IBM&amp;m=2009-06-19" TargetMode="External"/><Relationship Id="rId10" Type="http://schemas.openxmlformats.org/officeDocument/2006/relationships/hyperlink" Target="http://finance.yahoo.com/q?s=IBMFT.X" TargetMode="External"/><Relationship Id="rId31" Type="http://schemas.openxmlformats.org/officeDocument/2006/relationships/hyperlink" Target="http://finance.yahoo.com/q/op?s=IBM&amp;k=75.000000" TargetMode="External"/><Relationship Id="rId44" Type="http://schemas.openxmlformats.org/officeDocument/2006/relationships/hyperlink" Target="http://finance.yahoo.com/q?s=IBMRA.X" TargetMode="External"/><Relationship Id="rId52" Type="http://schemas.openxmlformats.org/officeDocument/2006/relationships/hyperlink" Target="http://finance.yahoo.com/q?s=IBMRE.X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IBMJB.X" TargetMode="External"/><Relationship Id="rId21" Type="http://schemas.openxmlformats.org/officeDocument/2006/relationships/hyperlink" Target="http://finance.yahoo.com/q/op?s=IBM&amp;k=100.000000" TargetMode="External"/><Relationship Id="rId42" Type="http://schemas.openxmlformats.org/officeDocument/2006/relationships/hyperlink" Target="http://finance.yahoo.com/q?s=IBMVX.X" TargetMode="External"/><Relationship Id="rId47" Type="http://schemas.openxmlformats.org/officeDocument/2006/relationships/hyperlink" Target="http://finance.yahoo.com/q/op?s=IBM&amp;k=60.000000" TargetMode="External"/><Relationship Id="rId63" Type="http://schemas.openxmlformats.org/officeDocument/2006/relationships/hyperlink" Target="http://finance.yahoo.com/q/op?s=IBM&amp;k=100.000000" TargetMode="External"/><Relationship Id="rId68" Type="http://schemas.openxmlformats.org/officeDocument/2006/relationships/hyperlink" Target="http://finance.yahoo.com/q?s=IBMVB.X" TargetMode="External"/><Relationship Id="rId16" Type="http://schemas.openxmlformats.org/officeDocument/2006/relationships/hyperlink" Target="http://finance.yahoo.com/q?s=IBMJQ.X" TargetMode="External"/><Relationship Id="rId11" Type="http://schemas.openxmlformats.org/officeDocument/2006/relationships/hyperlink" Target="http://finance.yahoo.com/q/op?s=IBM&amp;k=75.000000" TargetMode="External"/><Relationship Id="rId32" Type="http://schemas.openxmlformats.org/officeDocument/2006/relationships/hyperlink" Target="http://finance.yahoo.com/q?s=IBMJE.X" TargetMode="External"/><Relationship Id="rId37" Type="http://schemas.openxmlformats.org/officeDocument/2006/relationships/hyperlink" Target="http://finance.yahoo.com/q/op?s=IBM&amp;k=140.000000" TargetMode="External"/><Relationship Id="rId53" Type="http://schemas.openxmlformats.org/officeDocument/2006/relationships/hyperlink" Target="http://finance.yahoo.com/q/op?s=IBM&amp;k=75.000000" TargetMode="External"/><Relationship Id="rId58" Type="http://schemas.openxmlformats.org/officeDocument/2006/relationships/hyperlink" Target="http://finance.yahoo.com/q?s=IBMVQ.X" TargetMode="External"/><Relationship Id="rId74" Type="http://schemas.openxmlformats.org/officeDocument/2006/relationships/hyperlink" Target="http://finance.yahoo.com/q?s=IBMVE.X" TargetMode="External"/><Relationship Id="rId79" Type="http://schemas.openxmlformats.org/officeDocument/2006/relationships/hyperlink" Target="http://finance.yahoo.com/q/op?s=IBM&amp;k=140.000000" TargetMode="External"/><Relationship Id="rId5" Type="http://schemas.openxmlformats.org/officeDocument/2006/relationships/hyperlink" Target="http://finance.yahoo.com/q/op?s=IBM&amp;k=60.000000" TargetMode="External"/><Relationship Id="rId61" Type="http://schemas.openxmlformats.org/officeDocument/2006/relationships/hyperlink" Target="http://finance.yahoo.com/q/op?s=IBM&amp;k=95.000000" TargetMode="External"/><Relationship Id="rId82" Type="http://schemas.openxmlformats.org/officeDocument/2006/relationships/hyperlink" Target="http://finance.yahoo.com/q?s=IBMVI.X" TargetMode="External"/><Relationship Id="rId19" Type="http://schemas.openxmlformats.org/officeDocument/2006/relationships/hyperlink" Target="http://finance.yahoo.com/q/op?s=IBM&amp;k=95.000000" TargetMode="External"/><Relationship Id="rId14" Type="http://schemas.openxmlformats.org/officeDocument/2006/relationships/hyperlink" Target="http://finance.yahoo.com/q?s=IBMJP.X" TargetMode="External"/><Relationship Id="rId22" Type="http://schemas.openxmlformats.org/officeDocument/2006/relationships/hyperlink" Target="http://finance.yahoo.com/q?s=IBMJT.X" TargetMode="External"/><Relationship Id="rId27" Type="http://schemas.openxmlformats.org/officeDocument/2006/relationships/hyperlink" Target="http://finance.yahoo.com/q/op?s=IBM&amp;k=115.000000" TargetMode="External"/><Relationship Id="rId30" Type="http://schemas.openxmlformats.org/officeDocument/2006/relationships/hyperlink" Target="http://finance.yahoo.com/q?s=IBMJD.X" TargetMode="External"/><Relationship Id="rId35" Type="http://schemas.openxmlformats.org/officeDocument/2006/relationships/hyperlink" Target="http://finance.yahoo.com/q/op?s=IBM&amp;k=135.000000" TargetMode="External"/><Relationship Id="rId43" Type="http://schemas.openxmlformats.org/officeDocument/2006/relationships/hyperlink" Target="http://finance.yahoo.com/q/op?s=IBM&amp;k=50.000000" TargetMode="External"/><Relationship Id="rId48" Type="http://schemas.openxmlformats.org/officeDocument/2006/relationships/hyperlink" Target="http://finance.yahoo.com/q?s=IBMVL.X" TargetMode="External"/><Relationship Id="rId56" Type="http://schemas.openxmlformats.org/officeDocument/2006/relationships/hyperlink" Target="http://finance.yahoo.com/q?s=IBMVP.X" TargetMode="External"/><Relationship Id="rId64" Type="http://schemas.openxmlformats.org/officeDocument/2006/relationships/hyperlink" Target="http://finance.yahoo.com/q?s=IBMVT.X" TargetMode="External"/><Relationship Id="rId69" Type="http://schemas.openxmlformats.org/officeDocument/2006/relationships/hyperlink" Target="http://finance.yahoo.com/q/op?s=IBM&amp;k=115.000000" TargetMode="External"/><Relationship Id="rId77" Type="http://schemas.openxmlformats.org/officeDocument/2006/relationships/hyperlink" Target="http://finance.yahoo.com/q/op?s=IBM&amp;k=135.000000" TargetMode="External"/><Relationship Id="rId8" Type="http://schemas.openxmlformats.org/officeDocument/2006/relationships/hyperlink" Target="http://finance.yahoo.com/q?s=IBMJM.X" TargetMode="External"/><Relationship Id="rId51" Type="http://schemas.openxmlformats.org/officeDocument/2006/relationships/hyperlink" Target="http://finance.yahoo.com/q/op?s=IBM&amp;k=70.000000" TargetMode="External"/><Relationship Id="rId72" Type="http://schemas.openxmlformats.org/officeDocument/2006/relationships/hyperlink" Target="http://finance.yahoo.com/q?s=IBMVD.X" TargetMode="External"/><Relationship Id="rId80" Type="http://schemas.openxmlformats.org/officeDocument/2006/relationships/hyperlink" Target="http://finance.yahoo.com/q?s=IBMVH.X" TargetMode="External"/><Relationship Id="rId3" Type="http://schemas.openxmlformats.org/officeDocument/2006/relationships/hyperlink" Target="http://finance.yahoo.com/q/op?s=IBM&amp;k=55.000000" TargetMode="External"/><Relationship Id="rId12" Type="http://schemas.openxmlformats.org/officeDocument/2006/relationships/hyperlink" Target="http://finance.yahoo.com/q?s=IBMJO.X" TargetMode="External"/><Relationship Id="rId17" Type="http://schemas.openxmlformats.org/officeDocument/2006/relationships/hyperlink" Target="http://finance.yahoo.com/q/op?s=IBM&amp;k=90.000000" TargetMode="External"/><Relationship Id="rId25" Type="http://schemas.openxmlformats.org/officeDocument/2006/relationships/hyperlink" Target="http://finance.yahoo.com/q/op?s=IBM&amp;k=110.000000" TargetMode="External"/><Relationship Id="rId33" Type="http://schemas.openxmlformats.org/officeDocument/2006/relationships/hyperlink" Target="http://finance.yahoo.com/q/op?s=IBM&amp;k=130.000000" TargetMode="External"/><Relationship Id="rId38" Type="http://schemas.openxmlformats.org/officeDocument/2006/relationships/hyperlink" Target="http://finance.yahoo.com/q?s=IBMJH.X" TargetMode="External"/><Relationship Id="rId46" Type="http://schemas.openxmlformats.org/officeDocument/2006/relationships/hyperlink" Target="http://finance.yahoo.com/q?s=IBMVV.X" TargetMode="External"/><Relationship Id="rId59" Type="http://schemas.openxmlformats.org/officeDocument/2006/relationships/hyperlink" Target="http://finance.yahoo.com/q/op?s=IBM&amp;k=90.000000" TargetMode="External"/><Relationship Id="rId67" Type="http://schemas.openxmlformats.org/officeDocument/2006/relationships/hyperlink" Target="http://finance.yahoo.com/q/op?s=IBM&amp;k=110.000000" TargetMode="External"/><Relationship Id="rId20" Type="http://schemas.openxmlformats.org/officeDocument/2006/relationships/hyperlink" Target="http://finance.yahoo.com/q?s=IBMJS.X" TargetMode="External"/><Relationship Id="rId41" Type="http://schemas.openxmlformats.org/officeDocument/2006/relationships/hyperlink" Target="http://finance.yahoo.com/q/op?s=IBM&amp;k=45.000000" TargetMode="External"/><Relationship Id="rId54" Type="http://schemas.openxmlformats.org/officeDocument/2006/relationships/hyperlink" Target="http://finance.yahoo.com/q?s=IBMVO.X" TargetMode="External"/><Relationship Id="rId62" Type="http://schemas.openxmlformats.org/officeDocument/2006/relationships/hyperlink" Target="http://finance.yahoo.com/q?s=IBMVS.X" TargetMode="External"/><Relationship Id="rId70" Type="http://schemas.openxmlformats.org/officeDocument/2006/relationships/hyperlink" Target="http://finance.yahoo.com/q?s=IBMVC.X" TargetMode="External"/><Relationship Id="rId75" Type="http://schemas.openxmlformats.org/officeDocument/2006/relationships/hyperlink" Target="http://finance.yahoo.com/q/op?s=IBM&amp;k=130.000000" TargetMode="External"/><Relationship Id="rId83" Type="http://schemas.openxmlformats.org/officeDocument/2006/relationships/drawing" Target="../drawings/drawing4.xml"/><Relationship Id="rId1" Type="http://schemas.openxmlformats.org/officeDocument/2006/relationships/hyperlink" Target="http://finance.yahoo.com/q/op?s=IBM&amp;k=50.000000" TargetMode="External"/><Relationship Id="rId6" Type="http://schemas.openxmlformats.org/officeDocument/2006/relationships/hyperlink" Target="http://finance.yahoo.com/q?s=IBMJL.X" TargetMode="External"/><Relationship Id="rId15" Type="http://schemas.openxmlformats.org/officeDocument/2006/relationships/hyperlink" Target="http://finance.yahoo.com/q/op?s=IBM&amp;k=85.000000" TargetMode="External"/><Relationship Id="rId23" Type="http://schemas.openxmlformats.org/officeDocument/2006/relationships/hyperlink" Target="http://finance.yahoo.com/q/op?s=IBM&amp;k=105.000000" TargetMode="External"/><Relationship Id="rId28" Type="http://schemas.openxmlformats.org/officeDocument/2006/relationships/hyperlink" Target="http://finance.yahoo.com/q?s=IBMJC.X" TargetMode="External"/><Relationship Id="rId36" Type="http://schemas.openxmlformats.org/officeDocument/2006/relationships/hyperlink" Target="http://finance.yahoo.com/q?s=IBMJG.X" TargetMode="External"/><Relationship Id="rId49" Type="http://schemas.openxmlformats.org/officeDocument/2006/relationships/hyperlink" Target="http://finance.yahoo.com/q/op?s=IBM&amp;k=65.000000" TargetMode="External"/><Relationship Id="rId57" Type="http://schemas.openxmlformats.org/officeDocument/2006/relationships/hyperlink" Target="http://finance.yahoo.com/q/op?s=IBM&amp;k=85.000000" TargetMode="External"/><Relationship Id="rId10" Type="http://schemas.openxmlformats.org/officeDocument/2006/relationships/hyperlink" Target="http://finance.yahoo.com/q?s=IBMJN.X" TargetMode="External"/><Relationship Id="rId31" Type="http://schemas.openxmlformats.org/officeDocument/2006/relationships/hyperlink" Target="http://finance.yahoo.com/q/op?s=IBM&amp;k=125.000000" TargetMode="External"/><Relationship Id="rId44" Type="http://schemas.openxmlformats.org/officeDocument/2006/relationships/hyperlink" Target="http://finance.yahoo.com/q?s=IBMVU.X" TargetMode="External"/><Relationship Id="rId52" Type="http://schemas.openxmlformats.org/officeDocument/2006/relationships/hyperlink" Target="http://finance.yahoo.com/q?s=IBMVN.X" TargetMode="External"/><Relationship Id="rId60" Type="http://schemas.openxmlformats.org/officeDocument/2006/relationships/hyperlink" Target="http://finance.yahoo.com/q?s=IBMVR.X" TargetMode="External"/><Relationship Id="rId65" Type="http://schemas.openxmlformats.org/officeDocument/2006/relationships/hyperlink" Target="http://finance.yahoo.com/q/op?s=IBM&amp;k=105.000000" TargetMode="External"/><Relationship Id="rId73" Type="http://schemas.openxmlformats.org/officeDocument/2006/relationships/hyperlink" Target="http://finance.yahoo.com/q/op?s=IBM&amp;k=125.000000" TargetMode="External"/><Relationship Id="rId78" Type="http://schemas.openxmlformats.org/officeDocument/2006/relationships/hyperlink" Target="http://finance.yahoo.com/q?s=IBMVG.X" TargetMode="External"/><Relationship Id="rId81" Type="http://schemas.openxmlformats.org/officeDocument/2006/relationships/hyperlink" Target="http://finance.yahoo.com/q/op?s=IBM&amp;k=145.000000" TargetMode="External"/><Relationship Id="rId4" Type="http://schemas.openxmlformats.org/officeDocument/2006/relationships/hyperlink" Target="http://finance.yahoo.com/q?s=IBMJV.X" TargetMode="External"/><Relationship Id="rId9" Type="http://schemas.openxmlformats.org/officeDocument/2006/relationships/hyperlink" Target="http://finance.yahoo.com/q/op?s=IBM&amp;k=70.000000" TargetMode="External"/><Relationship Id="rId13" Type="http://schemas.openxmlformats.org/officeDocument/2006/relationships/hyperlink" Target="http://finance.yahoo.com/q/op?s=IBM&amp;k=80.000000" TargetMode="External"/><Relationship Id="rId18" Type="http://schemas.openxmlformats.org/officeDocument/2006/relationships/hyperlink" Target="http://finance.yahoo.com/q?s=IBMJR.X" TargetMode="External"/><Relationship Id="rId39" Type="http://schemas.openxmlformats.org/officeDocument/2006/relationships/hyperlink" Target="http://finance.yahoo.com/q/op?s=IBM&amp;k=145.000000" TargetMode="External"/><Relationship Id="rId34" Type="http://schemas.openxmlformats.org/officeDocument/2006/relationships/hyperlink" Target="http://finance.yahoo.com/q?s=IBMJF.X" TargetMode="External"/><Relationship Id="rId50" Type="http://schemas.openxmlformats.org/officeDocument/2006/relationships/hyperlink" Target="http://finance.yahoo.com/q?s=IBMVM.X" TargetMode="External"/><Relationship Id="rId55" Type="http://schemas.openxmlformats.org/officeDocument/2006/relationships/hyperlink" Target="http://finance.yahoo.com/q/op?s=IBM&amp;k=80.000000" TargetMode="External"/><Relationship Id="rId76" Type="http://schemas.openxmlformats.org/officeDocument/2006/relationships/hyperlink" Target="http://finance.yahoo.com/q?s=IBMVF.X" TargetMode="External"/><Relationship Id="rId7" Type="http://schemas.openxmlformats.org/officeDocument/2006/relationships/hyperlink" Target="http://finance.yahoo.com/q/op?s=IBM&amp;k=65.000000" TargetMode="External"/><Relationship Id="rId71" Type="http://schemas.openxmlformats.org/officeDocument/2006/relationships/hyperlink" Target="http://finance.yahoo.com/q/op?s=IBM&amp;k=120.000000" TargetMode="External"/><Relationship Id="rId2" Type="http://schemas.openxmlformats.org/officeDocument/2006/relationships/hyperlink" Target="http://finance.yahoo.com/q?s=IBMJU.X" TargetMode="External"/><Relationship Id="rId29" Type="http://schemas.openxmlformats.org/officeDocument/2006/relationships/hyperlink" Target="http://finance.yahoo.com/q/op?s=IBM&amp;k=120.000000" TargetMode="External"/><Relationship Id="rId24" Type="http://schemas.openxmlformats.org/officeDocument/2006/relationships/hyperlink" Target="http://finance.yahoo.com/q?s=IBMJA.X" TargetMode="External"/><Relationship Id="rId40" Type="http://schemas.openxmlformats.org/officeDocument/2006/relationships/hyperlink" Target="http://finance.yahoo.com/q?s=IBMJI.X" TargetMode="External"/><Relationship Id="rId45" Type="http://schemas.openxmlformats.org/officeDocument/2006/relationships/hyperlink" Target="http://finance.yahoo.com/q/op?s=IBM&amp;k=55.000000" TargetMode="External"/><Relationship Id="rId66" Type="http://schemas.openxmlformats.org/officeDocument/2006/relationships/hyperlink" Target="http://finance.yahoo.com/q?s=IBMVA.X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WIBAC.X" TargetMode="External"/><Relationship Id="rId21" Type="http://schemas.openxmlformats.org/officeDocument/2006/relationships/hyperlink" Target="http://finance.yahoo.com/q/op?s=IBM&amp;k=105.000000" TargetMode="External"/><Relationship Id="rId42" Type="http://schemas.openxmlformats.org/officeDocument/2006/relationships/hyperlink" Target="http://finance.yahoo.com/q?s=WIBAK.X" TargetMode="External"/><Relationship Id="rId47" Type="http://schemas.openxmlformats.org/officeDocument/2006/relationships/hyperlink" Target="http://finance.yahoo.com/q/op?s=IBM&amp;k=170.000000" TargetMode="External"/><Relationship Id="rId63" Type="http://schemas.openxmlformats.org/officeDocument/2006/relationships/hyperlink" Target="http://finance.yahoo.com/q/op?s=IBM&amp;k=80.000000" TargetMode="External"/><Relationship Id="rId68" Type="http://schemas.openxmlformats.org/officeDocument/2006/relationships/hyperlink" Target="http://finance.yahoo.com/q?s=WIBMR.X" TargetMode="External"/><Relationship Id="rId84" Type="http://schemas.openxmlformats.org/officeDocument/2006/relationships/hyperlink" Target="http://finance.yahoo.com/q?s=WIBMF.X" TargetMode="External"/><Relationship Id="rId89" Type="http://schemas.openxmlformats.org/officeDocument/2006/relationships/hyperlink" Target="http://finance.yahoo.com/q/op?s=IBM&amp;k=145.000000" TargetMode="External"/><Relationship Id="rId16" Type="http://schemas.openxmlformats.org/officeDocument/2006/relationships/hyperlink" Target="http://finance.yahoo.com/q?s=WIBAR.X" TargetMode="External"/><Relationship Id="rId11" Type="http://schemas.openxmlformats.org/officeDocument/2006/relationships/hyperlink" Target="http://finance.yahoo.com/q/op?s=IBM&amp;k=80.000000" TargetMode="External"/><Relationship Id="rId32" Type="http://schemas.openxmlformats.org/officeDocument/2006/relationships/hyperlink" Target="http://finance.yahoo.com/q?s=WIBAF.X" TargetMode="External"/><Relationship Id="rId37" Type="http://schemas.openxmlformats.org/officeDocument/2006/relationships/hyperlink" Target="http://finance.yahoo.com/q/op?s=IBM&amp;k=145.000000" TargetMode="External"/><Relationship Id="rId53" Type="http://schemas.openxmlformats.org/officeDocument/2006/relationships/hyperlink" Target="http://finance.yahoo.com/q/op?s=IBM&amp;k=55.000000" TargetMode="External"/><Relationship Id="rId58" Type="http://schemas.openxmlformats.org/officeDocument/2006/relationships/hyperlink" Target="http://finance.yahoo.com/q?s=WIBMX.X" TargetMode="External"/><Relationship Id="rId74" Type="http://schemas.openxmlformats.org/officeDocument/2006/relationships/hyperlink" Target="http://finance.yahoo.com/q?s=WIBMA.X" TargetMode="External"/><Relationship Id="rId79" Type="http://schemas.openxmlformats.org/officeDocument/2006/relationships/hyperlink" Target="http://finance.yahoo.com/q/op?s=IBM&amp;k=120.000000" TargetMode="External"/><Relationship Id="rId102" Type="http://schemas.openxmlformats.org/officeDocument/2006/relationships/drawing" Target="../drawings/drawing5.xml"/><Relationship Id="rId5" Type="http://schemas.openxmlformats.org/officeDocument/2006/relationships/hyperlink" Target="http://finance.yahoo.com/q/op?s=IBM&amp;k=65.000000" TargetMode="External"/><Relationship Id="rId90" Type="http://schemas.openxmlformats.org/officeDocument/2006/relationships/hyperlink" Target="http://finance.yahoo.com/q?s=WIBMI.X" TargetMode="External"/><Relationship Id="rId95" Type="http://schemas.openxmlformats.org/officeDocument/2006/relationships/hyperlink" Target="http://finance.yahoo.com/q/op?s=IBM&amp;k=160.000000" TargetMode="External"/><Relationship Id="rId22" Type="http://schemas.openxmlformats.org/officeDocument/2006/relationships/hyperlink" Target="http://finance.yahoo.com/q?s=WIBAA.X" TargetMode="External"/><Relationship Id="rId27" Type="http://schemas.openxmlformats.org/officeDocument/2006/relationships/hyperlink" Target="http://finance.yahoo.com/q/op?s=IBM&amp;k=120.000000" TargetMode="External"/><Relationship Id="rId43" Type="http://schemas.openxmlformats.org/officeDocument/2006/relationships/hyperlink" Target="http://finance.yahoo.com/q/op?s=IBM&amp;k=160.000000" TargetMode="External"/><Relationship Id="rId48" Type="http://schemas.openxmlformats.org/officeDocument/2006/relationships/hyperlink" Target="http://finance.yahoo.com/q?s=WIBAZ.X" TargetMode="External"/><Relationship Id="rId64" Type="http://schemas.openxmlformats.org/officeDocument/2006/relationships/hyperlink" Target="http://finance.yahoo.com/q?s=WIBMP.X" TargetMode="External"/><Relationship Id="rId69" Type="http://schemas.openxmlformats.org/officeDocument/2006/relationships/hyperlink" Target="http://finance.yahoo.com/q/op?s=IBM&amp;k=95.000000" TargetMode="External"/><Relationship Id="rId80" Type="http://schemas.openxmlformats.org/officeDocument/2006/relationships/hyperlink" Target="http://finance.yahoo.com/q?s=WIBMD.X" TargetMode="External"/><Relationship Id="rId85" Type="http://schemas.openxmlformats.org/officeDocument/2006/relationships/hyperlink" Target="http://finance.yahoo.com/q/op?s=IBM&amp;k=135.000000" TargetMode="External"/><Relationship Id="rId12" Type="http://schemas.openxmlformats.org/officeDocument/2006/relationships/hyperlink" Target="http://finance.yahoo.com/q?s=WIBAP.X" TargetMode="External"/><Relationship Id="rId17" Type="http://schemas.openxmlformats.org/officeDocument/2006/relationships/hyperlink" Target="http://finance.yahoo.com/q/op?s=IBM&amp;k=95.000000" TargetMode="External"/><Relationship Id="rId25" Type="http://schemas.openxmlformats.org/officeDocument/2006/relationships/hyperlink" Target="http://finance.yahoo.com/q/op?s=IBM&amp;k=115.000000" TargetMode="External"/><Relationship Id="rId33" Type="http://schemas.openxmlformats.org/officeDocument/2006/relationships/hyperlink" Target="http://finance.yahoo.com/q/op?s=IBM&amp;k=135.000000" TargetMode="External"/><Relationship Id="rId38" Type="http://schemas.openxmlformats.org/officeDocument/2006/relationships/hyperlink" Target="http://finance.yahoo.com/q?s=WIBAI.X" TargetMode="External"/><Relationship Id="rId46" Type="http://schemas.openxmlformats.org/officeDocument/2006/relationships/hyperlink" Target="http://finance.yahoo.com/q?s=WIBAM.X" TargetMode="External"/><Relationship Id="rId59" Type="http://schemas.openxmlformats.org/officeDocument/2006/relationships/hyperlink" Target="http://finance.yahoo.com/q/op?s=IBM&amp;k=70.000000" TargetMode="External"/><Relationship Id="rId67" Type="http://schemas.openxmlformats.org/officeDocument/2006/relationships/hyperlink" Target="http://finance.yahoo.com/q/op?s=IBM&amp;k=90.000000" TargetMode="External"/><Relationship Id="rId20" Type="http://schemas.openxmlformats.org/officeDocument/2006/relationships/hyperlink" Target="http://finance.yahoo.com/q?s=WIBAT.X" TargetMode="External"/><Relationship Id="rId41" Type="http://schemas.openxmlformats.org/officeDocument/2006/relationships/hyperlink" Target="http://finance.yahoo.com/q/op?s=IBM&amp;k=155.000000" TargetMode="External"/><Relationship Id="rId54" Type="http://schemas.openxmlformats.org/officeDocument/2006/relationships/hyperlink" Target="http://finance.yahoo.com/q?s=WIBMW.X" TargetMode="External"/><Relationship Id="rId62" Type="http://schemas.openxmlformats.org/officeDocument/2006/relationships/hyperlink" Target="http://finance.yahoo.com/q?s=WIBMO.X" TargetMode="External"/><Relationship Id="rId70" Type="http://schemas.openxmlformats.org/officeDocument/2006/relationships/hyperlink" Target="http://finance.yahoo.com/q?s=WIBMS.X" TargetMode="External"/><Relationship Id="rId75" Type="http://schemas.openxmlformats.org/officeDocument/2006/relationships/hyperlink" Target="http://finance.yahoo.com/q/op?s=IBM&amp;k=110.000000" TargetMode="External"/><Relationship Id="rId83" Type="http://schemas.openxmlformats.org/officeDocument/2006/relationships/hyperlink" Target="http://finance.yahoo.com/q/op?s=IBM&amp;k=130.000000" TargetMode="External"/><Relationship Id="rId88" Type="http://schemas.openxmlformats.org/officeDocument/2006/relationships/hyperlink" Target="http://finance.yahoo.com/q?s=WIBMH.X" TargetMode="External"/><Relationship Id="rId91" Type="http://schemas.openxmlformats.org/officeDocument/2006/relationships/hyperlink" Target="http://finance.yahoo.com/q/op?s=IBM&amp;k=150.000000" TargetMode="External"/><Relationship Id="rId96" Type="http://schemas.openxmlformats.org/officeDocument/2006/relationships/hyperlink" Target="http://finance.yahoo.com/q?s=WIBMY.X" TargetMode="External"/><Relationship Id="rId1" Type="http://schemas.openxmlformats.org/officeDocument/2006/relationships/hyperlink" Target="http://finance.yahoo.com/q/op?s=IBM&amp;k=55.000000" TargetMode="External"/><Relationship Id="rId6" Type="http://schemas.openxmlformats.org/officeDocument/2006/relationships/hyperlink" Target="http://finance.yahoo.com/q?s=WIBAX.X" TargetMode="External"/><Relationship Id="rId15" Type="http://schemas.openxmlformats.org/officeDocument/2006/relationships/hyperlink" Target="http://finance.yahoo.com/q/op?s=IBM&amp;k=90.000000" TargetMode="External"/><Relationship Id="rId23" Type="http://schemas.openxmlformats.org/officeDocument/2006/relationships/hyperlink" Target="http://finance.yahoo.com/q/op?s=IBM&amp;k=110.000000" TargetMode="External"/><Relationship Id="rId28" Type="http://schemas.openxmlformats.org/officeDocument/2006/relationships/hyperlink" Target="http://finance.yahoo.com/q?s=WIBAD.X" TargetMode="External"/><Relationship Id="rId36" Type="http://schemas.openxmlformats.org/officeDocument/2006/relationships/hyperlink" Target="http://finance.yahoo.com/q?s=WIBAH.X" TargetMode="External"/><Relationship Id="rId49" Type="http://schemas.openxmlformats.org/officeDocument/2006/relationships/hyperlink" Target="http://finance.yahoo.com/q/op?s=IBM&amp;k=180.000000" TargetMode="External"/><Relationship Id="rId57" Type="http://schemas.openxmlformats.org/officeDocument/2006/relationships/hyperlink" Target="http://finance.yahoo.com/q/op?s=IBM&amp;k=65.000000" TargetMode="External"/><Relationship Id="rId10" Type="http://schemas.openxmlformats.org/officeDocument/2006/relationships/hyperlink" Target="http://finance.yahoo.com/q?s=WIBAO.X" TargetMode="External"/><Relationship Id="rId31" Type="http://schemas.openxmlformats.org/officeDocument/2006/relationships/hyperlink" Target="http://finance.yahoo.com/q/op?s=IBM&amp;k=130.000000" TargetMode="External"/><Relationship Id="rId44" Type="http://schemas.openxmlformats.org/officeDocument/2006/relationships/hyperlink" Target="http://finance.yahoo.com/q?s=WIBAY.X" TargetMode="External"/><Relationship Id="rId52" Type="http://schemas.openxmlformats.org/officeDocument/2006/relationships/hyperlink" Target="http://finance.yahoo.com/q?s=WIBAV.X" TargetMode="External"/><Relationship Id="rId60" Type="http://schemas.openxmlformats.org/officeDocument/2006/relationships/hyperlink" Target="http://finance.yahoo.com/q?s=WIBMN.X" TargetMode="External"/><Relationship Id="rId65" Type="http://schemas.openxmlformats.org/officeDocument/2006/relationships/hyperlink" Target="http://finance.yahoo.com/q/op?s=IBM&amp;k=85.000000" TargetMode="External"/><Relationship Id="rId73" Type="http://schemas.openxmlformats.org/officeDocument/2006/relationships/hyperlink" Target="http://finance.yahoo.com/q/op?s=IBM&amp;k=105.000000" TargetMode="External"/><Relationship Id="rId78" Type="http://schemas.openxmlformats.org/officeDocument/2006/relationships/hyperlink" Target="http://finance.yahoo.com/q?s=WIBMC.X" TargetMode="External"/><Relationship Id="rId81" Type="http://schemas.openxmlformats.org/officeDocument/2006/relationships/hyperlink" Target="http://finance.yahoo.com/q/op?s=IBM&amp;k=125.000000" TargetMode="External"/><Relationship Id="rId86" Type="http://schemas.openxmlformats.org/officeDocument/2006/relationships/hyperlink" Target="http://finance.yahoo.com/q?s=WIBMG.X" TargetMode="External"/><Relationship Id="rId94" Type="http://schemas.openxmlformats.org/officeDocument/2006/relationships/hyperlink" Target="http://finance.yahoo.com/q?s=WIBMK.X" TargetMode="External"/><Relationship Id="rId99" Type="http://schemas.openxmlformats.org/officeDocument/2006/relationships/hyperlink" Target="http://finance.yahoo.com/q/op?s=IBM&amp;k=190.000000" TargetMode="External"/><Relationship Id="rId101" Type="http://schemas.openxmlformats.org/officeDocument/2006/relationships/hyperlink" Target="http://finance.yahoo.com/q/os?s=IBM&amp;m=2010-01-15" TargetMode="External"/><Relationship Id="rId4" Type="http://schemas.openxmlformats.org/officeDocument/2006/relationships/hyperlink" Target="http://finance.yahoo.com/q?s=WIBAL.X" TargetMode="External"/><Relationship Id="rId9" Type="http://schemas.openxmlformats.org/officeDocument/2006/relationships/hyperlink" Target="http://finance.yahoo.com/q/op?s=IBM&amp;k=75.000000" TargetMode="External"/><Relationship Id="rId13" Type="http://schemas.openxmlformats.org/officeDocument/2006/relationships/hyperlink" Target="http://finance.yahoo.com/q/op?s=IBM&amp;k=85.000000" TargetMode="External"/><Relationship Id="rId18" Type="http://schemas.openxmlformats.org/officeDocument/2006/relationships/hyperlink" Target="http://finance.yahoo.com/q?s=WIBAS.X" TargetMode="External"/><Relationship Id="rId39" Type="http://schemas.openxmlformats.org/officeDocument/2006/relationships/hyperlink" Target="http://finance.yahoo.com/q/op?s=IBM&amp;k=150.000000" TargetMode="External"/><Relationship Id="rId34" Type="http://schemas.openxmlformats.org/officeDocument/2006/relationships/hyperlink" Target="http://finance.yahoo.com/q?s=WIBAG.X" TargetMode="External"/><Relationship Id="rId50" Type="http://schemas.openxmlformats.org/officeDocument/2006/relationships/hyperlink" Target="http://finance.yahoo.com/q?s=WIBAU.X" TargetMode="External"/><Relationship Id="rId55" Type="http://schemas.openxmlformats.org/officeDocument/2006/relationships/hyperlink" Target="http://finance.yahoo.com/q/op?s=IBM&amp;k=60.000000" TargetMode="External"/><Relationship Id="rId76" Type="http://schemas.openxmlformats.org/officeDocument/2006/relationships/hyperlink" Target="http://finance.yahoo.com/q?s=WIBMB.X" TargetMode="External"/><Relationship Id="rId97" Type="http://schemas.openxmlformats.org/officeDocument/2006/relationships/hyperlink" Target="http://finance.yahoo.com/q/op?s=IBM&amp;k=170.000000" TargetMode="External"/><Relationship Id="rId7" Type="http://schemas.openxmlformats.org/officeDocument/2006/relationships/hyperlink" Target="http://finance.yahoo.com/q/op?s=IBM&amp;k=70.000000" TargetMode="External"/><Relationship Id="rId71" Type="http://schemas.openxmlformats.org/officeDocument/2006/relationships/hyperlink" Target="http://finance.yahoo.com/q/op?s=IBM&amp;k=100.000000" TargetMode="External"/><Relationship Id="rId92" Type="http://schemas.openxmlformats.org/officeDocument/2006/relationships/hyperlink" Target="http://finance.yahoo.com/q?s=WIBMJ.X" TargetMode="External"/><Relationship Id="rId2" Type="http://schemas.openxmlformats.org/officeDocument/2006/relationships/hyperlink" Target="http://finance.yahoo.com/q?s=WIBAW.X" TargetMode="External"/><Relationship Id="rId29" Type="http://schemas.openxmlformats.org/officeDocument/2006/relationships/hyperlink" Target="http://finance.yahoo.com/q/op?s=IBM&amp;k=125.000000" TargetMode="External"/><Relationship Id="rId24" Type="http://schemas.openxmlformats.org/officeDocument/2006/relationships/hyperlink" Target="http://finance.yahoo.com/q?s=WIBAB.X" TargetMode="External"/><Relationship Id="rId40" Type="http://schemas.openxmlformats.org/officeDocument/2006/relationships/hyperlink" Target="http://finance.yahoo.com/q?s=WIBAJ.X" TargetMode="External"/><Relationship Id="rId45" Type="http://schemas.openxmlformats.org/officeDocument/2006/relationships/hyperlink" Target="http://finance.yahoo.com/q/op?s=IBM&amp;k=165.000000" TargetMode="External"/><Relationship Id="rId66" Type="http://schemas.openxmlformats.org/officeDocument/2006/relationships/hyperlink" Target="http://finance.yahoo.com/q?s=WIBMQ.X" TargetMode="External"/><Relationship Id="rId87" Type="http://schemas.openxmlformats.org/officeDocument/2006/relationships/hyperlink" Target="http://finance.yahoo.com/q/op?s=IBM&amp;k=140.000000" TargetMode="External"/><Relationship Id="rId61" Type="http://schemas.openxmlformats.org/officeDocument/2006/relationships/hyperlink" Target="http://finance.yahoo.com/q/op?s=IBM&amp;k=75.000000" TargetMode="External"/><Relationship Id="rId82" Type="http://schemas.openxmlformats.org/officeDocument/2006/relationships/hyperlink" Target="http://finance.yahoo.com/q?s=WIBME.X" TargetMode="External"/><Relationship Id="rId19" Type="http://schemas.openxmlformats.org/officeDocument/2006/relationships/hyperlink" Target="http://finance.yahoo.com/q/op?s=IBM&amp;k=100.000000" TargetMode="External"/><Relationship Id="rId14" Type="http://schemas.openxmlformats.org/officeDocument/2006/relationships/hyperlink" Target="http://finance.yahoo.com/q?s=WIBAQ.X" TargetMode="External"/><Relationship Id="rId30" Type="http://schemas.openxmlformats.org/officeDocument/2006/relationships/hyperlink" Target="http://finance.yahoo.com/q?s=WIBAE.X" TargetMode="External"/><Relationship Id="rId35" Type="http://schemas.openxmlformats.org/officeDocument/2006/relationships/hyperlink" Target="http://finance.yahoo.com/q/op?s=IBM&amp;k=140.000000" TargetMode="External"/><Relationship Id="rId56" Type="http://schemas.openxmlformats.org/officeDocument/2006/relationships/hyperlink" Target="http://finance.yahoo.com/q?s=WIBML.X" TargetMode="External"/><Relationship Id="rId77" Type="http://schemas.openxmlformats.org/officeDocument/2006/relationships/hyperlink" Target="http://finance.yahoo.com/q/op?s=IBM&amp;k=115.000000" TargetMode="External"/><Relationship Id="rId100" Type="http://schemas.openxmlformats.org/officeDocument/2006/relationships/hyperlink" Target="http://finance.yahoo.com/q?s=WIBMV.X" TargetMode="External"/><Relationship Id="rId8" Type="http://schemas.openxmlformats.org/officeDocument/2006/relationships/hyperlink" Target="http://finance.yahoo.com/q?s=WIBAN.X" TargetMode="External"/><Relationship Id="rId51" Type="http://schemas.openxmlformats.org/officeDocument/2006/relationships/hyperlink" Target="http://finance.yahoo.com/q/op?s=IBM&amp;k=190.000000" TargetMode="External"/><Relationship Id="rId72" Type="http://schemas.openxmlformats.org/officeDocument/2006/relationships/hyperlink" Target="http://finance.yahoo.com/q?s=WIBMT.X" TargetMode="External"/><Relationship Id="rId93" Type="http://schemas.openxmlformats.org/officeDocument/2006/relationships/hyperlink" Target="http://finance.yahoo.com/q/op?s=IBM&amp;k=155.000000" TargetMode="External"/><Relationship Id="rId98" Type="http://schemas.openxmlformats.org/officeDocument/2006/relationships/hyperlink" Target="http://finance.yahoo.com/q?s=WIBMZ.X" TargetMode="External"/><Relationship Id="rId3" Type="http://schemas.openxmlformats.org/officeDocument/2006/relationships/hyperlink" Target="http://finance.yahoo.com/q/op?s=IBM&amp;k=60.000000" TargetMode="Externa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XBYAT.X" TargetMode="External"/><Relationship Id="rId21" Type="http://schemas.openxmlformats.org/officeDocument/2006/relationships/hyperlink" Target="http://finance.yahoo.com/q/op?s=IBM&amp;k=90.000000" TargetMode="External"/><Relationship Id="rId42" Type="http://schemas.openxmlformats.org/officeDocument/2006/relationships/hyperlink" Target="http://finance.yahoo.com/q?s=VIBMX.X" TargetMode="External"/><Relationship Id="rId47" Type="http://schemas.openxmlformats.org/officeDocument/2006/relationships/hyperlink" Target="http://finance.yahoo.com/q/op?s=IBM&amp;k=35.000000" TargetMode="External"/><Relationship Id="rId63" Type="http://schemas.openxmlformats.org/officeDocument/2006/relationships/hyperlink" Target="http://finance.yahoo.com/q/op?s=IBM&amp;k=80.000000" TargetMode="External"/><Relationship Id="rId68" Type="http://schemas.openxmlformats.org/officeDocument/2006/relationships/hyperlink" Target="http://finance.yahoo.com/q?s=VIBMR.X" TargetMode="External"/><Relationship Id="rId16" Type="http://schemas.openxmlformats.org/officeDocument/2006/relationships/hyperlink" Target="http://finance.yahoo.com/q?s=VIBAN.X" TargetMode="External"/><Relationship Id="rId11" Type="http://schemas.openxmlformats.org/officeDocument/2006/relationships/hyperlink" Target="http://finance.yahoo.com/q/op?s=IBM&amp;k=60.000000" TargetMode="External"/><Relationship Id="rId32" Type="http://schemas.openxmlformats.org/officeDocument/2006/relationships/hyperlink" Target="http://finance.yahoo.com/q?s=XBYAF.X" TargetMode="External"/><Relationship Id="rId37" Type="http://schemas.openxmlformats.org/officeDocument/2006/relationships/hyperlink" Target="http://finance.yahoo.com/q/op?s=IBM&amp;k=155.000000" TargetMode="External"/><Relationship Id="rId53" Type="http://schemas.openxmlformats.org/officeDocument/2006/relationships/hyperlink" Target="http://finance.yahoo.com/q/op?s=IBM&amp;k=50.000000" TargetMode="External"/><Relationship Id="rId58" Type="http://schemas.openxmlformats.org/officeDocument/2006/relationships/hyperlink" Target="http://finance.yahoo.com/q?s=VIBML.X" TargetMode="External"/><Relationship Id="rId74" Type="http://schemas.openxmlformats.org/officeDocument/2006/relationships/hyperlink" Target="http://finance.yahoo.com/q?s=XBYMB.X" TargetMode="External"/><Relationship Id="rId79" Type="http://schemas.openxmlformats.org/officeDocument/2006/relationships/hyperlink" Target="http://finance.yahoo.com/q/op?s=IBM&amp;k=140.000000" TargetMode="External"/><Relationship Id="rId5" Type="http://schemas.openxmlformats.org/officeDocument/2006/relationships/hyperlink" Target="http://finance.yahoo.com/q/op?s=IBM&amp;k=45.000000" TargetMode="External"/><Relationship Id="rId61" Type="http://schemas.openxmlformats.org/officeDocument/2006/relationships/hyperlink" Target="http://finance.yahoo.com/q/op?s=IBM&amp;k=70.000000" TargetMode="External"/><Relationship Id="rId82" Type="http://schemas.openxmlformats.org/officeDocument/2006/relationships/hyperlink" Target="http://finance.yahoo.com/q?s=XBYMJ.X" TargetMode="External"/><Relationship Id="rId19" Type="http://schemas.openxmlformats.org/officeDocument/2006/relationships/hyperlink" Target="http://finance.yahoo.com/q/op?s=IBM&amp;k=85.000000" TargetMode="External"/><Relationship Id="rId14" Type="http://schemas.openxmlformats.org/officeDocument/2006/relationships/hyperlink" Target="http://finance.yahoo.com/q?s=VIBAM.X" TargetMode="External"/><Relationship Id="rId22" Type="http://schemas.openxmlformats.org/officeDocument/2006/relationships/hyperlink" Target="http://finance.yahoo.com/q?s=VIBAR.X" TargetMode="External"/><Relationship Id="rId27" Type="http://schemas.openxmlformats.org/officeDocument/2006/relationships/hyperlink" Target="http://finance.yahoo.com/q/op?s=IBM&amp;k=110.000000" TargetMode="External"/><Relationship Id="rId30" Type="http://schemas.openxmlformats.org/officeDocument/2006/relationships/hyperlink" Target="http://finance.yahoo.com/q?s=XBYAD.X" TargetMode="External"/><Relationship Id="rId35" Type="http://schemas.openxmlformats.org/officeDocument/2006/relationships/hyperlink" Target="http://finance.yahoo.com/q/op?s=IBM&amp;k=150.000000" TargetMode="External"/><Relationship Id="rId43" Type="http://schemas.openxmlformats.org/officeDocument/2006/relationships/hyperlink" Target="http://finance.yahoo.com/q/op?s=IBM&amp;k=25.000000" TargetMode="External"/><Relationship Id="rId48" Type="http://schemas.openxmlformats.org/officeDocument/2006/relationships/hyperlink" Target="http://finance.yahoo.com/q?s=VIBMG.X" TargetMode="External"/><Relationship Id="rId56" Type="http://schemas.openxmlformats.org/officeDocument/2006/relationships/hyperlink" Target="http://finance.yahoo.com/q?s=VIBMK.X" TargetMode="External"/><Relationship Id="rId64" Type="http://schemas.openxmlformats.org/officeDocument/2006/relationships/hyperlink" Target="http://finance.yahoo.com/q?s=VIBMP.X" TargetMode="External"/><Relationship Id="rId69" Type="http://schemas.openxmlformats.org/officeDocument/2006/relationships/hyperlink" Target="http://finance.yahoo.com/q/op?s=IBM&amp;k=95.000000" TargetMode="External"/><Relationship Id="rId77" Type="http://schemas.openxmlformats.org/officeDocument/2006/relationships/hyperlink" Target="http://finance.yahoo.com/q/op?s=IBM&amp;k=130.000000" TargetMode="External"/><Relationship Id="rId8" Type="http://schemas.openxmlformats.org/officeDocument/2006/relationships/hyperlink" Target="http://finance.yahoo.com/q?s=VIBAZ.X" TargetMode="External"/><Relationship Id="rId51" Type="http://schemas.openxmlformats.org/officeDocument/2006/relationships/hyperlink" Target="http://finance.yahoo.com/q/op?s=IBM&amp;k=45.000000" TargetMode="External"/><Relationship Id="rId72" Type="http://schemas.openxmlformats.org/officeDocument/2006/relationships/hyperlink" Target="http://finance.yahoo.com/q?s=XBYMT.X" TargetMode="External"/><Relationship Id="rId80" Type="http://schemas.openxmlformats.org/officeDocument/2006/relationships/hyperlink" Target="http://finance.yahoo.com/q?s=XBYMH.X" TargetMode="External"/><Relationship Id="rId3" Type="http://schemas.openxmlformats.org/officeDocument/2006/relationships/hyperlink" Target="http://finance.yahoo.com/q/op?s=IBM&amp;k=40.000000" TargetMode="External"/><Relationship Id="rId12" Type="http://schemas.openxmlformats.org/officeDocument/2006/relationships/hyperlink" Target="http://finance.yahoo.com/q?s=VIBAL.X" TargetMode="External"/><Relationship Id="rId17" Type="http://schemas.openxmlformats.org/officeDocument/2006/relationships/hyperlink" Target="http://finance.yahoo.com/q/op?s=IBM&amp;k=80.000000" TargetMode="External"/><Relationship Id="rId25" Type="http://schemas.openxmlformats.org/officeDocument/2006/relationships/hyperlink" Target="http://finance.yahoo.com/q/op?s=IBM&amp;k=100.000000" TargetMode="External"/><Relationship Id="rId33" Type="http://schemas.openxmlformats.org/officeDocument/2006/relationships/hyperlink" Target="http://finance.yahoo.com/q/op?s=IBM&amp;k=140.000000" TargetMode="External"/><Relationship Id="rId38" Type="http://schemas.openxmlformats.org/officeDocument/2006/relationships/hyperlink" Target="http://finance.yahoo.com/q?s=XBYAK.X" TargetMode="External"/><Relationship Id="rId46" Type="http://schemas.openxmlformats.org/officeDocument/2006/relationships/hyperlink" Target="http://finance.yahoo.com/q?s=VIBMV.X" TargetMode="External"/><Relationship Id="rId59" Type="http://schemas.openxmlformats.org/officeDocument/2006/relationships/hyperlink" Target="http://finance.yahoo.com/q/op?s=IBM&amp;k=65.000000" TargetMode="External"/><Relationship Id="rId67" Type="http://schemas.openxmlformats.org/officeDocument/2006/relationships/hyperlink" Target="http://finance.yahoo.com/q/op?s=IBM&amp;k=90.000000" TargetMode="External"/><Relationship Id="rId20" Type="http://schemas.openxmlformats.org/officeDocument/2006/relationships/hyperlink" Target="http://finance.yahoo.com/q?s=VIBAQ.X" TargetMode="External"/><Relationship Id="rId41" Type="http://schemas.openxmlformats.org/officeDocument/2006/relationships/hyperlink" Target="http://finance.yahoo.com/q/op?s=IBM&amp;k=22.500000" TargetMode="External"/><Relationship Id="rId54" Type="http://schemas.openxmlformats.org/officeDocument/2006/relationships/hyperlink" Target="http://finance.yahoo.com/q?s=VIBMZ.X" TargetMode="External"/><Relationship Id="rId62" Type="http://schemas.openxmlformats.org/officeDocument/2006/relationships/hyperlink" Target="http://finance.yahoo.com/q?s=VIBMN.X" TargetMode="External"/><Relationship Id="rId70" Type="http://schemas.openxmlformats.org/officeDocument/2006/relationships/hyperlink" Target="http://finance.yahoo.com/q?s=VIBMS.X" TargetMode="External"/><Relationship Id="rId75" Type="http://schemas.openxmlformats.org/officeDocument/2006/relationships/hyperlink" Target="http://finance.yahoo.com/q/op?s=IBM&amp;k=120.000000" TargetMode="External"/><Relationship Id="rId83" Type="http://schemas.openxmlformats.org/officeDocument/2006/relationships/drawing" Target="../drawings/drawing6.xml"/><Relationship Id="rId1" Type="http://schemas.openxmlformats.org/officeDocument/2006/relationships/hyperlink" Target="http://finance.yahoo.com/q/op?s=IBM&amp;k=35.000000" TargetMode="External"/><Relationship Id="rId6" Type="http://schemas.openxmlformats.org/officeDocument/2006/relationships/hyperlink" Target="http://finance.yahoo.com/q?s=VIBAI.X" TargetMode="External"/><Relationship Id="rId15" Type="http://schemas.openxmlformats.org/officeDocument/2006/relationships/hyperlink" Target="http://finance.yahoo.com/q/op?s=IBM&amp;k=70.000000" TargetMode="External"/><Relationship Id="rId23" Type="http://schemas.openxmlformats.org/officeDocument/2006/relationships/hyperlink" Target="http://finance.yahoo.com/q/op?s=IBM&amp;k=95.000000" TargetMode="External"/><Relationship Id="rId28" Type="http://schemas.openxmlformats.org/officeDocument/2006/relationships/hyperlink" Target="http://finance.yahoo.com/q?s=XBYAB.X" TargetMode="External"/><Relationship Id="rId36" Type="http://schemas.openxmlformats.org/officeDocument/2006/relationships/hyperlink" Target="http://finance.yahoo.com/q?s=XBYAJ.X" TargetMode="External"/><Relationship Id="rId49" Type="http://schemas.openxmlformats.org/officeDocument/2006/relationships/hyperlink" Target="http://finance.yahoo.com/q/op?s=IBM&amp;k=40.000000" TargetMode="External"/><Relationship Id="rId57" Type="http://schemas.openxmlformats.org/officeDocument/2006/relationships/hyperlink" Target="http://finance.yahoo.com/q/op?s=IBM&amp;k=60.000000" TargetMode="External"/><Relationship Id="rId10" Type="http://schemas.openxmlformats.org/officeDocument/2006/relationships/hyperlink" Target="http://finance.yahoo.com/q?s=VIBAK.X" TargetMode="External"/><Relationship Id="rId31" Type="http://schemas.openxmlformats.org/officeDocument/2006/relationships/hyperlink" Target="http://finance.yahoo.com/q/op?s=IBM&amp;k=130.000000" TargetMode="External"/><Relationship Id="rId44" Type="http://schemas.openxmlformats.org/officeDocument/2006/relationships/hyperlink" Target="http://finance.yahoo.com/q?s=VIBME.X" TargetMode="External"/><Relationship Id="rId52" Type="http://schemas.openxmlformats.org/officeDocument/2006/relationships/hyperlink" Target="http://finance.yahoo.com/q?s=VIBMI.X" TargetMode="External"/><Relationship Id="rId60" Type="http://schemas.openxmlformats.org/officeDocument/2006/relationships/hyperlink" Target="http://finance.yahoo.com/q?s=VIBMM.X" TargetMode="External"/><Relationship Id="rId65" Type="http://schemas.openxmlformats.org/officeDocument/2006/relationships/hyperlink" Target="http://finance.yahoo.com/q/op?s=IBM&amp;k=85.000000" TargetMode="External"/><Relationship Id="rId73" Type="http://schemas.openxmlformats.org/officeDocument/2006/relationships/hyperlink" Target="http://finance.yahoo.com/q/op?s=IBM&amp;k=110.000000" TargetMode="External"/><Relationship Id="rId78" Type="http://schemas.openxmlformats.org/officeDocument/2006/relationships/hyperlink" Target="http://finance.yahoo.com/q?s=XBYMF.X" TargetMode="External"/><Relationship Id="rId81" Type="http://schemas.openxmlformats.org/officeDocument/2006/relationships/hyperlink" Target="http://finance.yahoo.com/q/op?s=IBM&amp;k=150.000000" TargetMode="External"/><Relationship Id="rId4" Type="http://schemas.openxmlformats.org/officeDocument/2006/relationships/hyperlink" Target="http://finance.yahoo.com/q?s=VIBAW.X" TargetMode="External"/><Relationship Id="rId9" Type="http://schemas.openxmlformats.org/officeDocument/2006/relationships/hyperlink" Target="http://finance.yahoo.com/q/op?s=IBM&amp;k=55.000000" TargetMode="External"/><Relationship Id="rId13" Type="http://schemas.openxmlformats.org/officeDocument/2006/relationships/hyperlink" Target="http://finance.yahoo.com/q/op?s=IBM&amp;k=65.000000" TargetMode="External"/><Relationship Id="rId18" Type="http://schemas.openxmlformats.org/officeDocument/2006/relationships/hyperlink" Target="http://finance.yahoo.com/q?s=VIBAP.X" TargetMode="External"/><Relationship Id="rId39" Type="http://schemas.openxmlformats.org/officeDocument/2006/relationships/hyperlink" Target="http://finance.yahoo.com/q/op?s=IBM&amp;k=20.000000" TargetMode="External"/><Relationship Id="rId34" Type="http://schemas.openxmlformats.org/officeDocument/2006/relationships/hyperlink" Target="http://finance.yahoo.com/q?s=XBYAH.X" TargetMode="External"/><Relationship Id="rId50" Type="http://schemas.openxmlformats.org/officeDocument/2006/relationships/hyperlink" Target="http://finance.yahoo.com/q?s=VIBMW.X" TargetMode="External"/><Relationship Id="rId55" Type="http://schemas.openxmlformats.org/officeDocument/2006/relationships/hyperlink" Target="http://finance.yahoo.com/q/op?s=IBM&amp;k=55.000000" TargetMode="External"/><Relationship Id="rId76" Type="http://schemas.openxmlformats.org/officeDocument/2006/relationships/hyperlink" Target="http://finance.yahoo.com/q?s=XBYMD.X" TargetMode="External"/><Relationship Id="rId7" Type="http://schemas.openxmlformats.org/officeDocument/2006/relationships/hyperlink" Target="http://finance.yahoo.com/q/op?s=IBM&amp;k=50.000000" TargetMode="External"/><Relationship Id="rId71" Type="http://schemas.openxmlformats.org/officeDocument/2006/relationships/hyperlink" Target="http://finance.yahoo.com/q/op?s=IBM&amp;k=100.000000" TargetMode="External"/><Relationship Id="rId2" Type="http://schemas.openxmlformats.org/officeDocument/2006/relationships/hyperlink" Target="http://finance.yahoo.com/q?s=VIBAG.X" TargetMode="External"/><Relationship Id="rId29" Type="http://schemas.openxmlformats.org/officeDocument/2006/relationships/hyperlink" Target="http://finance.yahoo.com/q/op?s=IBM&amp;k=120.000000" TargetMode="External"/><Relationship Id="rId24" Type="http://schemas.openxmlformats.org/officeDocument/2006/relationships/hyperlink" Target="http://finance.yahoo.com/q?s=VIBAS.X" TargetMode="External"/><Relationship Id="rId40" Type="http://schemas.openxmlformats.org/officeDocument/2006/relationships/hyperlink" Target="http://finance.yahoo.com/q?s=VIBMU.X" TargetMode="External"/><Relationship Id="rId45" Type="http://schemas.openxmlformats.org/officeDocument/2006/relationships/hyperlink" Target="http://finance.yahoo.com/q/op?s=IBM&amp;k=30.000000" TargetMode="External"/><Relationship Id="rId66" Type="http://schemas.openxmlformats.org/officeDocument/2006/relationships/hyperlink" Target="http://finance.yahoo.com/q?s=VIBMQ.X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H40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5"/>
  </cols>
  <sheetData>
    <row r="1" spans="1:8" ht="60">
      <c r="A1" s="6" t="s">
        <v>3</v>
      </c>
      <c r="B1" s="7" t="s">
        <v>4</v>
      </c>
    </row>
    <row r="2" spans="1:8">
      <c r="A2" s="8"/>
    </row>
    <row r="3" spans="1:8" ht="15">
      <c r="A3" s="9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9" t="s">
        <v>12</v>
      </c>
    </row>
    <row r="4" spans="1:8" ht="16">
      <c r="A4" s="10">
        <v>50</v>
      </c>
      <c r="B4" s="11" t="s">
        <v>13</v>
      </c>
      <c r="C4" s="12">
        <v>55.8</v>
      </c>
      <c r="D4" s="13">
        <v>0</v>
      </c>
      <c r="E4" s="14">
        <v>51.1</v>
      </c>
      <c r="F4" s="14">
        <v>51.6</v>
      </c>
      <c r="G4" s="14">
        <v>104</v>
      </c>
      <c r="H4" s="14">
        <v>1</v>
      </c>
    </row>
    <row r="5" spans="1:8" ht="16">
      <c r="A5" s="10">
        <v>55</v>
      </c>
      <c r="B5" s="11" t="s">
        <v>14</v>
      </c>
      <c r="C5" s="12">
        <v>50.8</v>
      </c>
      <c r="D5" s="13">
        <v>0</v>
      </c>
      <c r="E5" s="14">
        <v>46.1</v>
      </c>
      <c r="F5" s="14">
        <v>46.6</v>
      </c>
      <c r="G5" s="14">
        <v>104</v>
      </c>
      <c r="H5" s="14">
        <v>1</v>
      </c>
    </row>
    <row r="6" spans="1:8" ht="16">
      <c r="A6" s="10">
        <v>60</v>
      </c>
      <c r="B6" s="11" t="s">
        <v>15</v>
      </c>
      <c r="C6" s="12">
        <v>43.95</v>
      </c>
      <c r="D6" s="13">
        <v>0</v>
      </c>
      <c r="E6" s="14">
        <v>41.1</v>
      </c>
      <c r="F6" s="14">
        <v>41.6</v>
      </c>
      <c r="G6" s="14">
        <v>2</v>
      </c>
      <c r="H6" s="14">
        <v>1</v>
      </c>
    </row>
    <row r="7" spans="1:8" ht="16">
      <c r="A7" s="10">
        <v>80</v>
      </c>
      <c r="B7" s="11" t="s">
        <v>16</v>
      </c>
      <c r="C7" s="12">
        <v>20.399999999999999</v>
      </c>
      <c r="D7" s="15">
        <v>5.4</v>
      </c>
      <c r="E7" s="14">
        <v>21.2</v>
      </c>
      <c r="F7" s="14">
        <v>21.5</v>
      </c>
      <c r="G7" s="14">
        <v>8</v>
      </c>
      <c r="H7" s="14">
        <v>251</v>
      </c>
    </row>
    <row r="8" spans="1:8" ht="16">
      <c r="A8" s="10">
        <v>85</v>
      </c>
      <c r="B8" s="11" t="s">
        <v>17</v>
      </c>
      <c r="C8" s="12">
        <v>15.2</v>
      </c>
      <c r="D8" s="15">
        <v>3.7</v>
      </c>
      <c r="E8" s="14">
        <v>16.100000000000001</v>
      </c>
      <c r="F8" s="14">
        <v>16.600000000000001</v>
      </c>
      <c r="G8" s="14">
        <v>15</v>
      </c>
      <c r="H8" s="14">
        <v>23</v>
      </c>
    </row>
    <row r="9" spans="1:8" ht="16">
      <c r="A9" s="10">
        <v>90</v>
      </c>
      <c r="B9" s="11" t="s">
        <v>18</v>
      </c>
      <c r="C9" s="12">
        <v>10.3</v>
      </c>
      <c r="D9" s="15">
        <v>2.2999999999999998</v>
      </c>
      <c r="E9" s="14">
        <v>11.4</v>
      </c>
      <c r="F9" s="14">
        <v>11.6</v>
      </c>
      <c r="G9" s="14">
        <v>144</v>
      </c>
      <c r="H9" s="16">
        <v>1076</v>
      </c>
    </row>
    <row r="10" spans="1:8" ht="16">
      <c r="A10" s="10">
        <v>95</v>
      </c>
      <c r="B10" s="11" t="s">
        <v>19</v>
      </c>
      <c r="C10" s="12">
        <v>6.5</v>
      </c>
      <c r="D10" s="15">
        <v>0.9</v>
      </c>
      <c r="E10" s="14">
        <v>6.6</v>
      </c>
      <c r="F10" s="14">
        <v>6.7</v>
      </c>
      <c r="G10" s="14">
        <v>449</v>
      </c>
      <c r="H10" s="14">
        <v>268</v>
      </c>
    </row>
    <row r="11" spans="1:8" ht="16">
      <c r="A11" s="10">
        <v>100</v>
      </c>
      <c r="B11" s="11" t="s">
        <v>20</v>
      </c>
      <c r="C11" s="12">
        <v>2.5499999999999998</v>
      </c>
      <c r="D11" s="15">
        <v>0.85</v>
      </c>
      <c r="E11" s="14">
        <v>2.4500000000000002</v>
      </c>
      <c r="F11" s="14">
        <v>2.5499999999999998</v>
      </c>
      <c r="G11" s="16">
        <v>5862</v>
      </c>
      <c r="H11" s="16">
        <v>7764</v>
      </c>
    </row>
    <row r="12" spans="1:8" ht="16">
      <c r="A12" s="10">
        <v>105</v>
      </c>
      <c r="B12" s="11" t="s">
        <v>21</v>
      </c>
      <c r="C12" s="12">
        <v>0.4</v>
      </c>
      <c r="D12" s="15">
        <v>0.45</v>
      </c>
      <c r="E12" s="14">
        <v>0.35</v>
      </c>
      <c r="F12" s="14">
        <v>0.45</v>
      </c>
      <c r="G12" s="16">
        <v>7805</v>
      </c>
      <c r="H12" s="16">
        <v>19418</v>
      </c>
    </row>
    <row r="13" spans="1:8" ht="16">
      <c r="A13" s="10">
        <v>110</v>
      </c>
      <c r="B13" s="11" t="s">
        <v>22</v>
      </c>
      <c r="C13" s="12">
        <v>0.05</v>
      </c>
      <c r="D13" s="15">
        <v>0.05</v>
      </c>
      <c r="E13" s="14" t="s">
        <v>23</v>
      </c>
      <c r="F13" s="14">
        <v>0.05</v>
      </c>
      <c r="G13" s="16">
        <v>1314</v>
      </c>
      <c r="H13" s="16">
        <v>15366</v>
      </c>
    </row>
    <row r="14" spans="1:8" ht="16">
      <c r="A14" s="10">
        <v>115</v>
      </c>
      <c r="B14" s="11" t="s">
        <v>24</v>
      </c>
      <c r="C14" s="12">
        <v>0.01</v>
      </c>
      <c r="D14" s="13">
        <v>0</v>
      </c>
      <c r="E14" s="14" t="s">
        <v>23</v>
      </c>
      <c r="F14" s="14">
        <v>0.05</v>
      </c>
      <c r="G14" s="14">
        <v>11</v>
      </c>
      <c r="H14" s="16">
        <v>4641</v>
      </c>
    </row>
    <row r="15" spans="1:8" ht="16">
      <c r="A15" s="10">
        <v>120</v>
      </c>
      <c r="B15" s="11" t="s">
        <v>25</v>
      </c>
      <c r="C15" s="12">
        <v>0.02</v>
      </c>
      <c r="D15" s="13">
        <v>0</v>
      </c>
      <c r="E15" s="14" t="s">
        <v>23</v>
      </c>
      <c r="F15" s="14">
        <v>0.05</v>
      </c>
      <c r="G15" s="14">
        <v>5</v>
      </c>
      <c r="H15" s="16">
        <v>3953</v>
      </c>
    </row>
    <row r="16" spans="1:8" ht="16">
      <c r="A16" s="10">
        <v>125</v>
      </c>
      <c r="B16" s="11" t="s">
        <v>26</v>
      </c>
      <c r="C16" s="12">
        <v>0.05</v>
      </c>
      <c r="D16" s="13">
        <v>0</v>
      </c>
      <c r="E16" s="14" t="s">
        <v>23</v>
      </c>
      <c r="F16" s="14">
        <v>0.05</v>
      </c>
      <c r="G16" s="14">
        <v>10</v>
      </c>
      <c r="H16" s="14">
        <v>678</v>
      </c>
    </row>
    <row r="17" spans="1:8" ht="16">
      <c r="A17" s="10">
        <v>130</v>
      </c>
      <c r="B17" s="11" t="s">
        <v>27</v>
      </c>
      <c r="C17" s="12">
        <v>0.04</v>
      </c>
      <c r="D17" s="13">
        <v>0</v>
      </c>
      <c r="E17" s="14" t="s">
        <v>23</v>
      </c>
      <c r="F17" s="14">
        <v>0.05</v>
      </c>
      <c r="G17" s="14">
        <v>10</v>
      </c>
      <c r="H17" s="14">
        <v>362</v>
      </c>
    </row>
    <row r="18" spans="1:8">
      <c r="A18" s="8"/>
    </row>
    <row r="19" spans="1:8" ht="60">
      <c r="A19" s="6" t="s">
        <v>28</v>
      </c>
      <c r="B19" s="7" t="s">
        <v>4</v>
      </c>
    </row>
    <row r="20" spans="1:8">
      <c r="A20" s="8"/>
    </row>
    <row r="21" spans="1:8" ht="15">
      <c r="A21" s="9" t="s">
        <v>5</v>
      </c>
      <c r="B21" s="9" t="s">
        <v>6</v>
      </c>
      <c r="C21" s="9" t="s">
        <v>7</v>
      </c>
      <c r="D21" s="9" t="s">
        <v>8</v>
      </c>
      <c r="E21" s="9" t="s">
        <v>9</v>
      </c>
      <c r="F21" s="9" t="s">
        <v>10</v>
      </c>
      <c r="G21" s="9" t="s">
        <v>11</v>
      </c>
      <c r="H21" s="9" t="s">
        <v>12</v>
      </c>
    </row>
    <row r="22" spans="1:8" ht="16">
      <c r="A22" s="10">
        <v>55</v>
      </c>
      <c r="B22" s="11" t="s">
        <v>29</v>
      </c>
      <c r="C22" s="12">
        <v>0.1</v>
      </c>
      <c r="D22" s="13">
        <v>0</v>
      </c>
      <c r="E22" s="14" t="s">
        <v>23</v>
      </c>
      <c r="F22" s="14">
        <v>0.05</v>
      </c>
      <c r="G22" s="14">
        <v>0</v>
      </c>
      <c r="H22" s="14">
        <v>10</v>
      </c>
    </row>
    <row r="23" spans="1:8" ht="16">
      <c r="A23" s="10">
        <v>60</v>
      </c>
      <c r="B23" s="11" t="s">
        <v>30</v>
      </c>
      <c r="C23" s="12">
        <v>0.05</v>
      </c>
      <c r="D23" s="13">
        <v>0</v>
      </c>
      <c r="E23" s="14" t="s">
        <v>23</v>
      </c>
      <c r="F23" s="14">
        <v>0.05</v>
      </c>
      <c r="G23" s="14">
        <v>0</v>
      </c>
      <c r="H23" s="14">
        <v>660</v>
      </c>
    </row>
    <row r="24" spans="1:8" ht="16">
      <c r="A24" s="10">
        <v>65</v>
      </c>
      <c r="B24" s="11" t="s">
        <v>31</v>
      </c>
      <c r="C24" s="12">
        <v>0.03</v>
      </c>
      <c r="D24" s="13">
        <v>0</v>
      </c>
      <c r="E24" s="14" t="s">
        <v>23</v>
      </c>
      <c r="F24" s="14">
        <v>0.05</v>
      </c>
      <c r="G24" s="14">
        <v>2</v>
      </c>
      <c r="H24" s="14">
        <v>400</v>
      </c>
    </row>
    <row r="25" spans="1:8" ht="16">
      <c r="A25" s="10">
        <v>70</v>
      </c>
      <c r="B25" s="11" t="s">
        <v>32</v>
      </c>
      <c r="C25" s="12">
        <v>0.05</v>
      </c>
      <c r="D25" s="13">
        <v>0</v>
      </c>
      <c r="E25" s="14" t="s">
        <v>23</v>
      </c>
      <c r="F25" s="14">
        <v>0.05</v>
      </c>
      <c r="G25" s="14">
        <v>0</v>
      </c>
      <c r="H25" s="14">
        <v>378</v>
      </c>
    </row>
    <row r="26" spans="1:8" ht="16">
      <c r="A26" s="10">
        <v>75</v>
      </c>
      <c r="B26" s="11" t="s">
        <v>33</v>
      </c>
      <c r="C26" s="12">
        <v>0.05</v>
      </c>
      <c r="D26" s="13">
        <v>0</v>
      </c>
      <c r="E26" s="14" t="s">
        <v>23</v>
      </c>
      <c r="F26" s="14">
        <v>0.05</v>
      </c>
      <c r="G26" s="14">
        <v>145</v>
      </c>
      <c r="H26" s="16">
        <v>3230</v>
      </c>
    </row>
    <row r="27" spans="1:8" ht="16">
      <c r="A27" s="10">
        <v>80</v>
      </c>
      <c r="B27" s="11" t="s">
        <v>34</v>
      </c>
      <c r="C27" s="12">
        <v>0.05</v>
      </c>
      <c r="D27" s="13">
        <v>0</v>
      </c>
      <c r="E27" s="14" t="s">
        <v>23</v>
      </c>
      <c r="F27" s="14">
        <v>0.05</v>
      </c>
      <c r="G27" s="14">
        <v>3</v>
      </c>
      <c r="H27" s="16">
        <v>4626</v>
      </c>
    </row>
    <row r="28" spans="1:8" ht="16">
      <c r="A28" s="10">
        <v>85</v>
      </c>
      <c r="B28" s="11" t="s">
        <v>35</v>
      </c>
      <c r="C28" s="12">
        <v>0.05</v>
      </c>
      <c r="D28" s="17">
        <v>0.03</v>
      </c>
      <c r="E28" s="14" t="s">
        <v>23</v>
      </c>
      <c r="F28" s="14">
        <v>0.05</v>
      </c>
      <c r="G28" s="14">
        <v>198</v>
      </c>
      <c r="H28" s="16">
        <v>4112</v>
      </c>
    </row>
    <row r="29" spans="1:8" ht="16">
      <c r="A29" s="10">
        <v>90</v>
      </c>
      <c r="B29" s="11" t="s">
        <v>36</v>
      </c>
      <c r="C29" s="12">
        <v>0.05</v>
      </c>
      <c r="D29" s="15">
        <v>0.04</v>
      </c>
      <c r="E29" s="14">
        <v>0.05</v>
      </c>
      <c r="F29" s="14">
        <v>0.1</v>
      </c>
      <c r="G29" s="14">
        <v>745</v>
      </c>
      <c r="H29" s="16">
        <v>12901</v>
      </c>
    </row>
    <row r="30" spans="1:8" ht="16">
      <c r="A30" s="10">
        <v>95</v>
      </c>
      <c r="B30" s="11" t="s">
        <v>37</v>
      </c>
      <c r="C30" s="12">
        <v>0.25</v>
      </c>
      <c r="D30" s="13">
        <v>0</v>
      </c>
      <c r="E30" s="14">
        <v>0.2</v>
      </c>
      <c r="F30" s="14">
        <v>0.25</v>
      </c>
      <c r="G30" s="16">
        <v>2338</v>
      </c>
      <c r="H30" s="16">
        <v>11995</v>
      </c>
    </row>
    <row r="31" spans="1:8" ht="16">
      <c r="A31" s="10">
        <v>100</v>
      </c>
      <c r="B31" s="11" t="s">
        <v>38</v>
      </c>
      <c r="C31" s="12">
        <v>1.1000000000000001</v>
      </c>
      <c r="D31" s="17">
        <v>0.12</v>
      </c>
      <c r="E31" s="14">
        <v>1.1000000000000001</v>
      </c>
      <c r="F31" s="14">
        <v>1.1499999999999999</v>
      </c>
      <c r="G31" s="16">
        <v>6960</v>
      </c>
      <c r="H31" s="16">
        <v>13971</v>
      </c>
    </row>
    <row r="32" spans="1:8" ht="16">
      <c r="A32" s="10">
        <v>105</v>
      </c>
      <c r="B32" s="11" t="s">
        <v>39</v>
      </c>
      <c r="C32" s="12">
        <v>4</v>
      </c>
      <c r="D32" s="17">
        <v>0.7</v>
      </c>
      <c r="E32" s="14">
        <v>3.9</v>
      </c>
      <c r="F32" s="14">
        <v>4.0999999999999996</v>
      </c>
      <c r="G32" s="16">
        <v>3620</v>
      </c>
      <c r="H32" s="16">
        <v>8001</v>
      </c>
    </row>
    <row r="33" spans="1:8" ht="16">
      <c r="A33" s="10">
        <v>110</v>
      </c>
      <c r="B33" s="11" t="s">
        <v>40</v>
      </c>
      <c r="C33" s="12">
        <v>9</v>
      </c>
      <c r="D33" s="17">
        <v>1.2</v>
      </c>
      <c r="E33" s="14">
        <v>8.5</v>
      </c>
      <c r="F33" s="14">
        <v>8.6999999999999993</v>
      </c>
      <c r="G33" s="14">
        <v>132</v>
      </c>
      <c r="H33" s="16">
        <v>1252</v>
      </c>
    </row>
    <row r="34" spans="1:8" ht="16">
      <c r="A34" s="10">
        <v>115</v>
      </c>
      <c r="B34" s="11" t="s">
        <v>41</v>
      </c>
      <c r="C34" s="12">
        <v>13.7</v>
      </c>
      <c r="D34" s="17">
        <v>2.7</v>
      </c>
      <c r="E34" s="14">
        <v>13.4</v>
      </c>
      <c r="F34" s="14">
        <v>13.8</v>
      </c>
      <c r="G34" s="14">
        <v>44</v>
      </c>
      <c r="H34" s="14">
        <v>538</v>
      </c>
    </row>
    <row r="35" spans="1:8" ht="16">
      <c r="A35" s="10">
        <v>120</v>
      </c>
      <c r="B35" s="11" t="s">
        <v>42</v>
      </c>
      <c r="C35" s="12">
        <v>18.2</v>
      </c>
      <c r="D35" s="17">
        <v>3.9</v>
      </c>
      <c r="E35" s="14">
        <v>18.399999999999999</v>
      </c>
      <c r="F35" s="14">
        <v>18.899999999999999</v>
      </c>
      <c r="G35" s="14">
        <v>1</v>
      </c>
      <c r="H35" s="14">
        <v>61</v>
      </c>
    </row>
    <row r="36" spans="1:8" ht="16">
      <c r="A36" s="10">
        <v>125</v>
      </c>
      <c r="B36" s="11" t="s">
        <v>43</v>
      </c>
      <c r="C36" s="12">
        <v>23.8</v>
      </c>
      <c r="D36" s="13">
        <v>0</v>
      </c>
      <c r="E36" s="14">
        <v>23.4</v>
      </c>
      <c r="F36" s="14">
        <v>23.8</v>
      </c>
      <c r="G36" s="14">
        <v>10</v>
      </c>
      <c r="H36" s="14">
        <v>11</v>
      </c>
    </row>
    <row r="37" spans="1:8" ht="16">
      <c r="A37" s="10">
        <v>130</v>
      </c>
      <c r="B37" s="11" t="s">
        <v>44</v>
      </c>
      <c r="C37" s="12">
        <v>27.8</v>
      </c>
      <c r="D37" s="13">
        <v>0</v>
      </c>
      <c r="E37" s="14">
        <v>28.4</v>
      </c>
      <c r="F37" s="14">
        <v>29</v>
      </c>
      <c r="G37" s="14">
        <v>152</v>
      </c>
      <c r="H37" s="14">
        <v>10</v>
      </c>
    </row>
    <row r="38" spans="1:8" ht="39">
      <c r="A38" s="8" t="s">
        <v>45</v>
      </c>
      <c r="B38" s="18" t="s">
        <v>46</v>
      </c>
    </row>
    <row r="39" spans="1:8">
      <c r="A39" s="8"/>
    </row>
    <row r="40" spans="1:8" ht="48">
      <c r="A40" s="19" t="s">
        <v>47</v>
      </c>
    </row>
  </sheetData>
  <phoneticPr fontId="14" type="noConversion"/>
  <hyperlinks>
    <hyperlink ref="A4" r:id="rId1" display="http://finance.yahoo.com/q/op?s=IBM&amp;k=50.000000" xr:uid="{00000000-0004-0000-0000-000000000000}"/>
    <hyperlink ref="B4" r:id="rId2" display="http://finance.yahoo.com/q?s=IBMEU.X" xr:uid="{00000000-0004-0000-0000-000001000000}"/>
    <hyperlink ref="A5" r:id="rId3" display="http://finance.yahoo.com/q/op?s=IBM&amp;k=55.000000" xr:uid="{00000000-0004-0000-0000-000002000000}"/>
    <hyperlink ref="B5" r:id="rId4" display="http://finance.yahoo.com/q?s=IBMEV.X" xr:uid="{00000000-0004-0000-0000-000003000000}"/>
    <hyperlink ref="A6" r:id="rId5" display="http://finance.yahoo.com/q/op?s=IBM&amp;k=60.000000" xr:uid="{00000000-0004-0000-0000-000004000000}"/>
    <hyperlink ref="B6" r:id="rId6" display="http://finance.yahoo.com/q?s=IBMEL.X" xr:uid="{00000000-0004-0000-0000-000005000000}"/>
    <hyperlink ref="A7" r:id="rId7" display="http://finance.yahoo.com/q/op?s=IBM&amp;k=80.000000" xr:uid="{00000000-0004-0000-0000-000006000000}"/>
    <hyperlink ref="B7" r:id="rId8" display="http://finance.yahoo.com/q?s=IBMEP.X" xr:uid="{00000000-0004-0000-0000-000007000000}"/>
    <hyperlink ref="A8" r:id="rId9" display="http://finance.yahoo.com/q/op?s=IBM&amp;k=85.000000" xr:uid="{00000000-0004-0000-0000-000008000000}"/>
    <hyperlink ref="B8" r:id="rId10" display="http://finance.yahoo.com/q?s=IBMEQ.X" xr:uid="{00000000-0004-0000-0000-000009000000}"/>
    <hyperlink ref="A9" r:id="rId11" display="http://finance.yahoo.com/q/op?s=IBM&amp;k=90.000000" xr:uid="{00000000-0004-0000-0000-00000A000000}"/>
    <hyperlink ref="B9" r:id="rId12" display="http://finance.yahoo.com/q?s=IBMER.X" xr:uid="{00000000-0004-0000-0000-00000B000000}"/>
    <hyperlink ref="A10" r:id="rId13" display="http://finance.yahoo.com/q/op?s=IBM&amp;k=95.000000" xr:uid="{00000000-0004-0000-0000-00000C000000}"/>
    <hyperlink ref="B10" r:id="rId14" display="http://finance.yahoo.com/q?s=IBMES.X" xr:uid="{00000000-0004-0000-0000-00000D000000}"/>
    <hyperlink ref="A11" r:id="rId15" display="http://finance.yahoo.com/q/op?s=IBM&amp;k=100.000000" xr:uid="{00000000-0004-0000-0000-00000E000000}"/>
    <hyperlink ref="B11" r:id="rId16" display="http://finance.yahoo.com/q?s=IBMET.X" xr:uid="{00000000-0004-0000-0000-00000F000000}"/>
    <hyperlink ref="A12" r:id="rId17" display="http://finance.yahoo.com/q/op?s=IBM&amp;k=105.000000" xr:uid="{00000000-0004-0000-0000-000010000000}"/>
    <hyperlink ref="B12" r:id="rId18" display="http://finance.yahoo.com/q?s=IBMEA.X" xr:uid="{00000000-0004-0000-0000-000011000000}"/>
    <hyperlink ref="A13" r:id="rId19" display="http://finance.yahoo.com/q/op?s=IBM&amp;k=110.000000" xr:uid="{00000000-0004-0000-0000-000012000000}"/>
    <hyperlink ref="B13" r:id="rId20" display="http://finance.yahoo.com/q?s=IBMEB.X" xr:uid="{00000000-0004-0000-0000-000013000000}"/>
    <hyperlink ref="A14" r:id="rId21" display="http://finance.yahoo.com/q/op?s=IBM&amp;k=115.000000" xr:uid="{00000000-0004-0000-0000-000014000000}"/>
    <hyperlink ref="B14" r:id="rId22" display="http://finance.yahoo.com/q?s=IBMEC.X" xr:uid="{00000000-0004-0000-0000-000015000000}"/>
    <hyperlink ref="A15" r:id="rId23" display="http://finance.yahoo.com/q/op?s=IBM&amp;k=120.000000" xr:uid="{00000000-0004-0000-0000-000016000000}"/>
    <hyperlink ref="B15" r:id="rId24" display="http://finance.yahoo.com/q?s=IBMED.X" xr:uid="{00000000-0004-0000-0000-000017000000}"/>
    <hyperlink ref="A16" r:id="rId25" display="http://finance.yahoo.com/q/op?s=IBM&amp;k=125.000000" xr:uid="{00000000-0004-0000-0000-000018000000}"/>
    <hyperlink ref="B16" r:id="rId26" display="http://finance.yahoo.com/q?s=IBMEE.X" xr:uid="{00000000-0004-0000-0000-000019000000}"/>
    <hyperlink ref="A17" r:id="rId27" display="http://finance.yahoo.com/q/op?s=IBM&amp;k=130.000000" xr:uid="{00000000-0004-0000-0000-00001A000000}"/>
    <hyperlink ref="B17" r:id="rId28" display="http://finance.yahoo.com/q?s=IBMEF.X" xr:uid="{00000000-0004-0000-0000-00001B000000}"/>
    <hyperlink ref="A22" r:id="rId29" display="http://finance.yahoo.com/q/op?s=IBM&amp;k=55.000000" xr:uid="{00000000-0004-0000-0000-00001C000000}"/>
    <hyperlink ref="B22" r:id="rId30" display="http://finance.yahoo.com/q?s=IBMQV.X" xr:uid="{00000000-0004-0000-0000-00001D000000}"/>
    <hyperlink ref="A23" r:id="rId31" display="http://finance.yahoo.com/q/op?s=IBM&amp;k=60.000000" xr:uid="{00000000-0004-0000-0000-00001E000000}"/>
    <hyperlink ref="B23" r:id="rId32" display="http://finance.yahoo.com/q?s=IBMQL.X" xr:uid="{00000000-0004-0000-0000-00001F000000}"/>
    <hyperlink ref="A24" r:id="rId33" display="http://finance.yahoo.com/q/op?s=IBM&amp;k=65.000000" xr:uid="{00000000-0004-0000-0000-000020000000}"/>
    <hyperlink ref="B24" r:id="rId34" display="http://finance.yahoo.com/q?s=IBMQM.X" xr:uid="{00000000-0004-0000-0000-000021000000}"/>
    <hyperlink ref="A25" r:id="rId35" display="http://finance.yahoo.com/q/op?s=IBM&amp;k=70.000000" xr:uid="{00000000-0004-0000-0000-000022000000}"/>
    <hyperlink ref="B25" r:id="rId36" display="http://finance.yahoo.com/q?s=IBMQN.X" xr:uid="{00000000-0004-0000-0000-000023000000}"/>
    <hyperlink ref="A26" r:id="rId37" display="http://finance.yahoo.com/q/op?s=IBM&amp;k=75.000000" xr:uid="{00000000-0004-0000-0000-000024000000}"/>
    <hyperlink ref="B26" r:id="rId38" display="http://finance.yahoo.com/q?s=IBMQO.X" xr:uid="{00000000-0004-0000-0000-000025000000}"/>
    <hyperlink ref="A27" r:id="rId39" display="http://finance.yahoo.com/q/op?s=IBM&amp;k=80.000000" xr:uid="{00000000-0004-0000-0000-000026000000}"/>
    <hyperlink ref="B27" r:id="rId40" display="http://finance.yahoo.com/q?s=IBMQP.X" xr:uid="{00000000-0004-0000-0000-000027000000}"/>
    <hyperlink ref="A28" r:id="rId41" display="http://finance.yahoo.com/q/op?s=IBM&amp;k=85.000000" xr:uid="{00000000-0004-0000-0000-000028000000}"/>
    <hyperlink ref="B28" r:id="rId42" display="http://finance.yahoo.com/q?s=IBMQQ.X" xr:uid="{00000000-0004-0000-0000-000029000000}"/>
    <hyperlink ref="A29" r:id="rId43" display="http://finance.yahoo.com/q/op?s=IBM&amp;k=90.000000" xr:uid="{00000000-0004-0000-0000-00002A000000}"/>
    <hyperlink ref="B29" r:id="rId44" display="http://finance.yahoo.com/q?s=IBMQR.X" xr:uid="{00000000-0004-0000-0000-00002B000000}"/>
    <hyperlink ref="A30" r:id="rId45" display="http://finance.yahoo.com/q/op?s=IBM&amp;k=95.000000" xr:uid="{00000000-0004-0000-0000-00002C000000}"/>
    <hyperlink ref="B30" r:id="rId46" display="http://finance.yahoo.com/q?s=IBMQS.X" xr:uid="{00000000-0004-0000-0000-00002D000000}"/>
    <hyperlink ref="A31" r:id="rId47" display="http://finance.yahoo.com/q/op?s=IBM&amp;k=100.000000" xr:uid="{00000000-0004-0000-0000-00002E000000}"/>
    <hyperlink ref="B31" r:id="rId48" display="http://finance.yahoo.com/q?s=IBMQT.X" xr:uid="{00000000-0004-0000-0000-00002F000000}"/>
    <hyperlink ref="A32" r:id="rId49" display="http://finance.yahoo.com/q/op?s=IBM&amp;k=105.000000" xr:uid="{00000000-0004-0000-0000-000030000000}"/>
    <hyperlink ref="B32" r:id="rId50" display="http://finance.yahoo.com/q?s=IBMQA.X" xr:uid="{00000000-0004-0000-0000-000031000000}"/>
    <hyperlink ref="A33" r:id="rId51" display="http://finance.yahoo.com/q/op?s=IBM&amp;k=110.000000" xr:uid="{00000000-0004-0000-0000-000032000000}"/>
    <hyperlink ref="B33" r:id="rId52" display="http://finance.yahoo.com/q?s=IBMQB.X" xr:uid="{00000000-0004-0000-0000-000033000000}"/>
    <hyperlink ref="A34" r:id="rId53" display="http://finance.yahoo.com/q/op?s=IBM&amp;k=115.000000" xr:uid="{00000000-0004-0000-0000-000034000000}"/>
    <hyperlink ref="B34" r:id="rId54" display="http://finance.yahoo.com/q?s=IBMQC.X" xr:uid="{00000000-0004-0000-0000-000035000000}"/>
    <hyperlink ref="A35" r:id="rId55" display="http://finance.yahoo.com/q/op?s=IBM&amp;k=120.000000" xr:uid="{00000000-0004-0000-0000-000036000000}"/>
    <hyperlink ref="B35" r:id="rId56" display="http://finance.yahoo.com/q?s=IBMQD.X" xr:uid="{00000000-0004-0000-0000-000037000000}"/>
    <hyperlink ref="A36" r:id="rId57" display="http://finance.yahoo.com/q/op?s=IBM&amp;k=125.000000" xr:uid="{00000000-0004-0000-0000-000038000000}"/>
    <hyperlink ref="B36" r:id="rId58" display="http://finance.yahoo.com/q?s=IBMQE.X" xr:uid="{00000000-0004-0000-0000-000039000000}"/>
    <hyperlink ref="A37" r:id="rId59" display="http://finance.yahoo.com/q/op?s=IBM&amp;k=130.000000" xr:uid="{00000000-0004-0000-0000-00003A000000}"/>
    <hyperlink ref="B37" r:id="rId60" display="http://finance.yahoo.com/q?s=IBMQF.X" xr:uid="{00000000-0004-0000-0000-00003B000000}"/>
    <hyperlink ref="A40" r:id="rId61" display="http://finance.yahoo.com/q/os?s=IBM&amp;m=2009-05-15" xr:uid="{00000000-0004-0000-0000-00003C000000}"/>
  </hyperlinks>
  <pageMargins left="0.7" right="0.7" top="0.75" bottom="0.75" header="0.3" footer="0.3"/>
  <drawing r:id="rId6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H40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5"/>
  </cols>
  <sheetData>
    <row r="1" spans="1:8" ht="60">
      <c r="A1" s="6" t="s">
        <v>3</v>
      </c>
      <c r="B1" s="7" t="s">
        <v>48</v>
      </c>
    </row>
    <row r="2" spans="1:8">
      <c r="A2" s="8"/>
    </row>
    <row r="3" spans="1:8" ht="15">
      <c r="A3" s="9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9" t="s">
        <v>12</v>
      </c>
    </row>
    <row r="4" spans="1:8" ht="16">
      <c r="A4" s="10">
        <v>80</v>
      </c>
      <c r="B4" s="11" t="s">
        <v>49</v>
      </c>
      <c r="C4" s="12">
        <v>25.8</v>
      </c>
      <c r="D4" s="13">
        <v>0</v>
      </c>
      <c r="E4" s="14">
        <v>21.6</v>
      </c>
      <c r="F4" s="14">
        <v>21.8</v>
      </c>
      <c r="G4" s="14">
        <v>752</v>
      </c>
      <c r="H4" s="14">
        <v>10</v>
      </c>
    </row>
    <row r="5" spans="1:8" ht="16">
      <c r="A5" s="10">
        <v>85</v>
      </c>
      <c r="B5" s="11" t="s">
        <v>50</v>
      </c>
      <c r="C5" s="12">
        <v>16.8</v>
      </c>
      <c r="D5" s="15">
        <v>4.5999999999999996</v>
      </c>
      <c r="E5" s="14">
        <v>16.8</v>
      </c>
      <c r="F5" s="14">
        <v>17</v>
      </c>
      <c r="G5" s="14">
        <v>11</v>
      </c>
      <c r="H5" s="14">
        <v>10</v>
      </c>
    </row>
    <row r="6" spans="1:8" ht="16">
      <c r="A6" s="10">
        <v>90</v>
      </c>
      <c r="B6" s="11" t="s">
        <v>51</v>
      </c>
      <c r="C6" s="12">
        <v>11.9</v>
      </c>
      <c r="D6" s="15">
        <v>1.5</v>
      </c>
      <c r="E6" s="14">
        <v>12.3</v>
      </c>
      <c r="F6" s="14">
        <v>12.5</v>
      </c>
      <c r="G6" s="14">
        <v>112</v>
      </c>
      <c r="H6" s="14">
        <v>497</v>
      </c>
    </row>
    <row r="7" spans="1:8" ht="16">
      <c r="A7" s="10">
        <v>95</v>
      </c>
      <c r="B7" s="11" t="s">
        <v>52</v>
      </c>
      <c r="C7" s="12">
        <v>8.1999999999999993</v>
      </c>
      <c r="D7" s="15">
        <v>1</v>
      </c>
      <c r="E7" s="14">
        <v>8.1999999999999993</v>
      </c>
      <c r="F7" s="14">
        <v>8.4</v>
      </c>
      <c r="G7" s="14">
        <v>457</v>
      </c>
      <c r="H7" s="16">
        <v>1375</v>
      </c>
    </row>
    <row r="8" spans="1:8" ht="16">
      <c r="A8" s="10">
        <v>100</v>
      </c>
      <c r="B8" s="11" t="s">
        <v>53</v>
      </c>
      <c r="C8" s="12">
        <v>5</v>
      </c>
      <c r="D8" s="15">
        <v>0.9</v>
      </c>
      <c r="E8" s="14">
        <v>4.8</v>
      </c>
      <c r="F8" s="14">
        <v>5</v>
      </c>
      <c r="G8" s="16">
        <v>1073</v>
      </c>
      <c r="H8" s="16">
        <v>3095</v>
      </c>
    </row>
    <row r="9" spans="1:8" ht="16">
      <c r="A9" s="10">
        <v>105</v>
      </c>
      <c r="B9" s="11" t="s">
        <v>54</v>
      </c>
      <c r="C9" s="12">
        <v>2.4500000000000002</v>
      </c>
      <c r="D9" s="15">
        <v>0.65</v>
      </c>
      <c r="E9" s="14">
        <v>2.4</v>
      </c>
      <c r="F9" s="14">
        <v>2.5</v>
      </c>
      <c r="G9" s="16">
        <v>3194</v>
      </c>
      <c r="H9" s="16">
        <v>6114</v>
      </c>
    </row>
    <row r="10" spans="1:8" ht="16">
      <c r="A10" s="10">
        <v>110</v>
      </c>
      <c r="B10" s="11" t="s">
        <v>55</v>
      </c>
      <c r="C10" s="12">
        <v>1.05</v>
      </c>
      <c r="D10" s="15">
        <v>0.4</v>
      </c>
      <c r="E10" s="14">
        <v>1</v>
      </c>
      <c r="F10" s="14">
        <v>1.05</v>
      </c>
      <c r="G10" s="16">
        <v>1276</v>
      </c>
      <c r="H10" s="16">
        <v>5039</v>
      </c>
    </row>
    <row r="11" spans="1:8" ht="16">
      <c r="A11" s="10">
        <v>115</v>
      </c>
      <c r="B11" s="11" t="s">
        <v>56</v>
      </c>
      <c r="C11" s="12">
        <v>0.4</v>
      </c>
      <c r="D11" s="15">
        <v>0.15</v>
      </c>
      <c r="E11" s="14">
        <v>0.35</v>
      </c>
      <c r="F11" s="14">
        <v>0.4</v>
      </c>
      <c r="G11" s="14">
        <v>744</v>
      </c>
      <c r="H11" s="16">
        <v>4520</v>
      </c>
    </row>
    <row r="12" spans="1:8" ht="16">
      <c r="A12" s="10">
        <v>120</v>
      </c>
      <c r="B12" s="11" t="s">
        <v>57</v>
      </c>
      <c r="C12" s="12">
        <v>0.1</v>
      </c>
      <c r="D12" s="15">
        <v>0.1</v>
      </c>
      <c r="E12" s="14">
        <v>0.1</v>
      </c>
      <c r="F12" s="14">
        <v>0.15</v>
      </c>
      <c r="G12" s="14">
        <v>10</v>
      </c>
      <c r="H12" s="16">
        <v>1053</v>
      </c>
    </row>
    <row r="13" spans="1:8" ht="16">
      <c r="A13" s="10">
        <v>125</v>
      </c>
      <c r="B13" s="11" t="s">
        <v>58</v>
      </c>
      <c r="C13" s="12">
        <v>0.05</v>
      </c>
      <c r="D13" s="15">
        <v>0.03</v>
      </c>
      <c r="E13" s="14" t="s">
        <v>23</v>
      </c>
      <c r="F13" s="14">
        <v>0.1</v>
      </c>
      <c r="G13" s="14">
        <v>5</v>
      </c>
      <c r="H13" s="14">
        <v>319</v>
      </c>
    </row>
    <row r="14" spans="1:8" ht="16">
      <c r="A14" s="10">
        <v>130</v>
      </c>
      <c r="B14" s="11" t="s">
        <v>59</v>
      </c>
      <c r="C14" s="12">
        <v>0.05</v>
      </c>
      <c r="D14" s="13">
        <v>0</v>
      </c>
      <c r="E14" s="14" t="s">
        <v>23</v>
      </c>
      <c r="F14" s="14">
        <v>0.05</v>
      </c>
      <c r="G14" s="14">
        <v>10</v>
      </c>
      <c r="H14" s="14">
        <v>20</v>
      </c>
    </row>
    <row r="15" spans="1:8" ht="16">
      <c r="A15" s="10">
        <v>140</v>
      </c>
      <c r="B15" s="11" t="s">
        <v>60</v>
      </c>
      <c r="C15" s="12">
        <v>0.05</v>
      </c>
      <c r="D15" s="13">
        <v>0</v>
      </c>
      <c r="E15" s="14" t="s">
        <v>23</v>
      </c>
      <c r="F15" s="14">
        <v>0.05</v>
      </c>
      <c r="G15" s="14">
        <v>0</v>
      </c>
      <c r="H15" s="14">
        <v>117</v>
      </c>
    </row>
    <row r="16" spans="1:8">
      <c r="A16" s="8"/>
    </row>
    <row r="17" spans="1:8" ht="60">
      <c r="A17" s="6" t="s">
        <v>28</v>
      </c>
      <c r="B17" s="7" t="s">
        <v>48</v>
      </c>
    </row>
    <row r="18" spans="1:8">
      <c r="A18" s="8"/>
    </row>
    <row r="19" spans="1:8" ht="15">
      <c r="A19" s="9" t="s">
        <v>5</v>
      </c>
      <c r="B19" s="9" t="s">
        <v>6</v>
      </c>
      <c r="C19" s="9" t="s">
        <v>7</v>
      </c>
      <c r="D19" s="9" t="s">
        <v>8</v>
      </c>
      <c r="E19" s="9" t="s">
        <v>9</v>
      </c>
      <c r="F19" s="9" t="s">
        <v>10</v>
      </c>
      <c r="G19" s="9" t="s">
        <v>11</v>
      </c>
      <c r="H19" s="9" t="s">
        <v>12</v>
      </c>
    </row>
    <row r="20" spans="1:8" ht="16">
      <c r="A20" s="10">
        <v>60</v>
      </c>
      <c r="B20" s="11" t="s">
        <v>61</v>
      </c>
      <c r="C20" s="12">
        <v>0.05</v>
      </c>
      <c r="D20" s="13">
        <v>0</v>
      </c>
      <c r="E20" s="14" t="s">
        <v>23</v>
      </c>
      <c r="F20" s="14">
        <v>0.05</v>
      </c>
      <c r="G20" s="14">
        <v>100</v>
      </c>
      <c r="H20" s="14">
        <v>310</v>
      </c>
    </row>
    <row r="21" spans="1:8" ht="16">
      <c r="A21" s="10">
        <v>65</v>
      </c>
      <c r="B21" s="11" t="s">
        <v>62</v>
      </c>
      <c r="C21" s="12">
        <v>0.05</v>
      </c>
      <c r="D21" s="13">
        <v>0</v>
      </c>
      <c r="E21" s="14" t="s">
        <v>23</v>
      </c>
      <c r="F21" s="14">
        <v>0.05</v>
      </c>
      <c r="G21" s="14">
        <v>10</v>
      </c>
      <c r="H21" s="14">
        <v>15</v>
      </c>
    </row>
    <row r="22" spans="1:8" ht="16">
      <c r="A22" s="10">
        <v>70</v>
      </c>
      <c r="B22" s="11" t="s">
        <v>63</v>
      </c>
      <c r="C22" s="12">
        <v>0.11</v>
      </c>
      <c r="D22" s="13">
        <v>0</v>
      </c>
      <c r="E22" s="14">
        <v>0.05</v>
      </c>
      <c r="F22" s="14">
        <v>0.1</v>
      </c>
      <c r="G22" s="14">
        <v>40</v>
      </c>
      <c r="H22" s="14">
        <v>510</v>
      </c>
    </row>
    <row r="23" spans="1:8" ht="16">
      <c r="A23" s="10">
        <v>75</v>
      </c>
      <c r="B23" s="11" t="s">
        <v>64</v>
      </c>
      <c r="C23" s="12">
        <v>0.15</v>
      </c>
      <c r="D23" s="17">
        <v>0.04</v>
      </c>
      <c r="E23" s="14">
        <v>0.1</v>
      </c>
      <c r="F23" s="14">
        <v>0.15</v>
      </c>
      <c r="G23" s="14">
        <v>2</v>
      </c>
      <c r="H23" s="14">
        <v>575</v>
      </c>
    </row>
    <row r="24" spans="1:8" ht="16">
      <c r="A24" s="10">
        <v>80</v>
      </c>
      <c r="B24" s="11" t="s">
        <v>65</v>
      </c>
      <c r="C24" s="12">
        <v>0.3</v>
      </c>
      <c r="D24" s="17">
        <v>0.03</v>
      </c>
      <c r="E24" s="14">
        <v>0.2</v>
      </c>
      <c r="F24" s="14">
        <v>0.25</v>
      </c>
      <c r="G24" s="14">
        <v>4</v>
      </c>
      <c r="H24" s="14">
        <v>847</v>
      </c>
    </row>
    <row r="25" spans="1:8" ht="16">
      <c r="A25" s="10">
        <v>85</v>
      </c>
      <c r="B25" s="11" t="s">
        <v>66</v>
      </c>
      <c r="C25" s="12">
        <v>0.5</v>
      </c>
      <c r="D25" s="13">
        <v>0</v>
      </c>
      <c r="E25" s="14">
        <v>0.4</v>
      </c>
      <c r="F25" s="14">
        <v>0.5</v>
      </c>
      <c r="G25" s="14">
        <v>433</v>
      </c>
      <c r="H25" s="16">
        <v>1432</v>
      </c>
    </row>
    <row r="26" spans="1:8" ht="16">
      <c r="A26" s="10">
        <v>90</v>
      </c>
      <c r="B26" s="11" t="s">
        <v>67</v>
      </c>
      <c r="C26" s="12">
        <v>0.95</v>
      </c>
      <c r="D26" s="17">
        <v>0.05</v>
      </c>
      <c r="E26" s="14">
        <v>0.9</v>
      </c>
      <c r="F26" s="14">
        <v>1</v>
      </c>
      <c r="G26" s="16">
        <v>1303</v>
      </c>
      <c r="H26" s="16">
        <v>3732</v>
      </c>
    </row>
    <row r="27" spans="1:8" ht="16">
      <c r="A27" s="10">
        <v>95</v>
      </c>
      <c r="B27" s="11" t="s">
        <v>68</v>
      </c>
      <c r="C27" s="12">
        <v>1.85</v>
      </c>
      <c r="D27" s="17">
        <v>0.05</v>
      </c>
      <c r="E27" s="14">
        <v>1.8</v>
      </c>
      <c r="F27" s="14">
        <v>1.9</v>
      </c>
      <c r="G27" s="16">
        <v>2485</v>
      </c>
      <c r="H27" s="16">
        <v>6552</v>
      </c>
    </row>
    <row r="28" spans="1:8" ht="16">
      <c r="A28" s="10">
        <v>100</v>
      </c>
      <c r="B28" s="11" t="s">
        <v>69</v>
      </c>
      <c r="C28" s="12">
        <v>3.6</v>
      </c>
      <c r="D28" s="17">
        <v>0.32</v>
      </c>
      <c r="E28" s="14">
        <v>3.4</v>
      </c>
      <c r="F28" s="14">
        <v>3.5</v>
      </c>
      <c r="G28" s="16">
        <v>1261</v>
      </c>
      <c r="H28" s="16">
        <v>4033</v>
      </c>
    </row>
    <row r="29" spans="1:8" ht="16">
      <c r="A29" s="10">
        <v>105</v>
      </c>
      <c r="B29" s="11" t="s">
        <v>70</v>
      </c>
      <c r="C29" s="12">
        <v>6.1</v>
      </c>
      <c r="D29" s="17">
        <v>0.6</v>
      </c>
      <c r="E29" s="14">
        <v>6</v>
      </c>
      <c r="F29" s="14">
        <v>6.1</v>
      </c>
      <c r="G29" s="14">
        <v>489</v>
      </c>
      <c r="H29" s="16">
        <v>1826</v>
      </c>
    </row>
    <row r="30" spans="1:8" ht="16">
      <c r="A30" s="10">
        <v>110</v>
      </c>
      <c r="B30" s="11" t="s">
        <v>71</v>
      </c>
      <c r="C30" s="12">
        <v>9.6</v>
      </c>
      <c r="D30" s="17">
        <v>0.5</v>
      </c>
      <c r="E30" s="14">
        <v>9.5</v>
      </c>
      <c r="F30" s="14">
        <v>9.6999999999999993</v>
      </c>
      <c r="G30" s="14">
        <v>65</v>
      </c>
      <c r="H30" s="14">
        <v>793</v>
      </c>
    </row>
    <row r="31" spans="1:8" ht="16">
      <c r="A31" s="10">
        <v>115</v>
      </c>
      <c r="B31" s="11" t="s">
        <v>72</v>
      </c>
      <c r="C31" s="12">
        <v>14.3</v>
      </c>
      <c r="D31" s="17">
        <v>1.7</v>
      </c>
      <c r="E31" s="14">
        <v>13.8</v>
      </c>
      <c r="F31" s="14">
        <v>14</v>
      </c>
      <c r="G31" s="14">
        <v>28</v>
      </c>
      <c r="H31" s="14">
        <v>216</v>
      </c>
    </row>
    <row r="32" spans="1:8" ht="16">
      <c r="A32" s="10">
        <v>120</v>
      </c>
      <c r="B32" s="11" t="s">
        <v>73</v>
      </c>
      <c r="C32" s="12">
        <v>17.309999999999999</v>
      </c>
      <c r="D32" s="13">
        <v>0</v>
      </c>
      <c r="E32" s="14">
        <v>18.600000000000001</v>
      </c>
      <c r="F32" s="14">
        <v>18.8</v>
      </c>
      <c r="G32" s="14">
        <v>1</v>
      </c>
      <c r="H32" s="14">
        <v>186</v>
      </c>
    </row>
    <row r="33" spans="1:8" ht="16">
      <c r="A33" s="10">
        <v>125</v>
      </c>
      <c r="B33" s="11" t="s">
        <v>74</v>
      </c>
      <c r="C33" s="12">
        <v>21</v>
      </c>
      <c r="D33" s="13">
        <v>0</v>
      </c>
      <c r="E33" s="14">
        <v>23.5</v>
      </c>
      <c r="F33" s="14">
        <v>23.7</v>
      </c>
      <c r="G33" s="14">
        <v>11</v>
      </c>
      <c r="H33" s="14">
        <v>70</v>
      </c>
    </row>
    <row r="34" spans="1:8" ht="16">
      <c r="A34" s="10">
        <v>130</v>
      </c>
      <c r="B34" s="11" t="s">
        <v>75</v>
      </c>
      <c r="C34" s="12">
        <v>29.78</v>
      </c>
      <c r="D34" s="17">
        <v>4.08</v>
      </c>
      <c r="E34" s="14">
        <v>28.4</v>
      </c>
      <c r="F34" s="14">
        <v>28.9</v>
      </c>
      <c r="G34" s="14">
        <v>4</v>
      </c>
      <c r="H34" s="14">
        <v>14</v>
      </c>
    </row>
    <row r="35" spans="1:8" ht="16">
      <c r="A35" s="10">
        <v>135</v>
      </c>
      <c r="B35" s="11" t="s">
        <v>76</v>
      </c>
      <c r="C35" s="12">
        <v>32.799999999999997</v>
      </c>
      <c r="D35" s="13">
        <v>0</v>
      </c>
      <c r="E35" s="14">
        <v>33.4</v>
      </c>
      <c r="F35" s="14">
        <v>34</v>
      </c>
      <c r="G35" s="14">
        <v>76</v>
      </c>
      <c r="H35" s="14">
        <v>21</v>
      </c>
    </row>
    <row r="36" spans="1:8" ht="39">
      <c r="A36" s="8" t="s">
        <v>45</v>
      </c>
      <c r="B36" s="18" t="s">
        <v>46</v>
      </c>
    </row>
    <row r="37" spans="1:8">
      <c r="A37" s="8"/>
    </row>
    <row r="38" spans="1:8" ht="48">
      <c r="A38" s="19" t="s">
        <v>47</v>
      </c>
    </row>
    <row r="39" spans="1:8">
      <c r="A39" s="25" t="s">
        <v>77</v>
      </c>
    </row>
    <row r="40" spans="1:8">
      <c r="A40" s="25"/>
    </row>
  </sheetData>
  <mergeCells count="1">
    <mergeCell ref="A39:A40"/>
  </mergeCells>
  <phoneticPr fontId="14" type="noConversion"/>
  <hyperlinks>
    <hyperlink ref="A4" r:id="rId1" display="http://finance.yahoo.com/q/op?s=IBM&amp;k=80.000000" xr:uid="{00000000-0004-0000-0100-000000000000}"/>
    <hyperlink ref="B4" r:id="rId2" display="http://finance.yahoo.com/q?s=IBMFP.X" xr:uid="{00000000-0004-0000-0100-000001000000}"/>
    <hyperlink ref="A5" r:id="rId3" display="http://finance.yahoo.com/q/op?s=IBM&amp;k=85.000000" xr:uid="{00000000-0004-0000-0100-000002000000}"/>
    <hyperlink ref="B5" r:id="rId4" display="http://finance.yahoo.com/q?s=IBMFQ.X" xr:uid="{00000000-0004-0000-0100-000003000000}"/>
    <hyperlink ref="A6" r:id="rId5" display="http://finance.yahoo.com/q/op?s=IBM&amp;k=90.000000" xr:uid="{00000000-0004-0000-0100-000004000000}"/>
    <hyperlink ref="B6" r:id="rId6" display="http://finance.yahoo.com/q?s=IBMFR.X" xr:uid="{00000000-0004-0000-0100-000005000000}"/>
    <hyperlink ref="A7" r:id="rId7" display="http://finance.yahoo.com/q/op?s=IBM&amp;k=95.000000" xr:uid="{00000000-0004-0000-0100-000006000000}"/>
    <hyperlink ref="B7" r:id="rId8" display="http://finance.yahoo.com/q?s=IBMFS.X" xr:uid="{00000000-0004-0000-0100-000007000000}"/>
    <hyperlink ref="A8" r:id="rId9" display="http://finance.yahoo.com/q/op?s=IBM&amp;k=100.000000" xr:uid="{00000000-0004-0000-0100-000008000000}"/>
    <hyperlink ref="B8" r:id="rId10" display="http://finance.yahoo.com/q?s=IBMFT.X" xr:uid="{00000000-0004-0000-0100-000009000000}"/>
    <hyperlink ref="A9" r:id="rId11" display="http://finance.yahoo.com/q/op?s=IBM&amp;k=105.000000" xr:uid="{00000000-0004-0000-0100-00000A000000}"/>
    <hyperlink ref="B9" r:id="rId12" display="http://finance.yahoo.com/q?s=IBMFA.X" xr:uid="{00000000-0004-0000-0100-00000B000000}"/>
    <hyperlink ref="A10" r:id="rId13" display="http://finance.yahoo.com/q/op?s=IBM&amp;k=110.000000" xr:uid="{00000000-0004-0000-0100-00000C000000}"/>
    <hyperlink ref="B10" r:id="rId14" display="http://finance.yahoo.com/q?s=IBMFB.X" xr:uid="{00000000-0004-0000-0100-00000D000000}"/>
    <hyperlink ref="A11" r:id="rId15" display="http://finance.yahoo.com/q/op?s=IBM&amp;k=115.000000" xr:uid="{00000000-0004-0000-0100-00000E000000}"/>
    <hyperlink ref="B11" r:id="rId16" display="http://finance.yahoo.com/q?s=IBMFC.X" xr:uid="{00000000-0004-0000-0100-00000F000000}"/>
    <hyperlink ref="A12" r:id="rId17" display="http://finance.yahoo.com/q/op?s=IBM&amp;k=120.000000" xr:uid="{00000000-0004-0000-0100-000010000000}"/>
    <hyperlink ref="B12" r:id="rId18" display="http://finance.yahoo.com/q?s=IBMFD.X" xr:uid="{00000000-0004-0000-0100-000011000000}"/>
    <hyperlink ref="A13" r:id="rId19" display="http://finance.yahoo.com/q/op?s=IBM&amp;k=125.000000" xr:uid="{00000000-0004-0000-0100-000012000000}"/>
    <hyperlink ref="B13" r:id="rId20" display="http://finance.yahoo.com/q?s=IBMFE.X" xr:uid="{00000000-0004-0000-0100-000013000000}"/>
    <hyperlink ref="A14" r:id="rId21" display="http://finance.yahoo.com/q/op?s=IBM&amp;k=130.000000" xr:uid="{00000000-0004-0000-0100-000014000000}"/>
    <hyperlink ref="B14" r:id="rId22" display="http://finance.yahoo.com/q?s=IBMFF.X" xr:uid="{00000000-0004-0000-0100-000015000000}"/>
    <hyperlink ref="A15" r:id="rId23" display="http://finance.yahoo.com/q/op?s=IBM&amp;k=140.000000" xr:uid="{00000000-0004-0000-0100-000016000000}"/>
    <hyperlink ref="B15" r:id="rId24" display="http://finance.yahoo.com/q?s=IBMFH.X" xr:uid="{00000000-0004-0000-0100-000017000000}"/>
    <hyperlink ref="A20" r:id="rId25" display="http://finance.yahoo.com/q/op?s=IBM&amp;k=60.000000" xr:uid="{00000000-0004-0000-0100-000018000000}"/>
    <hyperlink ref="B20" r:id="rId26" display="http://finance.yahoo.com/q?s=IBMRL.X" xr:uid="{00000000-0004-0000-0100-000019000000}"/>
    <hyperlink ref="A21" r:id="rId27" display="http://finance.yahoo.com/q/op?s=IBM&amp;k=65.000000" xr:uid="{00000000-0004-0000-0100-00001A000000}"/>
    <hyperlink ref="B21" r:id="rId28" display="http://finance.yahoo.com/q?s=IBMRM.X" xr:uid="{00000000-0004-0000-0100-00001B000000}"/>
    <hyperlink ref="A22" r:id="rId29" display="http://finance.yahoo.com/q/op?s=IBM&amp;k=70.000000" xr:uid="{00000000-0004-0000-0100-00001C000000}"/>
    <hyperlink ref="B22" r:id="rId30" display="http://finance.yahoo.com/q?s=IBMRN.X" xr:uid="{00000000-0004-0000-0100-00001D000000}"/>
    <hyperlink ref="A23" r:id="rId31" display="http://finance.yahoo.com/q/op?s=IBM&amp;k=75.000000" xr:uid="{00000000-0004-0000-0100-00001E000000}"/>
    <hyperlink ref="B23" r:id="rId32" display="http://finance.yahoo.com/q?s=IBMRO.X" xr:uid="{00000000-0004-0000-0100-00001F000000}"/>
    <hyperlink ref="A24" r:id="rId33" display="http://finance.yahoo.com/q/op?s=IBM&amp;k=80.000000" xr:uid="{00000000-0004-0000-0100-000020000000}"/>
    <hyperlink ref="B24" r:id="rId34" display="http://finance.yahoo.com/q?s=IBMRP.X" xr:uid="{00000000-0004-0000-0100-000021000000}"/>
    <hyperlink ref="A25" r:id="rId35" display="http://finance.yahoo.com/q/op?s=IBM&amp;k=85.000000" xr:uid="{00000000-0004-0000-0100-000022000000}"/>
    <hyperlink ref="B25" r:id="rId36" display="http://finance.yahoo.com/q?s=IBMRQ.X" xr:uid="{00000000-0004-0000-0100-000023000000}"/>
    <hyperlink ref="A26" r:id="rId37" display="http://finance.yahoo.com/q/op?s=IBM&amp;k=90.000000" xr:uid="{00000000-0004-0000-0100-000024000000}"/>
    <hyperlink ref="B26" r:id="rId38" display="http://finance.yahoo.com/q?s=IBMRR.X" xr:uid="{00000000-0004-0000-0100-000025000000}"/>
    <hyperlink ref="A27" r:id="rId39" display="http://finance.yahoo.com/q/op?s=IBM&amp;k=95.000000" xr:uid="{00000000-0004-0000-0100-000026000000}"/>
    <hyperlink ref="B27" r:id="rId40" display="http://finance.yahoo.com/q?s=IBMRS.X" xr:uid="{00000000-0004-0000-0100-000027000000}"/>
    <hyperlink ref="A28" r:id="rId41" display="http://finance.yahoo.com/q/op?s=IBM&amp;k=100.000000" xr:uid="{00000000-0004-0000-0100-000028000000}"/>
    <hyperlink ref="B28" r:id="rId42" display="http://finance.yahoo.com/q?s=IBMRT.X" xr:uid="{00000000-0004-0000-0100-000029000000}"/>
    <hyperlink ref="A29" r:id="rId43" display="http://finance.yahoo.com/q/op?s=IBM&amp;k=105.000000" xr:uid="{00000000-0004-0000-0100-00002A000000}"/>
    <hyperlink ref="B29" r:id="rId44" display="http://finance.yahoo.com/q?s=IBMRA.X" xr:uid="{00000000-0004-0000-0100-00002B000000}"/>
    <hyperlink ref="A30" r:id="rId45" display="http://finance.yahoo.com/q/op?s=IBM&amp;k=110.000000" xr:uid="{00000000-0004-0000-0100-00002C000000}"/>
    <hyperlink ref="B30" r:id="rId46" display="http://finance.yahoo.com/q?s=IBMRB.X" xr:uid="{00000000-0004-0000-0100-00002D000000}"/>
    <hyperlink ref="A31" r:id="rId47" display="http://finance.yahoo.com/q/op?s=IBM&amp;k=115.000000" xr:uid="{00000000-0004-0000-0100-00002E000000}"/>
    <hyperlink ref="B31" r:id="rId48" display="http://finance.yahoo.com/q?s=IBMRC.X" xr:uid="{00000000-0004-0000-0100-00002F000000}"/>
    <hyperlink ref="A32" r:id="rId49" display="http://finance.yahoo.com/q/op?s=IBM&amp;k=120.000000" xr:uid="{00000000-0004-0000-0100-000030000000}"/>
    <hyperlink ref="B32" r:id="rId50" display="http://finance.yahoo.com/q?s=IBMRD.X" xr:uid="{00000000-0004-0000-0100-000031000000}"/>
    <hyperlink ref="A33" r:id="rId51" display="http://finance.yahoo.com/q/op?s=IBM&amp;k=125.000000" xr:uid="{00000000-0004-0000-0100-000032000000}"/>
    <hyperlink ref="B33" r:id="rId52" display="http://finance.yahoo.com/q?s=IBMRE.X" xr:uid="{00000000-0004-0000-0100-000033000000}"/>
    <hyperlink ref="A34" r:id="rId53" display="http://finance.yahoo.com/q/op?s=IBM&amp;k=130.000000" xr:uid="{00000000-0004-0000-0100-000034000000}"/>
    <hyperlink ref="B34" r:id="rId54" display="http://finance.yahoo.com/q?s=IBMRF.X" xr:uid="{00000000-0004-0000-0100-000035000000}"/>
    <hyperlink ref="A35" r:id="rId55" display="http://finance.yahoo.com/q/op?s=IBM&amp;k=135.000000" xr:uid="{00000000-0004-0000-0100-000036000000}"/>
    <hyperlink ref="B35" r:id="rId56" display="http://finance.yahoo.com/q?s=IBMRG.X" xr:uid="{00000000-0004-0000-0100-000037000000}"/>
    <hyperlink ref="A38" r:id="rId57" display="http://finance.yahoo.com/q/os?s=IBM&amp;m=2009-06-19" xr:uid="{00000000-0004-0000-0100-000038000000}"/>
  </hyperlinks>
  <pageMargins left="0.7" right="0.7" top="0.75" bottom="0.75" header="0.3" footer="0.3"/>
  <drawing r:id="rId58"/>
  <legacyDrawing r:id="rId59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P48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5"/>
  </cols>
  <sheetData>
    <row r="1" spans="1:16">
      <c r="A1" s="5" t="s">
        <v>78</v>
      </c>
    </row>
    <row r="2" spans="1:16" ht="15">
      <c r="A2" s="9" t="s">
        <v>5</v>
      </c>
      <c r="B2" s="9" t="s">
        <v>7</v>
      </c>
      <c r="C2" s="9" t="s">
        <v>8</v>
      </c>
      <c r="D2" s="9" t="s">
        <v>9</v>
      </c>
      <c r="E2" s="9" t="s">
        <v>10</v>
      </c>
      <c r="F2" s="9" t="s">
        <v>11</v>
      </c>
      <c r="G2" s="9" t="s">
        <v>12</v>
      </c>
    </row>
    <row r="3" spans="1:16" ht="16">
      <c r="I3" s="5">
        <v>40</v>
      </c>
      <c r="J3" s="11"/>
      <c r="K3" s="12">
        <v>0.05</v>
      </c>
      <c r="L3" s="13">
        <v>0</v>
      </c>
      <c r="M3" s="14" t="s">
        <v>23</v>
      </c>
      <c r="N3" s="14">
        <v>0.05</v>
      </c>
      <c r="O3" s="14">
        <v>1</v>
      </c>
      <c r="P3" s="16">
        <v>5930</v>
      </c>
    </row>
    <row r="4" spans="1:16" ht="16">
      <c r="A4" s="5">
        <v>45</v>
      </c>
      <c r="B4" s="12">
        <v>60.8</v>
      </c>
      <c r="C4" s="13">
        <v>0</v>
      </c>
      <c r="D4" s="14">
        <v>56.1</v>
      </c>
      <c r="E4" s="14">
        <v>56.7</v>
      </c>
      <c r="F4" s="14">
        <v>204</v>
      </c>
      <c r="G4" s="14">
        <v>1</v>
      </c>
      <c r="I4" s="5">
        <v>45</v>
      </c>
      <c r="J4" s="11"/>
      <c r="K4" s="12">
        <v>0.05</v>
      </c>
      <c r="L4" s="13">
        <v>0</v>
      </c>
      <c r="M4" s="14" t="s">
        <v>23</v>
      </c>
      <c r="N4" s="14">
        <v>0.05</v>
      </c>
      <c r="O4" s="14">
        <v>5</v>
      </c>
      <c r="P4" s="14">
        <v>554</v>
      </c>
    </row>
    <row r="5" spans="1:16" ht="16">
      <c r="I5" s="5">
        <v>50</v>
      </c>
      <c r="J5" s="11"/>
      <c r="K5" s="12">
        <v>0.1</v>
      </c>
      <c r="L5" s="13">
        <v>0</v>
      </c>
      <c r="M5" s="14" t="s">
        <v>23</v>
      </c>
      <c r="N5" s="14">
        <v>0.05</v>
      </c>
      <c r="O5" s="14">
        <v>4</v>
      </c>
      <c r="P5" s="16">
        <v>1078</v>
      </c>
    </row>
    <row r="6" spans="1:16" ht="16">
      <c r="A6" s="5">
        <v>55</v>
      </c>
      <c r="B6" s="12">
        <v>50.8</v>
      </c>
      <c r="C6" s="13">
        <v>0</v>
      </c>
      <c r="D6" s="14">
        <v>46.1</v>
      </c>
      <c r="E6" s="14">
        <v>46.7</v>
      </c>
      <c r="F6" s="14">
        <v>804</v>
      </c>
      <c r="G6" s="14">
        <v>1</v>
      </c>
      <c r="I6" s="5">
        <v>55</v>
      </c>
      <c r="J6" s="11"/>
      <c r="K6" s="12">
        <v>0.1</v>
      </c>
      <c r="L6" s="13">
        <v>0</v>
      </c>
      <c r="M6" s="14" t="s">
        <v>23</v>
      </c>
      <c r="N6" s="14">
        <v>0.1</v>
      </c>
      <c r="O6" s="14">
        <v>5</v>
      </c>
      <c r="P6" s="14">
        <v>763</v>
      </c>
    </row>
    <row r="7" spans="1:16" ht="16">
      <c r="I7" s="5">
        <v>60</v>
      </c>
      <c r="J7" s="11"/>
      <c r="K7" s="12">
        <v>0.1</v>
      </c>
      <c r="L7" s="13">
        <v>0</v>
      </c>
      <c r="M7" s="14" t="s">
        <v>23</v>
      </c>
      <c r="N7" s="14">
        <v>0.1</v>
      </c>
      <c r="O7" s="14">
        <v>50</v>
      </c>
      <c r="P7" s="16">
        <v>1126</v>
      </c>
    </row>
    <row r="8" spans="1:16" ht="15">
      <c r="A8" s="5">
        <v>65</v>
      </c>
      <c r="B8" s="12">
        <v>40.799999999999997</v>
      </c>
      <c r="C8" s="13">
        <v>0</v>
      </c>
      <c r="D8" s="14">
        <v>36.200000000000003</v>
      </c>
      <c r="E8" s="14">
        <v>36.799999999999997</v>
      </c>
      <c r="F8" s="16">
        <v>2004</v>
      </c>
      <c r="G8" s="14">
        <v>1</v>
      </c>
      <c r="I8" s="5">
        <v>65</v>
      </c>
      <c r="J8" s="11"/>
      <c r="K8" s="12">
        <v>0.15</v>
      </c>
      <c r="L8" s="13">
        <v>0</v>
      </c>
      <c r="M8" s="14">
        <v>0.05</v>
      </c>
      <c r="N8" s="14">
        <v>0.15</v>
      </c>
      <c r="O8" s="14">
        <v>8</v>
      </c>
      <c r="P8" s="16">
        <v>1697</v>
      </c>
    </row>
    <row r="9" spans="1:16" ht="15">
      <c r="A9" s="5">
        <v>70</v>
      </c>
      <c r="B9" s="12">
        <v>35.799999999999997</v>
      </c>
      <c r="C9" s="13">
        <v>0</v>
      </c>
      <c r="D9" s="14">
        <v>31.3</v>
      </c>
      <c r="E9" s="14">
        <v>31.9</v>
      </c>
      <c r="F9" s="16">
        <v>1704</v>
      </c>
      <c r="G9" s="14">
        <v>11</v>
      </c>
      <c r="I9" s="5">
        <v>70</v>
      </c>
      <c r="J9" s="11"/>
      <c r="K9" s="12">
        <v>0.25</v>
      </c>
      <c r="L9" s="13">
        <v>0</v>
      </c>
      <c r="M9" s="14">
        <v>0.15</v>
      </c>
      <c r="N9" s="14">
        <v>0.25</v>
      </c>
      <c r="O9" s="14">
        <v>5</v>
      </c>
      <c r="P9" s="16">
        <v>2250</v>
      </c>
    </row>
    <row r="10" spans="1:16" ht="15">
      <c r="A10" s="5">
        <v>75</v>
      </c>
      <c r="B10" s="12">
        <v>31.3</v>
      </c>
      <c r="C10" s="13">
        <v>0</v>
      </c>
      <c r="D10" s="14">
        <v>26.7</v>
      </c>
      <c r="E10" s="14">
        <v>27</v>
      </c>
      <c r="F10" s="14">
        <v>10</v>
      </c>
      <c r="G10" s="14">
        <v>11</v>
      </c>
      <c r="I10" s="5">
        <v>75</v>
      </c>
      <c r="J10" s="11"/>
      <c r="K10" s="12">
        <v>0.4</v>
      </c>
      <c r="L10" s="17">
        <v>0.05</v>
      </c>
      <c r="M10" s="14">
        <v>0.35</v>
      </c>
      <c r="N10" s="14">
        <v>0.45</v>
      </c>
      <c r="O10" s="14">
        <v>65</v>
      </c>
      <c r="P10" s="16">
        <v>8005</v>
      </c>
    </row>
    <row r="11" spans="1:16" ht="15">
      <c r="A11" s="5">
        <v>80</v>
      </c>
      <c r="B11" s="12">
        <v>20.99</v>
      </c>
      <c r="C11" s="15">
        <v>2.21</v>
      </c>
      <c r="D11" s="14">
        <v>22.1</v>
      </c>
      <c r="E11" s="14">
        <v>22.3</v>
      </c>
      <c r="F11" s="14">
        <v>3</v>
      </c>
      <c r="G11" s="14">
        <v>926</v>
      </c>
      <c r="I11" s="5">
        <v>80</v>
      </c>
      <c r="J11" s="11"/>
      <c r="K11" s="12">
        <v>0.7</v>
      </c>
      <c r="L11" s="17">
        <v>0.05</v>
      </c>
      <c r="M11" s="14">
        <v>0.65</v>
      </c>
      <c r="N11" s="14">
        <v>0.75</v>
      </c>
      <c r="O11" s="14">
        <v>57</v>
      </c>
      <c r="P11" s="16">
        <v>3206</v>
      </c>
    </row>
    <row r="12" spans="1:16" ht="15">
      <c r="A12" s="5">
        <v>85</v>
      </c>
      <c r="B12" s="12">
        <v>16.399999999999999</v>
      </c>
      <c r="C12" s="15">
        <v>4.0999999999999996</v>
      </c>
      <c r="D12" s="14">
        <v>17.5</v>
      </c>
      <c r="E12" s="14">
        <v>17.8</v>
      </c>
      <c r="F12" s="14">
        <v>16</v>
      </c>
      <c r="G12" s="16">
        <v>1502</v>
      </c>
      <c r="I12" s="5">
        <v>85</v>
      </c>
      <c r="J12" s="11"/>
      <c r="K12" s="12">
        <v>1.18</v>
      </c>
      <c r="L12" s="17">
        <v>0.08</v>
      </c>
      <c r="M12" s="14">
        <v>1.1499999999999999</v>
      </c>
      <c r="N12" s="14">
        <v>1.2</v>
      </c>
      <c r="O12" s="14">
        <v>362</v>
      </c>
      <c r="P12" s="16">
        <v>4744</v>
      </c>
    </row>
    <row r="13" spans="1:16" ht="15">
      <c r="A13" s="5">
        <v>90</v>
      </c>
      <c r="B13" s="12">
        <v>13.3</v>
      </c>
      <c r="C13" s="15">
        <v>1.34</v>
      </c>
      <c r="D13" s="14">
        <v>13.4</v>
      </c>
      <c r="E13" s="14">
        <v>13.6</v>
      </c>
      <c r="F13" s="14">
        <v>467</v>
      </c>
      <c r="G13" s="16">
        <v>4626</v>
      </c>
      <c r="I13" s="5">
        <v>90</v>
      </c>
      <c r="J13" s="11"/>
      <c r="K13" s="12">
        <v>2.0499999999999998</v>
      </c>
      <c r="L13" s="17">
        <v>0.2</v>
      </c>
      <c r="M13" s="14">
        <v>1.95</v>
      </c>
      <c r="N13" s="14">
        <v>2.0499999999999998</v>
      </c>
      <c r="O13" s="14">
        <v>351</v>
      </c>
      <c r="P13" s="16">
        <v>7195</v>
      </c>
    </row>
    <row r="14" spans="1:16" ht="15">
      <c r="A14" s="5">
        <v>95</v>
      </c>
      <c r="B14" s="12">
        <v>9.1</v>
      </c>
      <c r="C14" s="15">
        <v>1.47</v>
      </c>
      <c r="D14" s="14">
        <v>9.6</v>
      </c>
      <c r="E14" s="14">
        <v>9.8000000000000007</v>
      </c>
      <c r="F14" s="14">
        <v>261</v>
      </c>
      <c r="G14" s="16">
        <v>8069</v>
      </c>
      <c r="I14" s="5">
        <v>95</v>
      </c>
      <c r="J14" s="11"/>
      <c r="K14" s="12">
        <v>3.3</v>
      </c>
      <c r="L14" s="17">
        <v>0.3</v>
      </c>
      <c r="M14" s="14">
        <v>3.1</v>
      </c>
      <c r="N14" s="14">
        <v>3.3</v>
      </c>
      <c r="O14" s="14">
        <v>113</v>
      </c>
      <c r="P14" s="16">
        <v>5698</v>
      </c>
    </row>
    <row r="15" spans="1:16" ht="15">
      <c r="A15" s="5">
        <v>100</v>
      </c>
      <c r="B15" s="12">
        <v>6.4</v>
      </c>
      <c r="C15" s="15">
        <v>0.9</v>
      </c>
      <c r="D15" s="14">
        <v>6.4</v>
      </c>
      <c r="E15" s="14">
        <v>6.6</v>
      </c>
      <c r="F15" s="14">
        <v>784</v>
      </c>
      <c r="G15" s="16">
        <v>13940</v>
      </c>
      <c r="I15" s="5">
        <v>100</v>
      </c>
      <c r="J15" s="11"/>
      <c r="K15" s="12">
        <v>5.2</v>
      </c>
      <c r="L15" s="17">
        <v>0.6</v>
      </c>
      <c r="M15" s="14">
        <v>5</v>
      </c>
      <c r="N15" s="14">
        <v>5.0999999999999996</v>
      </c>
      <c r="O15" s="14">
        <v>150</v>
      </c>
      <c r="P15" s="16">
        <v>4311</v>
      </c>
    </row>
    <row r="16" spans="1:16" ht="15">
      <c r="A16" s="5">
        <v>105</v>
      </c>
      <c r="B16" s="12">
        <v>4</v>
      </c>
      <c r="C16" s="15">
        <v>0.7</v>
      </c>
      <c r="D16" s="14">
        <v>4</v>
      </c>
      <c r="E16" s="14">
        <v>4.0999999999999996</v>
      </c>
      <c r="F16" s="14">
        <v>282</v>
      </c>
      <c r="G16" s="16">
        <v>13184</v>
      </c>
      <c r="I16" s="5">
        <v>105</v>
      </c>
      <c r="J16" s="11"/>
      <c r="K16" s="12">
        <v>7.7</v>
      </c>
      <c r="L16" s="17">
        <v>0.6</v>
      </c>
      <c r="M16" s="14">
        <v>7.5</v>
      </c>
      <c r="N16" s="14">
        <v>7.7</v>
      </c>
      <c r="O16" s="14">
        <v>233</v>
      </c>
      <c r="P16" s="16">
        <v>1843</v>
      </c>
    </row>
    <row r="17" spans="1:16" ht="15">
      <c r="A17" s="5">
        <v>110</v>
      </c>
      <c r="B17" s="12">
        <v>2.2400000000000002</v>
      </c>
      <c r="C17" s="15">
        <v>0.36</v>
      </c>
      <c r="D17" s="14">
        <v>2.2000000000000002</v>
      </c>
      <c r="E17" s="14">
        <v>2.35</v>
      </c>
      <c r="F17" s="14">
        <v>513</v>
      </c>
      <c r="G17" s="16">
        <v>7385</v>
      </c>
      <c r="I17" s="5">
        <v>110</v>
      </c>
      <c r="J17" s="11"/>
      <c r="K17" s="12">
        <v>11</v>
      </c>
      <c r="L17" s="17">
        <v>1.2</v>
      </c>
      <c r="M17" s="14">
        <v>10.7</v>
      </c>
      <c r="N17" s="14">
        <v>10.9</v>
      </c>
      <c r="O17" s="14">
        <v>55</v>
      </c>
      <c r="P17" s="16">
        <v>3228</v>
      </c>
    </row>
    <row r="18" spans="1:16" ht="15">
      <c r="A18" s="5">
        <v>115</v>
      </c>
      <c r="B18" s="12">
        <v>1.1000000000000001</v>
      </c>
      <c r="C18" s="15">
        <v>0.3</v>
      </c>
      <c r="D18" s="14">
        <v>1.1000000000000001</v>
      </c>
      <c r="E18" s="14">
        <v>1.2</v>
      </c>
      <c r="F18" s="14">
        <v>124</v>
      </c>
      <c r="G18" s="16">
        <v>5618</v>
      </c>
      <c r="I18" s="5">
        <v>115</v>
      </c>
      <c r="J18" s="11"/>
      <c r="K18" s="12">
        <v>15.2</v>
      </c>
      <c r="L18" s="17">
        <v>1.1000000000000001</v>
      </c>
      <c r="M18" s="14">
        <v>14.6</v>
      </c>
      <c r="N18" s="14">
        <v>14.8</v>
      </c>
      <c r="O18" s="14">
        <v>53</v>
      </c>
      <c r="P18" s="14">
        <v>373</v>
      </c>
    </row>
    <row r="19" spans="1:16" ht="15">
      <c r="A19" s="5">
        <v>120</v>
      </c>
      <c r="B19" s="12">
        <v>0.52</v>
      </c>
      <c r="C19" s="15">
        <v>0.18</v>
      </c>
      <c r="D19" s="14">
        <v>0.5</v>
      </c>
      <c r="E19" s="14">
        <v>0.6</v>
      </c>
      <c r="F19" s="14">
        <v>501</v>
      </c>
      <c r="G19" s="16">
        <v>3437</v>
      </c>
      <c r="I19" s="5">
        <v>120</v>
      </c>
      <c r="J19" s="11"/>
      <c r="K19" s="12">
        <v>19.7</v>
      </c>
      <c r="L19" s="17">
        <v>3.8</v>
      </c>
      <c r="M19" s="14">
        <v>19</v>
      </c>
      <c r="N19" s="14">
        <v>19.2</v>
      </c>
      <c r="O19" s="14">
        <v>7</v>
      </c>
      <c r="P19" s="14">
        <v>195</v>
      </c>
    </row>
    <row r="20" spans="1:16" ht="15">
      <c r="A20" s="5">
        <v>125</v>
      </c>
      <c r="B20" s="12">
        <v>0.25</v>
      </c>
      <c r="C20" s="15">
        <v>0.05</v>
      </c>
      <c r="D20" s="14">
        <v>0.2</v>
      </c>
      <c r="E20" s="14">
        <v>0.3</v>
      </c>
      <c r="F20" s="14">
        <v>292</v>
      </c>
      <c r="G20" s="16">
        <v>2802</v>
      </c>
      <c r="I20" s="5">
        <v>125</v>
      </c>
      <c r="J20" s="11"/>
      <c r="K20" s="12">
        <v>21.3</v>
      </c>
      <c r="L20" s="13">
        <v>0</v>
      </c>
      <c r="M20" s="14">
        <v>23.7</v>
      </c>
      <c r="N20" s="14">
        <v>23.9</v>
      </c>
      <c r="O20" s="14">
        <v>10</v>
      </c>
      <c r="P20" s="14">
        <v>130</v>
      </c>
    </row>
    <row r="21" spans="1:16" ht="15">
      <c r="A21" s="5">
        <v>130</v>
      </c>
      <c r="B21" s="12">
        <v>0.1</v>
      </c>
      <c r="C21" s="15">
        <v>0.05</v>
      </c>
      <c r="D21" s="14">
        <v>0.05</v>
      </c>
      <c r="E21" s="14">
        <v>0.15</v>
      </c>
      <c r="F21" s="14">
        <v>12</v>
      </c>
      <c r="G21" s="14">
        <v>645</v>
      </c>
      <c r="I21" s="5">
        <v>130</v>
      </c>
      <c r="J21" s="11"/>
      <c r="K21" s="12">
        <v>29.7</v>
      </c>
      <c r="L21" s="13">
        <v>0</v>
      </c>
      <c r="M21" s="14">
        <v>28.5</v>
      </c>
      <c r="N21" s="14">
        <v>28.8</v>
      </c>
      <c r="O21" s="14">
        <v>0</v>
      </c>
      <c r="P21" s="14">
        <v>269</v>
      </c>
    </row>
    <row r="22" spans="1:16" ht="15">
      <c r="A22" s="5">
        <v>135</v>
      </c>
      <c r="B22" s="12">
        <v>0.15</v>
      </c>
      <c r="C22" s="13">
        <v>0</v>
      </c>
      <c r="D22" s="14">
        <v>0.05</v>
      </c>
      <c r="E22" s="14">
        <v>0.1</v>
      </c>
      <c r="F22" s="14">
        <v>20</v>
      </c>
      <c r="G22" s="14">
        <v>192</v>
      </c>
      <c r="I22" s="5">
        <v>135</v>
      </c>
      <c r="J22" s="11"/>
      <c r="K22" s="12">
        <v>31</v>
      </c>
      <c r="L22" s="13">
        <v>0</v>
      </c>
      <c r="M22" s="14">
        <v>33.5</v>
      </c>
      <c r="N22" s="14">
        <v>33.700000000000003</v>
      </c>
      <c r="O22" s="14">
        <v>10</v>
      </c>
      <c r="P22" s="14">
        <v>53</v>
      </c>
    </row>
    <row r="23" spans="1:16">
      <c r="A23" s="8"/>
    </row>
    <row r="24" spans="1:16">
      <c r="B24" s="12"/>
      <c r="C24" s="13"/>
      <c r="D24" s="14"/>
      <c r="E24" s="14"/>
      <c r="F24" s="14"/>
      <c r="G24" s="16"/>
    </row>
    <row r="25" spans="1:16">
      <c r="B25" s="12"/>
      <c r="C25" s="13"/>
      <c r="D25" s="14"/>
      <c r="E25" s="14"/>
      <c r="F25" s="14"/>
      <c r="G25" s="14"/>
    </row>
    <row r="26" spans="1:16">
      <c r="B26" s="12"/>
      <c r="C26" s="13"/>
      <c r="D26" s="14"/>
      <c r="E26" s="14"/>
      <c r="F26" s="14"/>
      <c r="G26" s="16"/>
    </row>
    <row r="27" spans="1:16">
      <c r="B27" s="12"/>
      <c r="C27" s="13"/>
      <c r="D27" s="14"/>
      <c r="E27" s="14"/>
      <c r="F27" s="14"/>
      <c r="G27" s="14"/>
    </row>
    <row r="28" spans="1:16">
      <c r="B28" s="12"/>
      <c r="C28" s="13"/>
      <c r="D28" s="14"/>
      <c r="E28" s="14"/>
      <c r="F28" s="14"/>
      <c r="G28" s="16"/>
    </row>
    <row r="29" spans="1:16">
      <c r="B29" s="12"/>
      <c r="C29" s="13"/>
      <c r="D29" s="14"/>
      <c r="E29" s="14"/>
      <c r="F29" s="14"/>
      <c r="G29" s="16"/>
    </row>
    <row r="30" spans="1:16">
      <c r="B30" s="12"/>
      <c r="C30" s="13"/>
      <c r="D30" s="14"/>
      <c r="E30" s="14"/>
      <c r="F30" s="14"/>
      <c r="G30" s="16"/>
    </row>
    <row r="31" spans="1:16">
      <c r="B31" s="12"/>
      <c r="C31" s="17"/>
      <c r="D31" s="14"/>
      <c r="E31" s="14"/>
      <c r="F31" s="14"/>
      <c r="G31" s="16"/>
    </row>
    <row r="32" spans="1:16">
      <c r="B32" s="12"/>
      <c r="C32" s="17"/>
      <c r="D32" s="14"/>
      <c r="E32" s="14"/>
      <c r="F32" s="14"/>
      <c r="G32" s="16"/>
    </row>
    <row r="33" spans="1:7">
      <c r="B33" s="12"/>
      <c r="C33" s="17"/>
      <c r="D33" s="14"/>
      <c r="E33" s="14"/>
      <c r="F33" s="14"/>
      <c r="G33" s="16"/>
    </row>
    <row r="34" spans="1:7">
      <c r="B34" s="12"/>
      <c r="C34" s="17"/>
      <c r="D34" s="14"/>
      <c r="E34" s="14"/>
      <c r="F34" s="14"/>
      <c r="G34" s="16"/>
    </row>
    <row r="35" spans="1:7">
      <c r="B35" s="12"/>
      <c r="C35" s="17"/>
      <c r="D35" s="14"/>
      <c r="E35" s="14"/>
      <c r="F35" s="14"/>
      <c r="G35" s="16"/>
    </row>
    <row r="36" spans="1:7">
      <c r="B36" s="12"/>
      <c r="C36" s="17"/>
      <c r="D36" s="14"/>
      <c r="E36" s="14"/>
      <c r="F36" s="14"/>
      <c r="G36" s="16"/>
    </row>
    <row r="37" spans="1:7">
      <c r="B37" s="12"/>
      <c r="C37" s="17"/>
      <c r="D37" s="14"/>
      <c r="E37" s="14"/>
      <c r="F37" s="14"/>
      <c r="G37" s="16"/>
    </row>
    <row r="38" spans="1:7">
      <c r="B38" s="12"/>
      <c r="C38" s="17"/>
      <c r="D38" s="14"/>
      <c r="E38" s="14"/>
      <c r="F38" s="14"/>
      <c r="G38" s="16"/>
    </row>
    <row r="39" spans="1:7">
      <c r="B39" s="12"/>
      <c r="C39" s="17"/>
      <c r="D39" s="14"/>
      <c r="E39" s="14"/>
      <c r="F39" s="14"/>
      <c r="G39" s="14"/>
    </row>
    <row r="40" spans="1:7">
      <c r="B40" s="12"/>
      <c r="C40" s="17"/>
      <c r="D40" s="14"/>
      <c r="E40" s="14"/>
      <c r="F40" s="14"/>
      <c r="G40" s="14"/>
    </row>
    <row r="41" spans="1:7">
      <c r="B41" s="12"/>
      <c r="C41" s="13"/>
      <c r="D41" s="14"/>
      <c r="E41" s="14"/>
      <c r="F41" s="14"/>
      <c r="G41" s="14"/>
    </row>
    <row r="42" spans="1:7">
      <c r="B42" s="12"/>
      <c r="C42" s="13"/>
      <c r="D42" s="14"/>
      <c r="E42" s="14"/>
      <c r="F42" s="14"/>
      <c r="G42" s="14"/>
    </row>
    <row r="43" spans="1:7">
      <c r="B43" s="12"/>
      <c r="C43" s="13"/>
      <c r="D43" s="14"/>
      <c r="E43" s="14"/>
      <c r="F43" s="14"/>
      <c r="G43" s="14"/>
    </row>
    <row r="44" spans="1:7">
      <c r="A44" s="8"/>
    </row>
    <row r="45" spans="1:7">
      <c r="A45" s="8"/>
    </row>
    <row r="46" spans="1:7" ht="15">
      <c r="A46" s="19"/>
    </row>
    <row r="47" spans="1:7">
      <c r="A47" s="25"/>
    </row>
    <row r="48" spans="1:7">
      <c r="A48" s="25"/>
    </row>
  </sheetData>
  <mergeCells count="1">
    <mergeCell ref="A47:A48"/>
  </mergeCells>
  <phoneticPr fontId="14" type="noConversion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I51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5"/>
  </cols>
  <sheetData>
    <row r="1" spans="1:9">
      <c r="A1" s="5" t="s">
        <v>79</v>
      </c>
    </row>
    <row r="2" spans="1:9">
      <c r="A2" s="8"/>
    </row>
    <row r="3" spans="1:9" ht="60">
      <c r="A3" s="6" t="s">
        <v>3</v>
      </c>
      <c r="B3" s="7" t="s">
        <v>80</v>
      </c>
    </row>
    <row r="4" spans="1:9">
      <c r="A4" s="8"/>
    </row>
    <row r="5" spans="1:9" ht="15">
      <c r="A5" s="9" t="s">
        <v>5</v>
      </c>
      <c r="B5" s="9" t="s">
        <v>6</v>
      </c>
      <c r="C5" s="9" t="s">
        <v>7</v>
      </c>
      <c r="D5" s="9" t="s">
        <v>8</v>
      </c>
      <c r="E5" s="9" t="s">
        <v>9</v>
      </c>
      <c r="F5" s="9" t="s">
        <v>10</v>
      </c>
      <c r="G5" s="9" t="s">
        <v>11</v>
      </c>
      <c r="H5" s="9" t="s">
        <v>12</v>
      </c>
    </row>
    <row r="6" spans="1:9" ht="16">
      <c r="A6" s="10">
        <v>50</v>
      </c>
      <c r="B6" s="11" t="s">
        <v>81</v>
      </c>
      <c r="C6" s="12">
        <v>50.4</v>
      </c>
      <c r="D6" s="15">
        <v>2.6</v>
      </c>
      <c r="E6" s="14">
        <v>51.2</v>
      </c>
      <c r="F6" s="14">
        <v>51.8</v>
      </c>
      <c r="G6" s="14">
        <v>2</v>
      </c>
      <c r="H6" s="14">
        <v>12</v>
      </c>
      <c r="I6" s="5">
        <f>A6</f>
        <v>50</v>
      </c>
    </row>
    <row r="7" spans="1:9" ht="16">
      <c r="A7" s="10">
        <v>55</v>
      </c>
      <c r="B7" s="11" t="s">
        <v>82</v>
      </c>
      <c r="C7" s="12">
        <v>47.3</v>
      </c>
      <c r="D7" s="13">
        <v>0</v>
      </c>
      <c r="E7" s="14">
        <v>46.4</v>
      </c>
      <c r="F7" s="14">
        <v>46.8</v>
      </c>
      <c r="G7" s="14">
        <v>0</v>
      </c>
      <c r="H7" s="14">
        <v>8</v>
      </c>
      <c r="I7" s="5">
        <f t="shared" ref="I7:I25" si="0">A7</f>
        <v>55</v>
      </c>
    </row>
    <row r="8" spans="1:9" ht="16">
      <c r="A8" s="10">
        <v>60</v>
      </c>
      <c r="B8" s="11" t="s">
        <v>83</v>
      </c>
      <c r="C8" s="12">
        <v>41.3</v>
      </c>
      <c r="D8" s="15">
        <v>3.5</v>
      </c>
      <c r="E8" s="14">
        <v>41.6</v>
      </c>
      <c r="F8" s="14">
        <v>41.9</v>
      </c>
      <c r="G8" s="14">
        <v>3</v>
      </c>
      <c r="H8" s="14">
        <v>57</v>
      </c>
      <c r="I8" s="5">
        <f t="shared" si="0"/>
        <v>60</v>
      </c>
    </row>
    <row r="9" spans="1:9" ht="16">
      <c r="A9" s="10">
        <v>65</v>
      </c>
      <c r="B9" s="11" t="s">
        <v>84</v>
      </c>
      <c r="C9" s="12">
        <v>41.3</v>
      </c>
      <c r="D9" s="13">
        <v>0</v>
      </c>
      <c r="E9" s="14">
        <v>36.799999999999997</v>
      </c>
      <c r="F9" s="14">
        <v>37.1</v>
      </c>
      <c r="G9" s="14">
        <v>5</v>
      </c>
      <c r="H9" s="14">
        <v>4</v>
      </c>
      <c r="I9" s="5">
        <f t="shared" si="0"/>
        <v>65</v>
      </c>
    </row>
    <row r="10" spans="1:9" ht="16">
      <c r="A10" s="10">
        <v>70</v>
      </c>
      <c r="B10" s="11" t="s">
        <v>85</v>
      </c>
      <c r="C10" s="12">
        <v>33.299999999999997</v>
      </c>
      <c r="D10" s="13">
        <v>0</v>
      </c>
      <c r="E10" s="14">
        <v>32.200000000000003</v>
      </c>
      <c r="F10" s="14">
        <v>32.4</v>
      </c>
      <c r="G10" s="14">
        <v>4</v>
      </c>
      <c r="H10" s="14">
        <v>460</v>
      </c>
      <c r="I10" s="5">
        <f t="shared" si="0"/>
        <v>70</v>
      </c>
    </row>
    <row r="11" spans="1:9" ht="16">
      <c r="A11" s="10">
        <v>75</v>
      </c>
      <c r="B11" s="11" t="s">
        <v>86</v>
      </c>
      <c r="C11" s="12">
        <v>26.85</v>
      </c>
      <c r="D11" s="15">
        <v>0.95</v>
      </c>
      <c r="E11" s="14">
        <v>27.6</v>
      </c>
      <c r="F11" s="14">
        <v>27.9</v>
      </c>
      <c r="G11" s="14">
        <v>2</v>
      </c>
      <c r="H11" s="14">
        <v>340</v>
      </c>
      <c r="I11" s="5">
        <f t="shared" si="0"/>
        <v>75</v>
      </c>
    </row>
    <row r="12" spans="1:9" ht="16">
      <c r="A12" s="10">
        <v>80</v>
      </c>
      <c r="B12" s="11" t="s">
        <v>87</v>
      </c>
      <c r="C12" s="12">
        <v>22.7</v>
      </c>
      <c r="D12" s="15">
        <v>1.4</v>
      </c>
      <c r="E12" s="14">
        <v>23.3</v>
      </c>
      <c r="F12" s="14">
        <v>23.6</v>
      </c>
      <c r="G12" s="14">
        <v>6</v>
      </c>
      <c r="H12" s="14">
        <v>454</v>
      </c>
      <c r="I12" s="5">
        <f t="shared" si="0"/>
        <v>80</v>
      </c>
    </row>
    <row r="13" spans="1:9" ht="16">
      <c r="A13" s="10">
        <v>85</v>
      </c>
      <c r="B13" s="11" t="s">
        <v>88</v>
      </c>
      <c r="C13" s="12">
        <v>18.399999999999999</v>
      </c>
      <c r="D13" s="15">
        <v>1.8</v>
      </c>
      <c r="E13" s="14">
        <v>19.3</v>
      </c>
      <c r="F13" s="14">
        <v>19.5</v>
      </c>
      <c r="G13" s="14">
        <v>50</v>
      </c>
      <c r="H13" s="14">
        <v>493</v>
      </c>
      <c r="I13" s="5">
        <f t="shared" si="0"/>
        <v>85</v>
      </c>
    </row>
    <row r="14" spans="1:9" ht="16">
      <c r="A14" s="10">
        <v>90</v>
      </c>
      <c r="B14" s="11" t="s">
        <v>89</v>
      </c>
      <c r="C14" s="12">
        <v>14.7</v>
      </c>
      <c r="D14" s="15">
        <v>1.8</v>
      </c>
      <c r="E14" s="14">
        <v>15.6</v>
      </c>
      <c r="F14" s="14">
        <v>15.8</v>
      </c>
      <c r="G14" s="14">
        <v>2</v>
      </c>
      <c r="H14" s="16">
        <v>2044</v>
      </c>
      <c r="I14" s="5">
        <f t="shared" si="0"/>
        <v>90</v>
      </c>
    </row>
    <row r="15" spans="1:9" ht="16">
      <c r="A15" s="10">
        <v>95</v>
      </c>
      <c r="B15" s="11" t="s">
        <v>90</v>
      </c>
      <c r="C15" s="12">
        <v>12</v>
      </c>
      <c r="D15" s="15">
        <v>1.3</v>
      </c>
      <c r="E15" s="14">
        <v>12.2</v>
      </c>
      <c r="F15" s="14">
        <v>12.5</v>
      </c>
      <c r="G15" s="14">
        <v>141</v>
      </c>
      <c r="H15" s="14">
        <v>715</v>
      </c>
      <c r="I15" s="5">
        <f t="shared" si="0"/>
        <v>95</v>
      </c>
    </row>
    <row r="16" spans="1:9" ht="16">
      <c r="A16" s="10">
        <v>100</v>
      </c>
      <c r="B16" s="11" t="s">
        <v>91</v>
      </c>
      <c r="C16" s="12">
        <v>9.5</v>
      </c>
      <c r="D16" s="15">
        <v>0.5</v>
      </c>
      <c r="E16" s="14">
        <v>9.3000000000000007</v>
      </c>
      <c r="F16" s="14">
        <v>9.6</v>
      </c>
      <c r="G16" s="14">
        <v>91</v>
      </c>
      <c r="H16" s="16">
        <v>1840</v>
      </c>
      <c r="I16" s="5">
        <f t="shared" si="0"/>
        <v>100</v>
      </c>
    </row>
    <row r="17" spans="1:9" ht="16">
      <c r="A17" s="10">
        <v>105</v>
      </c>
      <c r="B17" s="11" t="s">
        <v>92</v>
      </c>
      <c r="C17" s="12">
        <v>6.76</v>
      </c>
      <c r="D17" s="15">
        <v>0.74</v>
      </c>
      <c r="E17" s="14">
        <v>6.9</v>
      </c>
      <c r="F17" s="14">
        <v>7.1</v>
      </c>
      <c r="G17" s="14">
        <v>105</v>
      </c>
      <c r="H17" s="16">
        <v>5796</v>
      </c>
      <c r="I17" s="5">
        <f t="shared" si="0"/>
        <v>105</v>
      </c>
    </row>
    <row r="18" spans="1:9" ht="16">
      <c r="A18" s="10">
        <v>110</v>
      </c>
      <c r="B18" s="11" t="s">
        <v>93</v>
      </c>
      <c r="C18" s="12">
        <v>5</v>
      </c>
      <c r="D18" s="15">
        <v>0.62</v>
      </c>
      <c r="E18" s="14">
        <v>4.9000000000000004</v>
      </c>
      <c r="F18" s="14">
        <v>5.0999999999999996</v>
      </c>
      <c r="G18" s="14">
        <v>440</v>
      </c>
      <c r="H18" s="16">
        <v>16640</v>
      </c>
      <c r="I18" s="5">
        <f t="shared" si="0"/>
        <v>110</v>
      </c>
    </row>
    <row r="19" spans="1:9" ht="16">
      <c r="A19" s="10">
        <v>115</v>
      </c>
      <c r="B19" s="11" t="s">
        <v>94</v>
      </c>
      <c r="C19" s="12">
        <v>3.4</v>
      </c>
      <c r="D19" s="15">
        <v>0.4</v>
      </c>
      <c r="E19" s="14">
        <v>3.3</v>
      </c>
      <c r="F19" s="14">
        <v>3.5</v>
      </c>
      <c r="G19" s="14">
        <v>97</v>
      </c>
      <c r="H19" s="16">
        <v>2355</v>
      </c>
      <c r="I19" s="5">
        <f t="shared" si="0"/>
        <v>115</v>
      </c>
    </row>
    <row r="20" spans="1:9" ht="16">
      <c r="A20" s="10">
        <v>120</v>
      </c>
      <c r="B20" s="11" t="s">
        <v>95</v>
      </c>
      <c r="C20" s="12">
        <v>2.15</v>
      </c>
      <c r="D20" s="15">
        <v>0.5</v>
      </c>
      <c r="E20" s="14">
        <v>2.2000000000000002</v>
      </c>
      <c r="F20" s="14">
        <v>2.2999999999999998</v>
      </c>
      <c r="G20" s="14">
        <v>65</v>
      </c>
      <c r="H20" s="16">
        <v>6813</v>
      </c>
      <c r="I20" s="5">
        <f t="shared" si="0"/>
        <v>120</v>
      </c>
    </row>
    <row r="21" spans="1:9" ht="16">
      <c r="A21" s="10">
        <v>125</v>
      </c>
      <c r="B21" s="11" t="s">
        <v>96</v>
      </c>
      <c r="C21" s="12">
        <v>1.4</v>
      </c>
      <c r="D21" s="15">
        <v>0.3</v>
      </c>
      <c r="E21" s="14">
        <v>1.35</v>
      </c>
      <c r="F21" s="14">
        <v>1.45</v>
      </c>
      <c r="G21" s="14">
        <v>3</v>
      </c>
      <c r="H21" s="16">
        <v>1006</v>
      </c>
      <c r="I21" s="5">
        <f t="shared" si="0"/>
        <v>125</v>
      </c>
    </row>
    <row r="22" spans="1:9" ht="16">
      <c r="A22" s="10">
        <v>130</v>
      </c>
      <c r="B22" s="11" t="s">
        <v>97</v>
      </c>
      <c r="C22" s="12">
        <v>0.83</v>
      </c>
      <c r="D22" s="15">
        <v>0.17</v>
      </c>
      <c r="E22" s="14">
        <v>0.75</v>
      </c>
      <c r="F22" s="14">
        <v>0.9</v>
      </c>
      <c r="G22" s="14">
        <v>13</v>
      </c>
      <c r="H22" s="16">
        <v>1399</v>
      </c>
      <c r="I22" s="5">
        <f t="shared" si="0"/>
        <v>130</v>
      </c>
    </row>
    <row r="23" spans="1:9" ht="16">
      <c r="A23" s="10">
        <v>135</v>
      </c>
      <c r="B23" s="11" t="s">
        <v>98</v>
      </c>
      <c r="C23" s="12">
        <v>0.5</v>
      </c>
      <c r="D23" s="13">
        <v>0</v>
      </c>
      <c r="E23" s="14">
        <v>0.4</v>
      </c>
      <c r="F23" s="14">
        <v>0.5</v>
      </c>
      <c r="G23" s="14">
        <v>15</v>
      </c>
      <c r="H23" s="14">
        <v>409</v>
      </c>
      <c r="I23" s="5">
        <f t="shared" si="0"/>
        <v>135</v>
      </c>
    </row>
    <row r="24" spans="1:9" ht="16">
      <c r="A24" s="10">
        <v>140</v>
      </c>
      <c r="B24" s="11" t="s">
        <v>99</v>
      </c>
      <c r="C24" s="12">
        <v>0.3</v>
      </c>
      <c r="D24" s="15">
        <v>0.08</v>
      </c>
      <c r="E24" s="14">
        <v>0.25</v>
      </c>
      <c r="F24" s="14">
        <v>0.3</v>
      </c>
      <c r="G24" s="14">
        <v>2</v>
      </c>
      <c r="H24" s="14">
        <v>130</v>
      </c>
      <c r="I24" s="5">
        <f t="shared" si="0"/>
        <v>140</v>
      </c>
    </row>
    <row r="25" spans="1:9" ht="16">
      <c r="A25" s="10">
        <v>145</v>
      </c>
      <c r="B25" s="11" t="s">
        <v>100</v>
      </c>
      <c r="C25" s="12">
        <v>0.25</v>
      </c>
      <c r="D25" s="13">
        <v>0</v>
      </c>
      <c r="E25" s="14">
        <v>0.1</v>
      </c>
      <c r="F25" s="14">
        <v>0.2</v>
      </c>
      <c r="G25" s="14">
        <v>297</v>
      </c>
      <c r="H25" s="14">
        <v>339</v>
      </c>
      <c r="I25" s="5">
        <f t="shared" si="0"/>
        <v>145</v>
      </c>
    </row>
    <row r="26" spans="1:9">
      <c r="A26" s="8"/>
    </row>
    <row r="27" spans="1:9" ht="60">
      <c r="A27" s="6" t="s">
        <v>28</v>
      </c>
      <c r="B27" s="7" t="s">
        <v>80</v>
      </c>
    </row>
    <row r="28" spans="1:9">
      <c r="A28" s="8"/>
    </row>
    <row r="29" spans="1:9" ht="15">
      <c r="A29" s="9" t="s">
        <v>5</v>
      </c>
      <c r="B29" s="9" t="s">
        <v>6</v>
      </c>
      <c r="C29" s="9" t="s">
        <v>7</v>
      </c>
      <c r="D29" s="9" t="s">
        <v>8</v>
      </c>
      <c r="E29" s="9" t="s">
        <v>9</v>
      </c>
      <c r="F29" s="9" t="s">
        <v>10</v>
      </c>
      <c r="G29" s="9" t="s">
        <v>11</v>
      </c>
      <c r="H29" s="9" t="s">
        <v>12</v>
      </c>
    </row>
    <row r="30" spans="1:9" ht="16">
      <c r="A30" s="10">
        <v>45</v>
      </c>
      <c r="B30" s="11" t="s">
        <v>101</v>
      </c>
      <c r="C30" s="12">
        <v>0.1</v>
      </c>
      <c r="D30" s="13">
        <v>0</v>
      </c>
      <c r="E30" s="14">
        <v>0.05</v>
      </c>
      <c r="F30" s="14">
        <v>0.15</v>
      </c>
      <c r="G30" s="14">
        <v>2</v>
      </c>
      <c r="H30" s="14">
        <v>733</v>
      </c>
      <c r="I30" s="5">
        <f>A30</f>
        <v>45</v>
      </c>
    </row>
    <row r="31" spans="1:9" ht="16">
      <c r="A31" s="10">
        <v>50</v>
      </c>
      <c r="B31" s="11" t="s">
        <v>102</v>
      </c>
      <c r="C31" s="12">
        <v>0.25</v>
      </c>
      <c r="D31" s="13">
        <v>0</v>
      </c>
      <c r="E31" s="14">
        <v>0.1</v>
      </c>
      <c r="F31" s="14">
        <v>0.2</v>
      </c>
      <c r="G31" s="14">
        <v>200</v>
      </c>
      <c r="H31" s="16">
        <v>1020</v>
      </c>
      <c r="I31" s="5">
        <f t="shared" ref="I31:I50" si="1">A31</f>
        <v>50</v>
      </c>
    </row>
    <row r="32" spans="1:9" ht="16">
      <c r="A32" s="10">
        <v>55</v>
      </c>
      <c r="B32" s="11" t="s">
        <v>103</v>
      </c>
      <c r="C32" s="12">
        <v>0.45</v>
      </c>
      <c r="D32" s="13">
        <v>0</v>
      </c>
      <c r="E32" s="14">
        <v>0.2</v>
      </c>
      <c r="F32" s="14">
        <v>0.3</v>
      </c>
      <c r="G32" s="14">
        <v>0</v>
      </c>
      <c r="H32" s="14">
        <v>447</v>
      </c>
      <c r="I32" s="5">
        <f t="shared" si="1"/>
        <v>55</v>
      </c>
    </row>
    <row r="33" spans="1:9" ht="16">
      <c r="A33" s="10">
        <v>60</v>
      </c>
      <c r="B33" s="11" t="s">
        <v>104</v>
      </c>
      <c r="C33" s="12">
        <v>0.4</v>
      </c>
      <c r="D33" s="13">
        <v>0</v>
      </c>
      <c r="E33" s="14">
        <v>0.35</v>
      </c>
      <c r="F33" s="14">
        <v>0.5</v>
      </c>
      <c r="G33" s="14">
        <v>10</v>
      </c>
      <c r="H33" s="14">
        <v>422</v>
      </c>
      <c r="I33" s="5">
        <f t="shared" si="1"/>
        <v>60</v>
      </c>
    </row>
    <row r="34" spans="1:9" ht="16">
      <c r="A34" s="10">
        <v>65</v>
      </c>
      <c r="B34" s="11" t="s">
        <v>105</v>
      </c>
      <c r="C34" s="12">
        <v>0.68</v>
      </c>
      <c r="D34" s="13">
        <v>0</v>
      </c>
      <c r="E34" s="14">
        <v>0.6</v>
      </c>
      <c r="F34" s="14">
        <v>0.7</v>
      </c>
      <c r="G34" s="14">
        <v>5</v>
      </c>
      <c r="H34" s="14">
        <v>905</v>
      </c>
      <c r="I34" s="5">
        <f t="shared" si="1"/>
        <v>65</v>
      </c>
    </row>
    <row r="35" spans="1:9" ht="16">
      <c r="A35" s="10">
        <v>70</v>
      </c>
      <c r="B35" s="11" t="s">
        <v>106</v>
      </c>
      <c r="C35" s="12">
        <v>1.2</v>
      </c>
      <c r="D35" s="17">
        <v>0.18</v>
      </c>
      <c r="E35" s="14">
        <v>1</v>
      </c>
      <c r="F35" s="14">
        <v>1.1000000000000001</v>
      </c>
      <c r="G35" s="14">
        <v>6</v>
      </c>
      <c r="H35" s="16">
        <v>1044</v>
      </c>
      <c r="I35" s="5">
        <f t="shared" si="1"/>
        <v>70</v>
      </c>
    </row>
    <row r="36" spans="1:9" ht="16">
      <c r="A36" s="10">
        <v>75</v>
      </c>
      <c r="B36" s="11" t="s">
        <v>107</v>
      </c>
      <c r="C36" s="12">
        <v>1.65</v>
      </c>
      <c r="D36" s="17">
        <v>0.15</v>
      </c>
      <c r="E36" s="14">
        <v>1.5</v>
      </c>
      <c r="F36" s="14">
        <v>1.6</v>
      </c>
      <c r="G36" s="14">
        <v>41</v>
      </c>
      <c r="H36" s="16">
        <v>1473</v>
      </c>
      <c r="I36" s="5">
        <f t="shared" si="1"/>
        <v>75</v>
      </c>
    </row>
    <row r="37" spans="1:9" ht="16">
      <c r="A37" s="10">
        <v>80</v>
      </c>
      <c r="B37" s="11" t="s">
        <v>108</v>
      </c>
      <c r="C37" s="12">
        <v>2.2999999999999998</v>
      </c>
      <c r="D37" s="17">
        <v>0.1</v>
      </c>
      <c r="E37" s="14">
        <v>2.25</v>
      </c>
      <c r="F37" s="14">
        <v>2.2999999999999998</v>
      </c>
      <c r="G37" s="14">
        <v>9</v>
      </c>
      <c r="H37" s="16">
        <v>1259</v>
      </c>
      <c r="I37" s="5">
        <f t="shared" si="1"/>
        <v>80</v>
      </c>
    </row>
    <row r="38" spans="1:9" ht="16">
      <c r="A38" s="10">
        <v>85</v>
      </c>
      <c r="B38" s="11" t="s">
        <v>109</v>
      </c>
      <c r="C38" s="12">
        <v>3.3</v>
      </c>
      <c r="D38" s="17">
        <v>0.1</v>
      </c>
      <c r="E38" s="14">
        <v>3.2</v>
      </c>
      <c r="F38" s="14">
        <v>3.3</v>
      </c>
      <c r="G38" s="14">
        <v>96</v>
      </c>
      <c r="H38" s="16">
        <v>1226</v>
      </c>
      <c r="I38" s="5">
        <f t="shared" si="1"/>
        <v>85</v>
      </c>
    </row>
    <row r="39" spans="1:9" ht="16">
      <c r="A39" s="10">
        <v>90</v>
      </c>
      <c r="B39" s="11" t="s">
        <v>110</v>
      </c>
      <c r="C39" s="12">
        <v>4.6399999999999997</v>
      </c>
      <c r="D39" s="17">
        <v>0.2</v>
      </c>
      <c r="E39" s="14">
        <v>4.4000000000000004</v>
      </c>
      <c r="F39" s="14">
        <v>4.5999999999999996</v>
      </c>
      <c r="G39" s="14">
        <v>70</v>
      </c>
      <c r="H39" s="16">
        <v>3241</v>
      </c>
      <c r="I39" s="5">
        <f t="shared" si="1"/>
        <v>90</v>
      </c>
    </row>
    <row r="40" spans="1:9" ht="16">
      <c r="A40" s="10">
        <v>95</v>
      </c>
      <c r="B40" s="11" t="s">
        <v>111</v>
      </c>
      <c r="C40" s="12">
        <v>6.3</v>
      </c>
      <c r="D40" s="17">
        <v>0.09</v>
      </c>
      <c r="E40" s="14">
        <v>6.1</v>
      </c>
      <c r="F40" s="14">
        <v>6.3</v>
      </c>
      <c r="G40" s="14">
        <v>21</v>
      </c>
      <c r="H40" s="16">
        <v>1038</v>
      </c>
      <c r="I40" s="5">
        <f t="shared" si="1"/>
        <v>95</v>
      </c>
    </row>
    <row r="41" spans="1:9" ht="16">
      <c r="A41" s="10">
        <v>100</v>
      </c>
      <c r="B41" s="11" t="s">
        <v>112</v>
      </c>
      <c r="C41" s="12">
        <v>8.51</v>
      </c>
      <c r="D41" s="17">
        <v>0.31</v>
      </c>
      <c r="E41" s="14">
        <v>8.1999999999999993</v>
      </c>
      <c r="F41" s="14">
        <v>8.4</v>
      </c>
      <c r="G41" s="14">
        <v>26</v>
      </c>
      <c r="H41" s="16">
        <v>1661</v>
      </c>
      <c r="I41" s="5">
        <f t="shared" si="1"/>
        <v>100</v>
      </c>
    </row>
    <row r="42" spans="1:9" ht="16">
      <c r="A42" s="10">
        <v>105</v>
      </c>
      <c r="B42" s="11" t="s">
        <v>113</v>
      </c>
      <c r="C42" s="12">
        <v>11</v>
      </c>
      <c r="D42" s="17">
        <v>0.5</v>
      </c>
      <c r="E42" s="14">
        <v>10.7</v>
      </c>
      <c r="F42" s="14">
        <v>11</v>
      </c>
      <c r="G42" s="14">
        <v>130</v>
      </c>
      <c r="H42" s="16">
        <v>1707</v>
      </c>
      <c r="I42" s="5">
        <f t="shared" si="1"/>
        <v>105</v>
      </c>
    </row>
    <row r="43" spans="1:9" ht="16">
      <c r="A43" s="10">
        <v>110</v>
      </c>
      <c r="B43" s="11" t="s">
        <v>114</v>
      </c>
      <c r="C43" s="12">
        <v>14.6</v>
      </c>
      <c r="D43" s="17">
        <v>1.1000000000000001</v>
      </c>
      <c r="E43" s="14">
        <v>13.7</v>
      </c>
      <c r="F43" s="14">
        <v>14</v>
      </c>
      <c r="G43" s="14">
        <v>16</v>
      </c>
      <c r="H43" s="16">
        <v>2313</v>
      </c>
      <c r="I43" s="5">
        <f t="shared" si="1"/>
        <v>110</v>
      </c>
    </row>
    <row r="44" spans="1:9" ht="16">
      <c r="A44" s="10">
        <v>115</v>
      </c>
      <c r="B44" s="11" t="s">
        <v>115</v>
      </c>
      <c r="C44" s="12">
        <v>14.7</v>
      </c>
      <c r="D44" s="13">
        <v>0</v>
      </c>
      <c r="E44" s="14">
        <v>17.100000000000001</v>
      </c>
      <c r="F44" s="14">
        <v>17.399999999999999</v>
      </c>
      <c r="G44" s="14">
        <v>19</v>
      </c>
      <c r="H44" s="14">
        <v>300</v>
      </c>
      <c r="I44" s="5">
        <f t="shared" si="1"/>
        <v>115</v>
      </c>
    </row>
    <row r="45" spans="1:9" ht="16">
      <c r="A45" s="10">
        <v>120</v>
      </c>
      <c r="B45" s="11" t="s">
        <v>116</v>
      </c>
      <c r="C45" s="12">
        <v>20.9</v>
      </c>
      <c r="D45" s="17">
        <v>2.8</v>
      </c>
      <c r="E45" s="14">
        <v>21</v>
      </c>
      <c r="F45" s="14">
        <v>21.2</v>
      </c>
      <c r="G45" s="14">
        <v>3</v>
      </c>
      <c r="H45" s="14">
        <v>267</v>
      </c>
      <c r="I45" s="5">
        <f t="shared" si="1"/>
        <v>120</v>
      </c>
    </row>
    <row r="46" spans="1:9" ht="16">
      <c r="A46" s="10">
        <v>125</v>
      </c>
      <c r="B46" s="11" t="s">
        <v>117</v>
      </c>
      <c r="C46" s="12">
        <v>22.8</v>
      </c>
      <c r="D46" s="13">
        <v>0</v>
      </c>
      <c r="E46" s="14">
        <v>25.1</v>
      </c>
      <c r="F46" s="14">
        <v>25.4</v>
      </c>
      <c r="G46" s="14">
        <v>11</v>
      </c>
      <c r="H46" s="14">
        <v>147</v>
      </c>
      <c r="I46" s="5">
        <f t="shared" si="1"/>
        <v>125</v>
      </c>
    </row>
    <row r="47" spans="1:9" ht="16">
      <c r="A47" s="10">
        <v>130</v>
      </c>
      <c r="B47" s="11" t="s">
        <v>118</v>
      </c>
      <c r="C47" s="12">
        <v>26.2</v>
      </c>
      <c r="D47" s="13">
        <v>0</v>
      </c>
      <c r="E47" s="14">
        <v>29.6</v>
      </c>
      <c r="F47" s="14">
        <v>29.9</v>
      </c>
      <c r="G47" s="16">
        <v>1000</v>
      </c>
      <c r="H47" s="16">
        <v>1104</v>
      </c>
      <c r="I47" s="5">
        <f t="shared" si="1"/>
        <v>130</v>
      </c>
    </row>
    <row r="48" spans="1:9" ht="16">
      <c r="A48" s="10">
        <v>135</v>
      </c>
      <c r="B48" s="11" t="s">
        <v>119</v>
      </c>
      <c r="C48" s="12">
        <v>34.9</v>
      </c>
      <c r="D48" s="15">
        <v>1.1000000000000001</v>
      </c>
      <c r="E48" s="14">
        <v>34.200000000000003</v>
      </c>
      <c r="F48" s="14">
        <v>34.5</v>
      </c>
      <c r="G48" s="14">
        <v>11</v>
      </c>
      <c r="H48" s="14">
        <v>51</v>
      </c>
      <c r="I48" s="5">
        <f t="shared" si="1"/>
        <v>135</v>
      </c>
    </row>
    <row r="49" spans="1:9" ht="16">
      <c r="A49" s="10">
        <v>140</v>
      </c>
      <c r="B49" s="11" t="s">
        <v>120</v>
      </c>
      <c r="C49" s="12">
        <v>39.799999999999997</v>
      </c>
      <c r="D49" s="17">
        <v>3.1</v>
      </c>
      <c r="E49" s="14">
        <v>39</v>
      </c>
      <c r="F49" s="14">
        <v>39.299999999999997</v>
      </c>
      <c r="G49" s="14">
        <v>20</v>
      </c>
      <c r="H49" s="14">
        <v>91</v>
      </c>
      <c r="I49" s="5">
        <f t="shared" si="1"/>
        <v>140</v>
      </c>
    </row>
    <row r="50" spans="1:9" ht="16">
      <c r="A50" s="10">
        <v>145</v>
      </c>
      <c r="B50" s="11" t="s">
        <v>121</v>
      </c>
      <c r="C50" s="12">
        <v>43.2</v>
      </c>
      <c r="D50" s="13">
        <v>0</v>
      </c>
      <c r="E50" s="14">
        <v>43.9</v>
      </c>
      <c r="F50" s="14">
        <v>44.2</v>
      </c>
      <c r="G50" s="14">
        <v>11</v>
      </c>
      <c r="H50" s="14">
        <v>118</v>
      </c>
      <c r="I50" s="5">
        <f t="shared" si="1"/>
        <v>145</v>
      </c>
    </row>
    <row r="51" spans="1:9" ht="39">
      <c r="A51" s="8" t="s">
        <v>45</v>
      </c>
      <c r="B51" s="18" t="s">
        <v>46</v>
      </c>
    </row>
  </sheetData>
  <phoneticPr fontId="14" type="noConversion"/>
  <hyperlinks>
    <hyperlink ref="A6" r:id="rId1" display="http://finance.yahoo.com/q/op?s=IBM&amp;k=50.000000" xr:uid="{00000000-0004-0000-0300-000000000000}"/>
    <hyperlink ref="B6" r:id="rId2" display="http://finance.yahoo.com/q?s=IBMJU.X" xr:uid="{00000000-0004-0000-0300-000001000000}"/>
    <hyperlink ref="A7" r:id="rId3" display="http://finance.yahoo.com/q/op?s=IBM&amp;k=55.000000" xr:uid="{00000000-0004-0000-0300-000002000000}"/>
    <hyperlink ref="B7" r:id="rId4" display="http://finance.yahoo.com/q?s=IBMJV.X" xr:uid="{00000000-0004-0000-0300-000003000000}"/>
    <hyperlink ref="A8" r:id="rId5" display="http://finance.yahoo.com/q/op?s=IBM&amp;k=60.000000" xr:uid="{00000000-0004-0000-0300-000004000000}"/>
    <hyperlink ref="B8" r:id="rId6" display="http://finance.yahoo.com/q?s=IBMJL.X" xr:uid="{00000000-0004-0000-0300-000005000000}"/>
    <hyperlink ref="A9" r:id="rId7" display="http://finance.yahoo.com/q/op?s=IBM&amp;k=65.000000" xr:uid="{00000000-0004-0000-0300-000006000000}"/>
    <hyperlink ref="B9" r:id="rId8" display="http://finance.yahoo.com/q?s=IBMJM.X" xr:uid="{00000000-0004-0000-0300-000007000000}"/>
    <hyperlink ref="A10" r:id="rId9" display="http://finance.yahoo.com/q/op?s=IBM&amp;k=70.000000" xr:uid="{00000000-0004-0000-0300-000008000000}"/>
    <hyperlink ref="B10" r:id="rId10" display="http://finance.yahoo.com/q?s=IBMJN.X" xr:uid="{00000000-0004-0000-0300-000009000000}"/>
    <hyperlink ref="A11" r:id="rId11" display="http://finance.yahoo.com/q/op?s=IBM&amp;k=75.000000" xr:uid="{00000000-0004-0000-0300-00000A000000}"/>
    <hyperlink ref="B11" r:id="rId12" display="http://finance.yahoo.com/q?s=IBMJO.X" xr:uid="{00000000-0004-0000-0300-00000B000000}"/>
    <hyperlink ref="A12" r:id="rId13" display="http://finance.yahoo.com/q/op?s=IBM&amp;k=80.000000" xr:uid="{00000000-0004-0000-0300-00000C000000}"/>
    <hyperlink ref="B12" r:id="rId14" display="http://finance.yahoo.com/q?s=IBMJP.X" xr:uid="{00000000-0004-0000-0300-00000D000000}"/>
    <hyperlink ref="A13" r:id="rId15" display="http://finance.yahoo.com/q/op?s=IBM&amp;k=85.000000" xr:uid="{00000000-0004-0000-0300-00000E000000}"/>
    <hyperlink ref="B13" r:id="rId16" display="http://finance.yahoo.com/q?s=IBMJQ.X" xr:uid="{00000000-0004-0000-0300-00000F000000}"/>
    <hyperlink ref="A14" r:id="rId17" display="http://finance.yahoo.com/q/op?s=IBM&amp;k=90.000000" xr:uid="{00000000-0004-0000-0300-000010000000}"/>
    <hyperlink ref="B14" r:id="rId18" display="http://finance.yahoo.com/q?s=IBMJR.X" xr:uid="{00000000-0004-0000-0300-000011000000}"/>
    <hyperlink ref="A15" r:id="rId19" display="http://finance.yahoo.com/q/op?s=IBM&amp;k=95.000000" xr:uid="{00000000-0004-0000-0300-000012000000}"/>
    <hyperlink ref="B15" r:id="rId20" display="http://finance.yahoo.com/q?s=IBMJS.X" xr:uid="{00000000-0004-0000-0300-000013000000}"/>
    <hyperlink ref="A16" r:id="rId21" display="http://finance.yahoo.com/q/op?s=IBM&amp;k=100.000000" xr:uid="{00000000-0004-0000-0300-000014000000}"/>
    <hyperlink ref="B16" r:id="rId22" display="http://finance.yahoo.com/q?s=IBMJT.X" xr:uid="{00000000-0004-0000-0300-000015000000}"/>
    <hyperlink ref="A17" r:id="rId23" display="http://finance.yahoo.com/q/op?s=IBM&amp;k=105.000000" xr:uid="{00000000-0004-0000-0300-000016000000}"/>
    <hyperlink ref="B17" r:id="rId24" display="http://finance.yahoo.com/q?s=IBMJA.X" xr:uid="{00000000-0004-0000-0300-000017000000}"/>
    <hyperlink ref="A18" r:id="rId25" display="http://finance.yahoo.com/q/op?s=IBM&amp;k=110.000000" xr:uid="{00000000-0004-0000-0300-000018000000}"/>
    <hyperlink ref="B18" r:id="rId26" display="http://finance.yahoo.com/q?s=IBMJB.X" xr:uid="{00000000-0004-0000-0300-000019000000}"/>
    <hyperlink ref="A19" r:id="rId27" display="http://finance.yahoo.com/q/op?s=IBM&amp;k=115.000000" xr:uid="{00000000-0004-0000-0300-00001A000000}"/>
    <hyperlink ref="B19" r:id="rId28" display="http://finance.yahoo.com/q?s=IBMJC.X" xr:uid="{00000000-0004-0000-0300-00001B000000}"/>
    <hyperlink ref="A20" r:id="rId29" display="http://finance.yahoo.com/q/op?s=IBM&amp;k=120.000000" xr:uid="{00000000-0004-0000-0300-00001C000000}"/>
    <hyperlink ref="B20" r:id="rId30" display="http://finance.yahoo.com/q?s=IBMJD.X" xr:uid="{00000000-0004-0000-0300-00001D000000}"/>
    <hyperlink ref="A21" r:id="rId31" display="http://finance.yahoo.com/q/op?s=IBM&amp;k=125.000000" xr:uid="{00000000-0004-0000-0300-00001E000000}"/>
    <hyperlink ref="B21" r:id="rId32" display="http://finance.yahoo.com/q?s=IBMJE.X" xr:uid="{00000000-0004-0000-0300-00001F000000}"/>
    <hyperlink ref="A22" r:id="rId33" display="http://finance.yahoo.com/q/op?s=IBM&amp;k=130.000000" xr:uid="{00000000-0004-0000-0300-000020000000}"/>
    <hyperlink ref="B22" r:id="rId34" display="http://finance.yahoo.com/q?s=IBMJF.X" xr:uid="{00000000-0004-0000-0300-000021000000}"/>
    <hyperlink ref="A23" r:id="rId35" display="http://finance.yahoo.com/q/op?s=IBM&amp;k=135.000000" xr:uid="{00000000-0004-0000-0300-000022000000}"/>
    <hyperlink ref="B23" r:id="rId36" display="http://finance.yahoo.com/q?s=IBMJG.X" xr:uid="{00000000-0004-0000-0300-000023000000}"/>
    <hyperlink ref="A24" r:id="rId37" display="http://finance.yahoo.com/q/op?s=IBM&amp;k=140.000000" xr:uid="{00000000-0004-0000-0300-000024000000}"/>
    <hyperlink ref="B24" r:id="rId38" display="http://finance.yahoo.com/q?s=IBMJH.X" xr:uid="{00000000-0004-0000-0300-000025000000}"/>
    <hyperlink ref="A25" r:id="rId39" display="http://finance.yahoo.com/q/op?s=IBM&amp;k=145.000000" xr:uid="{00000000-0004-0000-0300-000026000000}"/>
    <hyperlink ref="B25" r:id="rId40" display="http://finance.yahoo.com/q?s=IBMJI.X" xr:uid="{00000000-0004-0000-0300-000027000000}"/>
    <hyperlink ref="A30" r:id="rId41" display="http://finance.yahoo.com/q/op?s=IBM&amp;k=45.000000" xr:uid="{00000000-0004-0000-0300-000028000000}"/>
    <hyperlink ref="B30" r:id="rId42" display="http://finance.yahoo.com/q?s=IBMVX.X" xr:uid="{00000000-0004-0000-0300-000029000000}"/>
    <hyperlink ref="A31" r:id="rId43" display="http://finance.yahoo.com/q/op?s=IBM&amp;k=50.000000" xr:uid="{00000000-0004-0000-0300-00002A000000}"/>
    <hyperlink ref="B31" r:id="rId44" display="http://finance.yahoo.com/q?s=IBMVU.X" xr:uid="{00000000-0004-0000-0300-00002B000000}"/>
    <hyperlink ref="A32" r:id="rId45" display="http://finance.yahoo.com/q/op?s=IBM&amp;k=55.000000" xr:uid="{00000000-0004-0000-0300-00002C000000}"/>
    <hyperlink ref="B32" r:id="rId46" display="http://finance.yahoo.com/q?s=IBMVV.X" xr:uid="{00000000-0004-0000-0300-00002D000000}"/>
    <hyperlink ref="A33" r:id="rId47" display="http://finance.yahoo.com/q/op?s=IBM&amp;k=60.000000" xr:uid="{00000000-0004-0000-0300-00002E000000}"/>
    <hyperlink ref="B33" r:id="rId48" display="http://finance.yahoo.com/q?s=IBMVL.X" xr:uid="{00000000-0004-0000-0300-00002F000000}"/>
    <hyperlink ref="A34" r:id="rId49" display="http://finance.yahoo.com/q/op?s=IBM&amp;k=65.000000" xr:uid="{00000000-0004-0000-0300-000030000000}"/>
    <hyperlink ref="B34" r:id="rId50" display="http://finance.yahoo.com/q?s=IBMVM.X" xr:uid="{00000000-0004-0000-0300-000031000000}"/>
    <hyperlink ref="A35" r:id="rId51" display="http://finance.yahoo.com/q/op?s=IBM&amp;k=70.000000" xr:uid="{00000000-0004-0000-0300-000032000000}"/>
    <hyperlink ref="B35" r:id="rId52" display="http://finance.yahoo.com/q?s=IBMVN.X" xr:uid="{00000000-0004-0000-0300-000033000000}"/>
    <hyperlink ref="A36" r:id="rId53" display="http://finance.yahoo.com/q/op?s=IBM&amp;k=75.000000" xr:uid="{00000000-0004-0000-0300-000034000000}"/>
    <hyperlink ref="B36" r:id="rId54" display="http://finance.yahoo.com/q?s=IBMVO.X" xr:uid="{00000000-0004-0000-0300-000035000000}"/>
    <hyperlink ref="A37" r:id="rId55" display="http://finance.yahoo.com/q/op?s=IBM&amp;k=80.000000" xr:uid="{00000000-0004-0000-0300-000036000000}"/>
    <hyperlink ref="B37" r:id="rId56" display="http://finance.yahoo.com/q?s=IBMVP.X" xr:uid="{00000000-0004-0000-0300-000037000000}"/>
    <hyperlink ref="A38" r:id="rId57" display="http://finance.yahoo.com/q/op?s=IBM&amp;k=85.000000" xr:uid="{00000000-0004-0000-0300-000038000000}"/>
    <hyperlink ref="B38" r:id="rId58" display="http://finance.yahoo.com/q?s=IBMVQ.X" xr:uid="{00000000-0004-0000-0300-000039000000}"/>
    <hyperlink ref="A39" r:id="rId59" display="http://finance.yahoo.com/q/op?s=IBM&amp;k=90.000000" xr:uid="{00000000-0004-0000-0300-00003A000000}"/>
    <hyperlink ref="B39" r:id="rId60" display="http://finance.yahoo.com/q?s=IBMVR.X" xr:uid="{00000000-0004-0000-0300-00003B000000}"/>
    <hyperlink ref="A40" r:id="rId61" display="http://finance.yahoo.com/q/op?s=IBM&amp;k=95.000000" xr:uid="{00000000-0004-0000-0300-00003C000000}"/>
    <hyperlink ref="B40" r:id="rId62" display="http://finance.yahoo.com/q?s=IBMVS.X" xr:uid="{00000000-0004-0000-0300-00003D000000}"/>
    <hyperlink ref="A41" r:id="rId63" display="http://finance.yahoo.com/q/op?s=IBM&amp;k=100.000000" xr:uid="{00000000-0004-0000-0300-00003E000000}"/>
    <hyperlink ref="B41" r:id="rId64" display="http://finance.yahoo.com/q?s=IBMVT.X" xr:uid="{00000000-0004-0000-0300-00003F000000}"/>
    <hyperlink ref="A42" r:id="rId65" display="http://finance.yahoo.com/q/op?s=IBM&amp;k=105.000000" xr:uid="{00000000-0004-0000-0300-000040000000}"/>
    <hyperlink ref="B42" r:id="rId66" display="http://finance.yahoo.com/q?s=IBMVA.X" xr:uid="{00000000-0004-0000-0300-000041000000}"/>
    <hyperlink ref="A43" r:id="rId67" display="http://finance.yahoo.com/q/op?s=IBM&amp;k=110.000000" xr:uid="{00000000-0004-0000-0300-000042000000}"/>
    <hyperlink ref="B43" r:id="rId68" display="http://finance.yahoo.com/q?s=IBMVB.X" xr:uid="{00000000-0004-0000-0300-000043000000}"/>
    <hyperlink ref="A44" r:id="rId69" display="http://finance.yahoo.com/q/op?s=IBM&amp;k=115.000000" xr:uid="{00000000-0004-0000-0300-000044000000}"/>
    <hyperlink ref="B44" r:id="rId70" display="http://finance.yahoo.com/q?s=IBMVC.X" xr:uid="{00000000-0004-0000-0300-000045000000}"/>
    <hyperlink ref="A45" r:id="rId71" display="http://finance.yahoo.com/q/op?s=IBM&amp;k=120.000000" xr:uid="{00000000-0004-0000-0300-000046000000}"/>
    <hyperlink ref="B45" r:id="rId72" display="http://finance.yahoo.com/q?s=IBMVD.X" xr:uid="{00000000-0004-0000-0300-000047000000}"/>
    <hyperlink ref="A46" r:id="rId73" display="http://finance.yahoo.com/q/op?s=IBM&amp;k=125.000000" xr:uid="{00000000-0004-0000-0300-000048000000}"/>
    <hyperlink ref="B46" r:id="rId74" display="http://finance.yahoo.com/q?s=IBMVE.X" xr:uid="{00000000-0004-0000-0300-000049000000}"/>
    <hyperlink ref="A47" r:id="rId75" display="http://finance.yahoo.com/q/op?s=IBM&amp;k=130.000000" xr:uid="{00000000-0004-0000-0300-00004A000000}"/>
    <hyperlink ref="B47" r:id="rId76" display="http://finance.yahoo.com/q?s=IBMVF.X" xr:uid="{00000000-0004-0000-0300-00004B000000}"/>
    <hyperlink ref="A48" r:id="rId77" display="http://finance.yahoo.com/q/op?s=IBM&amp;k=135.000000" xr:uid="{00000000-0004-0000-0300-00004C000000}"/>
    <hyperlink ref="B48" r:id="rId78" display="http://finance.yahoo.com/q?s=IBMVG.X" xr:uid="{00000000-0004-0000-0300-00004D000000}"/>
    <hyperlink ref="A49" r:id="rId79" display="http://finance.yahoo.com/q/op?s=IBM&amp;k=140.000000" xr:uid="{00000000-0004-0000-0300-00004E000000}"/>
    <hyperlink ref="B49" r:id="rId80" display="http://finance.yahoo.com/q?s=IBMVH.X" xr:uid="{00000000-0004-0000-0300-00004F000000}"/>
    <hyperlink ref="A50" r:id="rId81" display="http://finance.yahoo.com/q/op?s=IBM&amp;k=145.000000" xr:uid="{00000000-0004-0000-0300-000050000000}"/>
    <hyperlink ref="B50" r:id="rId82" display="http://finance.yahoo.com/q?s=IBMVI.X" xr:uid="{00000000-0004-0000-0300-000051000000}"/>
  </hyperlinks>
  <pageMargins left="0.7" right="0.7" top="0.75" bottom="0.75" header="0.3" footer="0.3"/>
  <drawing r:id="rId8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9"/>
  <dimension ref="A1:H60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5"/>
  </cols>
  <sheetData>
    <row r="1" spans="1:8" ht="60">
      <c r="A1" s="6" t="s">
        <v>3</v>
      </c>
      <c r="B1" s="7" t="s">
        <v>122</v>
      </c>
    </row>
    <row r="2" spans="1:8">
      <c r="A2" s="8"/>
    </row>
    <row r="3" spans="1:8" ht="15">
      <c r="A3" s="9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9" t="s">
        <v>12</v>
      </c>
    </row>
    <row r="4" spans="1:8" ht="16">
      <c r="A4" s="10">
        <v>55</v>
      </c>
      <c r="B4" s="11" t="s">
        <v>123</v>
      </c>
      <c r="C4" s="12">
        <v>47.7</v>
      </c>
      <c r="D4" s="13">
        <v>0</v>
      </c>
      <c r="E4" s="14">
        <v>46.4</v>
      </c>
      <c r="F4" s="14">
        <v>47</v>
      </c>
      <c r="G4" s="14">
        <v>1</v>
      </c>
      <c r="H4" s="14">
        <v>15</v>
      </c>
    </row>
    <row r="5" spans="1:8" ht="16">
      <c r="A5" s="10">
        <v>60</v>
      </c>
      <c r="B5" s="11" t="s">
        <v>124</v>
      </c>
      <c r="C5" s="12">
        <v>42.36</v>
      </c>
      <c r="D5" s="15">
        <v>3.72</v>
      </c>
      <c r="E5" s="14">
        <v>41.7</v>
      </c>
      <c r="F5" s="14">
        <v>42.2</v>
      </c>
      <c r="G5" s="14">
        <v>5</v>
      </c>
      <c r="H5" s="14">
        <v>74</v>
      </c>
    </row>
    <row r="6" spans="1:8" ht="16">
      <c r="A6" s="10">
        <v>65</v>
      </c>
      <c r="B6" s="11" t="s">
        <v>125</v>
      </c>
      <c r="C6" s="12">
        <v>38.9</v>
      </c>
      <c r="D6" s="13">
        <v>0</v>
      </c>
      <c r="E6" s="14">
        <v>37</v>
      </c>
      <c r="F6" s="14">
        <v>37.6</v>
      </c>
      <c r="G6" s="14">
        <v>10</v>
      </c>
      <c r="H6" s="14">
        <v>60</v>
      </c>
    </row>
    <row r="7" spans="1:8" ht="16">
      <c r="A7" s="10">
        <v>70</v>
      </c>
      <c r="B7" s="11" t="s">
        <v>126</v>
      </c>
      <c r="C7" s="12">
        <v>34.4</v>
      </c>
      <c r="D7" s="13">
        <v>0</v>
      </c>
      <c r="E7" s="14">
        <v>32.5</v>
      </c>
      <c r="F7" s="14">
        <v>33.200000000000003</v>
      </c>
      <c r="G7" s="14">
        <v>4</v>
      </c>
      <c r="H7" s="14">
        <v>864</v>
      </c>
    </row>
    <row r="8" spans="1:8" ht="16">
      <c r="A8" s="10">
        <v>75</v>
      </c>
      <c r="B8" s="11" t="s">
        <v>127</v>
      </c>
      <c r="C8" s="12">
        <v>30.1</v>
      </c>
      <c r="D8" s="13">
        <v>0</v>
      </c>
      <c r="E8" s="14">
        <v>28.2</v>
      </c>
      <c r="F8" s="14">
        <v>28.8</v>
      </c>
      <c r="G8" s="14">
        <v>4</v>
      </c>
      <c r="H8" s="14">
        <v>132</v>
      </c>
    </row>
    <row r="9" spans="1:8" ht="16">
      <c r="A9" s="10">
        <v>80</v>
      </c>
      <c r="B9" s="11" t="s">
        <v>128</v>
      </c>
      <c r="C9" s="12">
        <v>23.6</v>
      </c>
      <c r="D9" s="15">
        <v>2.4</v>
      </c>
      <c r="E9" s="14">
        <v>24.4</v>
      </c>
      <c r="F9" s="14">
        <v>24.8</v>
      </c>
      <c r="G9" s="14">
        <v>5</v>
      </c>
      <c r="H9" s="16">
        <v>1595</v>
      </c>
    </row>
    <row r="10" spans="1:8" ht="16">
      <c r="A10" s="10">
        <v>85</v>
      </c>
      <c r="B10" s="11" t="s">
        <v>129</v>
      </c>
      <c r="C10" s="12">
        <v>22.1</v>
      </c>
      <c r="D10" s="13">
        <v>0</v>
      </c>
      <c r="E10" s="14">
        <v>20.399999999999999</v>
      </c>
      <c r="F10" s="14">
        <v>21</v>
      </c>
      <c r="G10" s="14">
        <v>200</v>
      </c>
      <c r="H10" s="16">
        <v>1360</v>
      </c>
    </row>
    <row r="11" spans="1:8" ht="16">
      <c r="A11" s="10">
        <v>90</v>
      </c>
      <c r="B11" s="11" t="s">
        <v>130</v>
      </c>
      <c r="C11" s="12">
        <v>16.68</v>
      </c>
      <c r="D11" s="15">
        <v>1.42</v>
      </c>
      <c r="E11" s="14">
        <v>16.899999999999999</v>
      </c>
      <c r="F11" s="14">
        <v>17.5</v>
      </c>
      <c r="G11" s="14">
        <v>12</v>
      </c>
      <c r="H11" s="16">
        <v>7069</v>
      </c>
    </row>
    <row r="12" spans="1:8" ht="16">
      <c r="A12" s="10">
        <v>95</v>
      </c>
      <c r="B12" s="11" t="s">
        <v>131</v>
      </c>
      <c r="C12" s="12">
        <v>13.8</v>
      </c>
      <c r="D12" s="15">
        <v>1.4</v>
      </c>
      <c r="E12" s="14">
        <v>13.7</v>
      </c>
      <c r="F12" s="14">
        <v>14.3</v>
      </c>
      <c r="G12" s="14">
        <v>1</v>
      </c>
      <c r="H12" s="16">
        <v>3043</v>
      </c>
    </row>
    <row r="13" spans="1:8" ht="16">
      <c r="A13" s="10">
        <v>100</v>
      </c>
      <c r="B13" s="11" t="s">
        <v>132</v>
      </c>
      <c r="C13" s="12">
        <v>11</v>
      </c>
      <c r="D13" s="15">
        <v>1.08</v>
      </c>
      <c r="E13" s="14">
        <v>10.9</v>
      </c>
      <c r="F13" s="14">
        <v>11.5</v>
      </c>
      <c r="G13" s="14">
        <v>492</v>
      </c>
      <c r="H13" s="16">
        <v>12339</v>
      </c>
    </row>
    <row r="14" spans="1:8" ht="16">
      <c r="A14" s="10">
        <v>105</v>
      </c>
      <c r="B14" s="11" t="s">
        <v>133</v>
      </c>
      <c r="C14" s="12">
        <v>8.51</v>
      </c>
      <c r="D14" s="15">
        <v>1.0900000000000001</v>
      </c>
      <c r="E14" s="14">
        <v>8.5</v>
      </c>
      <c r="F14" s="14">
        <v>9</v>
      </c>
      <c r="G14" s="14">
        <v>22</v>
      </c>
      <c r="H14" s="16">
        <v>3895</v>
      </c>
    </row>
    <row r="15" spans="1:8" ht="16">
      <c r="A15" s="10">
        <v>110</v>
      </c>
      <c r="B15" s="11" t="s">
        <v>134</v>
      </c>
      <c r="C15" s="12">
        <v>6.5</v>
      </c>
      <c r="D15" s="15">
        <v>1</v>
      </c>
      <c r="E15" s="14">
        <v>6.4</v>
      </c>
      <c r="F15" s="14">
        <v>6.9</v>
      </c>
      <c r="G15" s="14">
        <v>50</v>
      </c>
      <c r="H15" s="16">
        <v>9338</v>
      </c>
    </row>
    <row r="16" spans="1:8" ht="16">
      <c r="A16" s="10">
        <v>115</v>
      </c>
      <c r="B16" s="11" t="s">
        <v>135</v>
      </c>
      <c r="C16" s="12">
        <v>4.5999999999999996</v>
      </c>
      <c r="D16" s="15">
        <v>1.2</v>
      </c>
      <c r="E16" s="14">
        <v>4.8</v>
      </c>
      <c r="F16" s="14">
        <v>5.2</v>
      </c>
      <c r="G16" s="14">
        <v>46</v>
      </c>
      <c r="H16" s="16">
        <v>2725</v>
      </c>
    </row>
    <row r="17" spans="1:8" ht="16">
      <c r="A17" s="10">
        <v>120</v>
      </c>
      <c r="B17" s="11" t="s">
        <v>136</v>
      </c>
      <c r="C17" s="12">
        <v>3.7</v>
      </c>
      <c r="D17" s="15">
        <v>0.5</v>
      </c>
      <c r="E17" s="14">
        <v>3.6</v>
      </c>
      <c r="F17" s="14">
        <v>3.8</v>
      </c>
      <c r="G17" s="14">
        <v>141</v>
      </c>
      <c r="H17" s="16">
        <v>6636</v>
      </c>
    </row>
    <row r="18" spans="1:8" ht="16">
      <c r="A18" s="10">
        <v>125</v>
      </c>
      <c r="B18" s="11" t="s">
        <v>137</v>
      </c>
      <c r="C18" s="12">
        <v>2.4</v>
      </c>
      <c r="D18" s="15">
        <v>0.53</v>
      </c>
      <c r="E18" s="14">
        <v>2.5499999999999998</v>
      </c>
      <c r="F18" s="14">
        <v>2.65</v>
      </c>
      <c r="G18" s="14">
        <v>158</v>
      </c>
      <c r="H18" s="16">
        <v>3588</v>
      </c>
    </row>
    <row r="19" spans="1:8" ht="16">
      <c r="A19" s="10">
        <v>130</v>
      </c>
      <c r="B19" s="11" t="s">
        <v>138</v>
      </c>
      <c r="C19" s="12">
        <v>1.7</v>
      </c>
      <c r="D19" s="15">
        <v>0.35</v>
      </c>
      <c r="E19" s="14">
        <v>1.7</v>
      </c>
      <c r="F19" s="14">
        <v>1.85</v>
      </c>
      <c r="G19" s="14">
        <v>55</v>
      </c>
      <c r="H19" s="16">
        <v>3717</v>
      </c>
    </row>
    <row r="20" spans="1:8" ht="16">
      <c r="A20" s="10">
        <v>135</v>
      </c>
      <c r="B20" s="11" t="s">
        <v>139</v>
      </c>
      <c r="C20" s="12">
        <v>1.55</v>
      </c>
      <c r="D20" s="13">
        <v>0</v>
      </c>
      <c r="E20" s="14">
        <v>1.1000000000000001</v>
      </c>
      <c r="F20" s="14">
        <v>1.25</v>
      </c>
      <c r="G20" s="14">
        <v>61</v>
      </c>
      <c r="H20" s="16">
        <v>1003</v>
      </c>
    </row>
    <row r="21" spans="1:8" ht="16">
      <c r="A21" s="10">
        <v>140</v>
      </c>
      <c r="B21" s="11" t="s">
        <v>140</v>
      </c>
      <c r="C21" s="12">
        <v>0.8</v>
      </c>
      <c r="D21" s="15">
        <v>0.16</v>
      </c>
      <c r="E21" s="14">
        <v>0.7</v>
      </c>
      <c r="F21" s="14">
        <v>0.8</v>
      </c>
      <c r="G21" s="14">
        <v>34</v>
      </c>
      <c r="H21" s="16">
        <v>3878</v>
      </c>
    </row>
    <row r="22" spans="1:8" ht="16">
      <c r="A22" s="10">
        <v>145</v>
      </c>
      <c r="B22" s="11" t="s">
        <v>141</v>
      </c>
      <c r="C22" s="12">
        <v>0.65</v>
      </c>
      <c r="D22" s="13">
        <v>0</v>
      </c>
      <c r="E22" s="14">
        <v>0.4</v>
      </c>
      <c r="F22" s="14">
        <v>0.55000000000000004</v>
      </c>
      <c r="G22" s="14">
        <v>23</v>
      </c>
      <c r="H22" s="14">
        <v>451</v>
      </c>
    </row>
    <row r="23" spans="1:8" ht="16">
      <c r="A23" s="10">
        <v>150</v>
      </c>
      <c r="B23" s="11" t="s">
        <v>142</v>
      </c>
      <c r="C23" s="12">
        <v>0.35</v>
      </c>
      <c r="D23" s="15">
        <v>0.1</v>
      </c>
      <c r="E23" s="14">
        <v>0.25</v>
      </c>
      <c r="F23" s="14">
        <v>0.4</v>
      </c>
      <c r="G23" s="14">
        <v>12</v>
      </c>
      <c r="H23" s="16">
        <v>1105</v>
      </c>
    </row>
    <row r="24" spans="1:8" ht="16">
      <c r="A24" s="10">
        <v>155</v>
      </c>
      <c r="B24" s="11" t="s">
        <v>143</v>
      </c>
      <c r="C24" s="12">
        <v>0.55000000000000004</v>
      </c>
      <c r="D24" s="13">
        <v>0</v>
      </c>
      <c r="E24" s="14">
        <v>0.15</v>
      </c>
      <c r="F24" s="14">
        <v>0.3</v>
      </c>
      <c r="G24" s="14">
        <v>0</v>
      </c>
      <c r="H24" s="14">
        <v>404</v>
      </c>
    </row>
    <row r="25" spans="1:8" ht="16">
      <c r="A25" s="10">
        <v>160</v>
      </c>
      <c r="B25" s="11" t="s">
        <v>144</v>
      </c>
      <c r="C25" s="12">
        <v>0.2</v>
      </c>
      <c r="D25" s="13">
        <v>0</v>
      </c>
      <c r="E25" s="14">
        <v>0.1</v>
      </c>
      <c r="F25" s="14">
        <v>0.2</v>
      </c>
      <c r="G25" s="14">
        <v>10</v>
      </c>
      <c r="H25" s="14">
        <v>848</v>
      </c>
    </row>
    <row r="26" spans="1:8" ht="16">
      <c r="A26" s="10">
        <v>165</v>
      </c>
      <c r="B26" s="11" t="s">
        <v>145</v>
      </c>
      <c r="C26" s="12">
        <v>0.15</v>
      </c>
      <c r="D26" s="13">
        <v>0</v>
      </c>
      <c r="E26" s="14">
        <v>0.05</v>
      </c>
      <c r="F26" s="14">
        <v>0.15</v>
      </c>
      <c r="G26" s="14">
        <v>10</v>
      </c>
      <c r="H26" s="14">
        <v>134</v>
      </c>
    </row>
    <row r="27" spans="1:8" ht="16">
      <c r="A27" s="10">
        <v>170</v>
      </c>
      <c r="B27" s="11" t="s">
        <v>146</v>
      </c>
      <c r="C27" s="12">
        <v>0.15</v>
      </c>
      <c r="D27" s="13">
        <v>0</v>
      </c>
      <c r="E27" s="14" t="s">
        <v>23</v>
      </c>
      <c r="F27" s="14">
        <v>0.15</v>
      </c>
      <c r="G27" s="14">
        <v>0</v>
      </c>
      <c r="H27" s="14">
        <v>485</v>
      </c>
    </row>
    <row r="28" spans="1:8" ht="16">
      <c r="A28" s="10">
        <v>180</v>
      </c>
      <c r="B28" s="11" t="s">
        <v>147</v>
      </c>
      <c r="C28" s="12">
        <v>0.05</v>
      </c>
      <c r="D28" s="15">
        <v>0.05</v>
      </c>
      <c r="E28" s="14" t="s">
        <v>23</v>
      </c>
      <c r="F28" s="14">
        <v>0.1</v>
      </c>
      <c r="G28" s="14">
        <v>24</v>
      </c>
      <c r="H28" s="16">
        <v>1804</v>
      </c>
    </row>
    <row r="29" spans="1:8" ht="16">
      <c r="A29" s="10">
        <v>190</v>
      </c>
      <c r="B29" s="11" t="s">
        <v>148</v>
      </c>
      <c r="C29" s="12">
        <v>0.05</v>
      </c>
      <c r="D29" s="13">
        <v>0</v>
      </c>
      <c r="E29" s="14" t="s">
        <v>23</v>
      </c>
      <c r="F29" s="14">
        <v>0.1</v>
      </c>
      <c r="G29" s="14">
        <v>0</v>
      </c>
      <c r="H29" s="14">
        <v>665</v>
      </c>
    </row>
    <row r="30" spans="1:8">
      <c r="A30" s="8"/>
    </row>
    <row r="31" spans="1:8" ht="60">
      <c r="A31" s="6" t="s">
        <v>28</v>
      </c>
      <c r="B31" s="7" t="s">
        <v>122</v>
      </c>
    </row>
    <row r="32" spans="1:8">
      <c r="A32" s="8"/>
    </row>
    <row r="33" spans="1:8" ht="15">
      <c r="A33" s="9" t="s">
        <v>5</v>
      </c>
      <c r="B33" s="9" t="s">
        <v>6</v>
      </c>
      <c r="C33" s="9" t="s">
        <v>7</v>
      </c>
      <c r="D33" s="9" t="s">
        <v>8</v>
      </c>
      <c r="E33" s="9" t="s">
        <v>9</v>
      </c>
      <c r="F33" s="9" t="s">
        <v>10</v>
      </c>
      <c r="G33" s="9" t="s">
        <v>11</v>
      </c>
      <c r="H33" s="9" t="s">
        <v>12</v>
      </c>
    </row>
    <row r="34" spans="1:8" ht="16">
      <c r="A34" s="10">
        <v>55</v>
      </c>
      <c r="B34" s="11" t="s">
        <v>149</v>
      </c>
      <c r="C34" s="12">
        <v>0.65</v>
      </c>
      <c r="D34" s="17">
        <v>0.05</v>
      </c>
      <c r="E34" s="14">
        <v>0.55000000000000004</v>
      </c>
      <c r="F34" s="14">
        <v>0.7</v>
      </c>
      <c r="G34" s="14">
        <v>26</v>
      </c>
      <c r="H34" s="16">
        <v>1778</v>
      </c>
    </row>
    <row r="35" spans="1:8" ht="16">
      <c r="A35" s="10">
        <v>60</v>
      </c>
      <c r="B35" s="11" t="s">
        <v>150</v>
      </c>
      <c r="C35" s="12">
        <v>1</v>
      </c>
      <c r="D35" s="17">
        <v>0.12</v>
      </c>
      <c r="E35" s="14">
        <v>0.95</v>
      </c>
      <c r="F35" s="14">
        <v>1</v>
      </c>
      <c r="G35" s="14">
        <v>27</v>
      </c>
      <c r="H35" s="16">
        <v>3197</v>
      </c>
    </row>
    <row r="36" spans="1:8" ht="16">
      <c r="A36" s="10">
        <v>65</v>
      </c>
      <c r="B36" s="11" t="s">
        <v>151</v>
      </c>
      <c r="C36" s="12">
        <v>1.3</v>
      </c>
      <c r="D36" s="13">
        <v>0</v>
      </c>
      <c r="E36" s="14">
        <v>1.35</v>
      </c>
      <c r="F36" s="14">
        <v>1.5</v>
      </c>
      <c r="G36" s="14">
        <v>2</v>
      </c>
      <c r="H36" s="16">
        <v>4179</v>
      </c>
    </row>
    <row r="37" spans="1:8" ht="16">
      <c r="A37" s="10">
        <v>70</v>
      </c>
      <c r="B37" s="11" t="s">
        <v>152</v>
      </c>
      <c r="C37" s="12">
        <v>1.95</v>
      </c>
      <c r="D37" s="13">
        <v>0</v>
      </c>
      <c r="E37" s="14">
        <v>1.95</v>
      </c>
      <c r="F37" s="14">
        <v>2.1</v>
      </c>
      <c r="G37" s="14">
        <v>56</v>
      </c>
      <c r="H37" s="16">
        <v>4690</v>
      </c>
    </row>
    <row r="38" spans="1:8" ht="16">
      <c r="A38" s="10">
        <v>75</v>
      </c>
      <c r="B38" s="11" t="s">
        <v>153</v>
      </c>
      <c r="C38" s="12">
        <v>2.75</v>
      </c>
      <c r="D38" s="13">
        <v>0</v>
      </c>
      <c r="E38" s="14">
        <v>2.7</v>
      </c>
      <c r="F38" s="14">
        <v>2.8</v>
      </c>
      <c r="G38" s="14">
        <v>58</v>
      </c>
      <c r="H38" s="16">
        <v>2850</v>
      </c>
    </row>
    <row r="39" spans="1:8" ht="16">
      <c r="A39" s="10">
        <v>80</v>
      </c>
      <c r="B39" s="11" t="s">
        <v>154</v>
      </c>
      <c r="C39" s="12">
        <v>3.9</v>
      </c>
      <c r="D39" s="17">
        <v>0.2</v>
      </c>
      <c r="E39" s="14">
        <v>3.7</v>
      </c>
      <c r="F39" s="14">
        <v>3.8</v>
      </c>
      <c r="G39" s="14">
        <v>66</v>
      </c>
      <c r="H39" s="16">
        <v>5887</v>
      </c>
    </row>
    <row r="40" spans="1:8" ht="16">
      <c r="A40" s="10">
        <v>85</v>
      </c>
      <c r="B40" s="11" t="s">
        <v>155</v>
      </c>
      <c r="C40" s="12">
        <v>5.3</v>
      </c>
      <c r="D40" s="17">
        <v>0.4</v>
      </c>
      <c r="E40" s="14">
        <v>4.9000000000000004</v>
      </c>
      <c r="F40" s="14">
        <v>5.0999999999999996</v>
      </c>
      <c r="G40" s="14">
        <v>110</v>
      </c>
      <c r="H40" s="16">
        <v>2832</v>
      </c>
    </row>
    <row r="41" spans="1:8" ht="16">
      <c r="A41" s="10">
        <v>90</v>
      </c>
      <c r="B41" s="11" t="s">
        <v>156</v>
      </c>
      <c r="C41" s="12">
        <v>6.83</v>
      </c>
      <c r="D41" s="17">
        <v>0.43</v>
      </c>
      <c r="E41" s="14">
        <v>6.4</v>
      </c>
      <c r="F41" s="14">
        <v>6.8</v>
      </c>
      <c r="G41" s="14">
        <v>2</v>
      </c>
      <c r="H41" s="16">
        <v>6514</v>
      </c>
    </row>
    <row r="42" spans="1:8" ht="16">
      <c r="A42" s="10">
        <v>95</v>
      </c>
      <c r="B42" s="11" t="s">
        <v>157</v>
      </c>
      <c r="C42" s="12">
        <v>8.6</v>
      </c>
      <c r="D42" s="17">
        <v>0.3</v>
      </c>
      <c r="E42" s="14">
        <v>8.1999999999999993</v>
      </c>
      <c r="F42" s="14">
        <v>8.4</v>
      </c>
      <c r="G42" s="14">
        <v>68</v>
      </c>
      <c r="H42" s="16">
        <v>2889</v>
      </c>
    </row>
    <row r="43" spans="1:8" ht="16">
      <c r="A43" s="10">
        <v>100</v>
      </c>
      <c r="B43" s="11" t="s">
        <v>158</v>
      </c>
      <c r="C43" s="12">
        <v>11</v>
      </c>
      <c r="D43" s="17">
        <v>0.7</v>
      </c>
      <c r="E43" s="14">
        <v>10.4</v>
      </c>
      <c r="F43" s="14">
        <v>10.6</v>
      </c>
      <c r="G43" s="14">
        <v>73</v>
      </c>
      <c r="H43" s="16">
        <v>6963</v>
      </c>
    </row>
    <row r="44" spans="1:8" ht="16">
      <c r="A44" s="10">
        <v>105</v>
      </c>
      <c r="B44" s="11" t="s">
        <v>159</v>
      </c>
      <c r="C44" s="12">
        <v>13.7</v>
      </c>
      <c r="D44" s="17">
        <v>1.1000000000000001</v>
      </c>
      <c r="E44" s="14">
        <v>12.9</v>
      </c>
      <c r="F44" s="14">
        <v>13.3</v>
      </c>
      <c r="G44" s="14">
        <v>14</v>
      </c>
      <c r="H44" s="16">
        <v>1762</v>
      </c>
    </row>
    <row r="45" spans="1:8" ht="16">
      <c r="A45" s="10">
        <v>110</v>
      </c>
      <c r="B45" s="11" t="s">
        <v>160</v>
      </c>
      <c r="C45" s="12">
        <v>16.600000000000001</v>
      </c>
      <c r="D45" s="17">
        <v>1.9</v>
      </c>
      <c r="E45" s="14">
        <v>15.9</v>
      </c>
      <c r="F45" s="14">
        <v>16.2</v>
      </c>
      <c r="G45" s="14">
        <v>20</v>
      </c>
      <c r="H45" s="16">
        <v>4021</v>
      </c>
    </row>
    <row r="46" spans="1:8" ht="16">
      <c r="A46" s="10">
        <v>115</v>
      </c>
      <c r="B46" s="11" t="s">
        <v>161</v>
      </c>
      <c r="C46" s="12">
        <v>18.8</v>
      </c>
      <c r="D46" s="13">
        <v>0</v>
      </c>
      <c r="E46" s="14">
        <v>19.100000000000001</v>
      </c>
      <c r="F46" s="14">
        <v>19.5</v>
      </c>
      <c r="G46" s="14">
        <v>53</v>
      </c>
      <c r="H46" s="14">
        <v>416</v>
      </c>
    </row>
    <row r="47" spans="1:8" ht="16">
      <c r="A47" s="10">
        <v>120</v>
      </c>
      <c r="B47" s="11" t="s">
        <v>162</v>
      </c>
      <c r="C47" s="12">
        <v>21.8</v>
      </c>
      <c r="D47" s="13">
        <v>0</v>
      </c>
      <c r="E47" s="14">
        <v>22.7</v>
      </c>
      <c r="F47" s="14">
        <v>23.1</v>
      </c>
      <c r="G47" s="14">
        <v>43</v>
      </c>
      <c r="H47" s="16">
        <v>2816</v>
      </c>
    </row>
    <row r="48" spans="1:8" ht="16">
      <c r="A48" s="10">
        <v>125</v>
      </c>
      <c r="B48" s="11" t="s">
        <v>163</v>
      </c>
      <c r="C48" s="12">
        <v>26.3</v>
      </c>
      <c r="D48" s="13">
        <v>0</v>
      </c>
      <c r="E48" s="14">
        <v>26.6</v>
      </c>
      <c r="F48" s="14">
        <v>27.2</v>
      </c>
      <c r="G48" s="14">
        <v>5</v>
      </c>
      <c r="H48" s="16">
        <v>2367</v>
      </c>
    </row>
    <row r="49" spans="1:8" ht="16">
      <c r="A49" s="10">
        <v>130</v>
      </c>
      <c r="B49" s="11" t="s">
        <v>164</v>
      </c>
      <c r="C49" s="12">
        <v>28.5</v>
      </c>
      <c r="D49" s="13">
        <v>0</v>
      </c>
      <c r="E49" s="14">
        <v>30.8</v>
      </c>
      <c r="F49" s="14">
        <v>31.4</v>
      </c>
      <c r="G49" s="14">
        <v>13</v>
      </c>
      <c r="H49" s="14">
        <v>959</v>
      </c>
    </row>
    <row r="50" spans="1:8" ht="16">
      <c r="A50" s="10">
        <v>135</v>
      </c>
      <c r="B50" s="11" t="s">
        <v>165</v>
      </c>
      <c r="C50" s="12">
        <v>37.6</v>
      </c>
      <c r="D50" s="13">
        <v>0</v>
      </c>
      <c r="E50" s="14">
        <v>35.200000000000003</v>
      </c>
      <c r="F50" s="14">
        <v>35.700000000000003</v>
      </c>
      <c r="G50" s="14">
        <v>0</v>
      </c>
      <c r="H50" s="14">
        <v>190</v>
      </c>
    </row>
    <row r="51" spans="1:8" ht="16">
      <c r="A51" s="10">
        <v>140</v>
      </c>
      <c r="B51" s="11" t="s">
        <v>166</v>
      </c>
      <c r="C51" s="12">
        <v>37.4</v>
      </c>
      <c r="D51" s="13">
        <v>0</v>
      </c>
      <c r="E51" s="14">
        <v>39.700000000000003</v>
      </c>
      <c r="F51" s="14">
        <v>40.4</v>
      </c>
      <c r="G51" s="14">
        <v>10</v>
      </c>
      <c r="H51" s="14">
        <v>286</v>
      </c>
    </row>
    <row r="52" spans="1:8" ht="16">
      <c r="A52" s="10">
        <v>145</v>
      </c>
      <c r="B52" s="11" t="s">
        <v>167</v>
      </c>
      <c r="C52" s="12">
        <v>46.7</v>
      </c>
      <c r="D52" s="13">
        <v>0</v>
      </c>
      <c r="E52" s="14">
        <v>44.5</v>
      </c>
      <c r="F52" s="14">
        <v>45</v>
      </c>
      <c r="G52" s="14">
        <v>0</v>
      </c>
      <c r="H52" s="14">
        <v>10</v>
      </c>
    </row>
    <row r="53" spans="1:8" ht="16">
      <c r="A53" s="10">
        <v>150</v>
      </c>
      <c r="B53" s="11" t="s">
        <v>168</v>
      </c>
      <c r="C53" s="12">
        <v>51.3</v>
      </c>
      <c r="D53" s="13">
        <v>0</v>
      </c>
      <c r="E53" s="14">
        <v>49.3</v>
      </c>
      <c r="F53" s="14">
        <v>49.9</v>
      </c>
      <c r="G53" s="14">
        <v>13</v>
      </c>
      <c r="H53" s="14">
        <v>173</v>
      </c>
    </row>
    <row r="54" spans="1:8" ht="16">
      <c r="A54" s="10">
        <v>155</v>
      </c>
      <c r="B54" s="11" t="s">
        <v>169</v>
      </c>
      <c r="C54" s="12">
        <v>56.3</v>
      </c>
      <c r="D54" s="13">
        <v>0</v>
      </c>
      <c r="E54" s="14">
        <v>54.1</v>
      </c>
      <c r="F54" s="14">
        <v>54.8</v>
      </c>
      <c r="G54" s="14">
        <v>9</v>
      </c>
      <c r="H54" s="14">
        <v>28</v>
      </c>
    </row>
    <row r="55" spans="1:8" ht="16">
      <c r="A55" s="10">
        <v>160</v>
      </c>
      <c r="B55" s="11" t="s">
        <v>170</v>
      </c>
      <c r="C55" s="12">
        <v>55.7</v>
      </c>
      <c r="D55" s="13">
        <v>0</v>
      </c>
      <c r="E55" s="14">
        <v>59.1</v>
      </c>
      <c r="F55" s="14">
        <v>59.6</v>
      </c>
      <c r="G55" s="14">
        <v>8</v>
      </c>
      <c r="H55" s="14">
        <v>101</v>
      </c>
    </row>
    <row r="56" spans="1:8" ht="16">
      <c r="A56" s="10">
        <v>170</v>
      </c>
      <c r="B56" s="11" t="s">
        <v>171</v>
      </c>
      <c r="C56" s="12">
        <v>82.9</v>
      </c>
      <c r="D56" s="13">
        <v>0</v>
      </c>
      <c r="E56" s="14">
        <v>68.900000000000006</v>
      </c>
      <c r="F56" s="14">
        <v>69.7</v>
      </c>
      <c r="G56" s="14">
        <v>0</v>
      </c>
      <c r="H56" s="14">
        <v>11</v>
      </c>
    </row>
    <row r="57" spans="1:8" ht="16">
      <c r="A57" s="10">
        <v>190</v>
      </c>
      <c r="B57" s="11" t="s">
        <v>172</v>
      </c>
      <c r="C57" s="12">
        <v>102.8</v>
      </c>
      <c r="D57" s="13">
        <v>0</v>
      </c>
      <c r="E57" s="14">
        <v>88.8</v>
      </c>
      <c r="F57" s="14">
        <v>89.5</v>
      </c>
      <c r="G57" s="14">
        <v>0</v>
      </c>
      <c r="H57" s="14">
        <v>11</v>
      </c>
    </row>
    <row r="58" spans="1:8" ht="39">
      <c r="A58" s="8" t="s">
        <v>45</v>
      </c>
      <c r="B58" s="18" t="s">
        <v>46</v>
      </c>
    </row>
    <row r="59" spans="1:8">
      <c r="A59" s="8"/>
    </row>
    <row r="60" spans="1:8" ht="48">
      <c r="A60" s="19" t="s">
        <v>47</v>
      </c>
    </row>
  </sheetData>
  <phoneticPr fontId="14" type="noConversion"/>
  <hyperlinks>
    <hyperlink ref="A4" r:id="rId1" display="http://finance.yahoo.com/q/op?s=IBM&amp;k=55.000000" xr:uid="{00000000-0004-0000-0400-000000000000}"/>
    <hyperlink ref="B4" r:id="rId2" display="http://finance.yahoo.com/q?s=WIBAW.X" xr:uid="{00000000-0004-0000-0400-000001000000}"/>
    <hyperlink ref="A5" r:id="rId3" display="http://finance.yahoo.com/q/op?s=IBM&amp;k=60.000000" xr:uid="{00000000-0004-0000-0400-000002000000}"/>
    <hyperlink ref="B5" r:id="rId4" display="http://finance.yahoo.com/q?s=WIBAL.X" xr:uid="{00000000-0004-0000-0400-000003000000}"/>
    <hyperlink ref="A6" r:id="rId5" display="http://finance.yahoo.com/q/op?s=IBM&amp;k=65.000000" xr:uid="{00000000-0004-0000-0400-000004000000}"/>
    <hyperlink ref="B6" r:id="rId6" display="http://finance.yahoo.com/q?s=WIBAX.X" xr:uid="{00000000-0004-0000-0400-000005000000}"/>
    <hyperlink ref="A7" r:id="rId7" display="http://finance.yahoo.com/q/op?s=IBM&amp;k=70.000000" xr:uid="{00000000-0004-0000-0400-000006000000}"/>
    <hyperlink ref="B7" r:id="rId8" display="http://finance.yahoo.com/q?s=WIBAN.X" xr:uid="{00000000-0004-0000-0400-000007000000}"/>
    <hyperlink ref="A8" r:id="rId9" display="http://finance.yahoo.com/q/op?s=IBM&amp;k=75.000000" xr:uid="{00000000-0004-0000-0400-000008000000}"/>
    <hyperlink ref="B8" r:id="rId10" display="http://finance.yahoo.com/q?s=WIBAO.X" xr:uid="{00000000-0004-0000-0400-000009000000}"/>
    <hyperlink ref="A9" r:id="rId11" display="http://finance.yahoo.com/q/op?s=IBM&amp;k=80.000000" xr:uid="{00000000-0004-0000-0400-00000A000000}"/>
    <hyperlink ref="B9" r:id="rId12" display="http://finance.yahoo.com/q?s=WIBAP.X" xr:uid="{00000000-0004-0000-0400-00000B000000}"/>
    <hyperlink ref="A10" r:id="rId13" display="http://finance.yahoo.com/q/op?s=IBM&amp;k=85.000000" xr:uid="{00000000-0004-0000-0400-00000C000000}"/>
    <hyperlink ref="B10" r:id="rId14" display="http://finance.yahoo.com/q?s=WIBAQ.X" xr:uid="{00000000-0004-0000-0400-00000D000000}"/>
    <hyperlink ref="A11" r:id="rId15" display="http://finance.yahoo.com/q/op?s=IBM&amp;k=90.000000" xr:uid="{00000000-0004-0000-0400-00000E000000}"/>
    <hyperlink ref="B11" r:id="rId16" display="http://finance.yahoo.com/q?s=WIBAR.X" xr:uid="{00000000-0004-0000-0400-00000F000000}"/>
    <hyperlink ref="A12" r:id="rId17" display="http://finance.yahoo.com/q/op?s=IBM&amp;k=95.000000" xr:uid="{00000000-0004-0000-0400-000010000000}"/>
    <hyperlink ref="B12" r:id="rId18" display="http://finance.yahoo.com/q?s=WIBAS.X" xr:uid="{00000000-0004-0000-0400-000011000000}"/>
    <hyperlink ref="A13" r:id="rId19" display="http://finance.yahoo.com/q/op?s=IBM&amp;k=100.000000" xr:uid="{00000000-0004-0000-0400-000012000000}"/>
    <hyperlink ref="B13" r:id="rId20" display="http://finance.yahoo.com/q?s=WIBAT.X" xr:uid="{00000000-0004-0000-0400-000013000000}"/>
    <hyperlink ref="A14" r:id="rId21" display="http://finance.yahoo.com/q/op?s=IBM&amp;k=105.000000" xr:uid="{00000000-0004-0000-0400-000014000000}"/>
    <hyperlink ref="B14" r:id="rId22" display="http://finance.yahoo.com/q?s=WIBAA.X" xr:uid="{00000000-0004-0000-0400-000015000000}"/>
    <hyperlink ref="A15" r:id="rId23" display="http://finance.yahoo.com/q/op?s=IBM&amp;k=110.000000" xr:uid="{00000000-0004-0000-0400-000016000000}"/>
    <hyperlink ref="B15" r:id="rId24" display="http://finance.yahoo.com/q?s=WIBAB.X" xr:uid="{00000000-0004-0000-0400-000017000000}"/>
    <hyperlink ref="A16" r:id="rId25" display="http://finance.yahoo.com/q/op?s=IBM&amp;k=115.000000" xr:uid="{00000000-0004-0000-0400-000018000000}"/>
    <hyperlink ref="B16" r:id="rId26" display="http://finance.yahoo.com/q?s=WIBAC.X" xr:uid="{00000000-0004-0000-0400-000019000000}"/>
    <hyperlink ref="A17" r:id="rId27" display="http://finance.yahoo.com/q/op?s=IBM&amp;k=120.000000" xr:uid="{00000000-0004-0000-0400-00001A000000}"/>
    <hyperlink ref="B17" r:id="rId28" display="http://finance.yahoo.com/q?s=WIBAD.X" xr:uid="{00000000-0004-0000-0400-00001B000000}"/>
    <hyperlink ref="A18" r:id="rId29" display="http://finance.yahoo.com/q/op?s=IBM&amp;k=125.000000" xr:uid="{00000000-0004-0000-0400-00001C000000}"/>
    <hyperlink ref="B18" r:id="rId30" display="http://finance.yahoo.com/q?s=WIBAE.X" xr:uid="{00000000-0004-0000-0400-00001D000000}"/>
    <hyperlink ref="A19" r:id="rId31" display="http://finance.yahoo.com/q/op?s=IBM&amp;k=130.000000" xr:uid="{00000000-0004-0000-0400-00001E000000}"/>
    <hyperlink ref="B19" r:id="rId32" display="http://finance.yahoo.com/q?s=WIBAF.X" xr:uid="{00000000-0004-0000-0400-00001F000000}"/>
    <hyperlink ref="A20" r:id="rId33" display="http://finance.yahoo.com/q/op?s=IBM&amp;k=135.000000" xr:uid="{00000000-0004-0000-0400-000020000000}"/>
    <hyperlink ref="B20" r:id="rId34" display="http://finance.yahoo.com/q?s=WIBAG.X" xr:uid="{00000000-0004-0000-0400-000021000000}"/>
    <hyperlink ref="A21" r:id="rId35" display="http://finance.yahoo.com/q/op?s=IBM&amp;k=140.000000" xr:uid="{00000000-0004-0000-0400-000022000000}"/>
    <hyperlink ref="B21" r:id="rId36" display="http://finance.yahoo.com/q?s=WIBAH.X" xr:uid="{00000000-0004-0000-0400-000023000000}"/>
    <hyperlink ref="A22" r:id="rId37" display="http://finance.yahoo.com/q/op?s=IBM&amp;k=145.000000" xr:uid="{00000000-0004-0000-0400-000024000000}"/>
    <hyperlink ref="B22" r:id="rId38" display="http://finance.yahoo.com/q?s=WIBAI.X" xr:uid="{00000000-0004-0000-0400-000025000000}"/>
    <hyperlink ref="A23" r:id="rId39" display="http://finance.yahoo.com/q/op?s=IBM&amp;k=150.000000" xr:uid="{00000000-0004-0000-0400-000026000000}"/>
    <hyperlink ref="B23" r:id="rId40" display="http://finance.yahoo.com/q?s=WIBAJ.X" xr:uid="{00000000-0004-0000-0400-000027000000}"/>
    <hyperlink ref="A24" r:id="rId41" display="http://finance.yahoo.com/q/op?s=IBM&amp;k=155.000000" xr:uid="{00000000-0004-0000-0400-000028000000}"/>
    <hyperlink ref="B24" r:id="rId42" display="http://finance.yahoo.com/q?s=WIBAK.X" xr:uid="{00000000-0004-0000-0400-000029000000}"/>
    <hyperlink ref="A25" r:id="rId43" display="http://finance.yahoo.com/q/op?s=IBM&amp;k=160.000000" xr:uid="{00000000-0004-0000-0400-00002A000000}"/>
    <hyperlink ref="B25" r:id="rId44" display="http://finance.yahoo.com/q?s=WIBAY.X" xr:uid="{00000000-0004-0000-0400-00002B000000}"/>
    <hyperlink ref="A26" r:id="rId45" display="http://finance.yahoo.com/q/op?s=IBM&amp;k=165.000000" xr:uid="{00000000-0004-0000-0400-00002C000000}"/>
    <hyperlink ref="B26" r:id="rId46" display="http://finance.yahoo.com/q?s=WIBAM.X" xr:uid="{00000000-0004-0000-0400-00002D000000}"/>
    <hyperlink ref="A27" r:id="rId47" display="http://finance.yahoo.com/q/op?s=IBM&amp;k=170.000000" xr:uid="{00000000-0004-0000-0400-00002E000000}"/>
    <hyperlink ref="B27" r:id="rId48" display="http://finance.yahoo.com/q?s=WIBAZ.X" xr:uid="{00000000-0004-0000-0400-00002F000000}"/>
    <hyperlink ref="A28" r:id="rId49" display="http://finance.yahoo.com/q/op?s=IBM&amp;k=180.000000" xr:uid="{00000000-0004-0000-0400-000030000000}"/>
    <hyperlink ref="B28" r:id="rId50" display="http://finance.yahoo.com/q?s=WIBAU.X" xr:uid="{00000000-0004-0000-0400-000031000000}"/>
    <hyperlink ref="A29" r:id="rId51" display="http://finance.yahoo.com/q/op?s=IBM&amp;k=190.000000" xr:uid="{00000000-0004-0000-0400-000032000000}"/>
    <hyperlink ref="B29" r:id="rId52" display="http://finance.yahoo.com/q?s=WIBAV.X" xr:uid="{00000000-0004-0000-0400-000033000000}"/>
    <hyperlink ref="A34" r:id="rId53" display="http://finance.yahoo.com/q/op?s=IBM&amp;k=55.000000" xr:uid="{00000000-0004-0000-0400-000034000000}"/>
    <hyperlink ref="B34" r:id="rId54" display="http://finance.yahoo.com/q?s=WIBMW.X" xr:uid="{00000000-0004-0000-0400-000035000000}"/>
    <hyperlink ref="A35" r:id="rId55" display="http://finance.yahoo.com/q/op?s=IBM&amp;k=60.000000" xr:uid="{00000000-0004-0000-0400-000036000000}"/>
    <hyperlink ref="B35" r:id="rId56" display="http://finance.yahoo.com/q?s=WIBML.X" xr:uid="{00000000-0004-0000-0400-000037000000}"/>
    <hyperlink ref="A36" r:id="rId57" display="http://finance.yahoo.com/q/op?s=IBM&amp;k=65.000000" xr:uid="{00000000-0004-0000-0400-000038000000}"/>
    <hyperlink ref="B36" r:id="rId58" display="http://finance.yahoo.com/q?s=WIBMX.X" xr:uid="{00000000-0004-0000-0400-000039000000}"/>
    <hyperlink ref="A37" r:id="rId59" display="http://finance.yahoo.com/q/op?s=IBM&amp;k=70.000000" xr:uid="{00000000-0004-0000-0400-00003A000000}"/>
    <hyperlink ref="B37" r:id="rId60" display="http://finance.yahoo.com/q?s=WIBMN.X" xr:uid="{00000000-0004-0000-0400-00003B000000}"/>
    <hyperlink ref="A38" r:id="rId61" display="http://finance.yahoo.com/q/op?s=IBM&amp;k=75.000000" xr:uid="{00000000-0004-0000-0400-00003C000000}"/>
    <hyperlink ref="B38" r:id="rId62" display="http://finance.yahoo.com/q?s=WIBMO.X" xr:uid="{00000000-0004-0000-0400-00003D000000}"/>
    <hyperlink ref="A39" r:id="rId63" display="http://finance.yahoo.com/q/op?s=IBM&amp;k=80.000000" xr:uid="{00000000-0004-0000-0400-00003E000000}"/>
    <hyperlink ref="B39" r:id="rId64" display="http://finance.yahoo.com/q?s=WIBMP.X" xr:uid="{00000000-0004-0000-0400-00003F000000}"/>
    <hyperlink ref="A40" r:id="rId65" display="http://finance.yahoo.com/q/op?s=IBM&amp;k=85.000000" xr:uid="{00000000-0004-0000-0400-000040000000}"/>
    <hyperlink ref="B40" r:id="rId66" display="http://finance.yahoo.com/q?s=WIBMQ.X" xr:uid="{00000000-0004-0000-0400-000041000000}"/>
    <hyperlink ref="A41" r:id="rId67" display="http://finance.yahoo.com/q/op?s=IBM&amp;k=90.000000" xr:uid="{00000000-0004-0000-0400-000042000000}"/>
    <hyperlink ref="B41" r:id="rId68" display="http://finance.yahoo.com/q?s=WIBMR.X" xr:uid="{00000000-0004-0000-0400-000043000000}"/>
    <hyperlink ref="A42" r:id="rId69" display="http://finance.yahoo.com/q/op?s=IBM&amp;k=95.000000" xr:uid="{00000000-0004-0000-0400-000044000000}"/>
    <hyperlink ref="B42" r:id="rId70" display="http://finance.yahoo.com/q?s=WIBMS.X" xr:uid="{00000000-0004-0000-0400-000045000000}"/>
    <hyperlink ref="A43" r:id="rId71" display="http://finance.yahoo.com/q/op?s=IBM&amp;k=100.000000" xr:uid="{00000000-0004-0000-0400-000046000000}"/>
    <hyperlink ref="B43" r:id="rId72" display="http://finance.yahoo.com/q?s=WIBMT.X" xr:uid="{00000000-0004-0000-0400-000047000000}"/>
    <hyperlink ref="A44" r:id="rId73" display="http://finance.yahoo.com/q/op?s=IBM&amp;k=105.000000" xr:uid="{00000000-0004-0000-0400-000048000000}"/>
    <hyperlink ref="B44" r:id="rId74" display="http://finance.yahoo.com/q?s=WIBMA.X" xr:uid="{00000000-0004-0000-0400-000049000000}"/>
    <hyperlink ref="A45" r:id="rId75" display="http://finance.yahoo.com/q/op?s=IBM&amp;k=110.000000" xr:uid="{00000000-0004-0000-0400-00004A000000}"/>
    <hyperlink ref="B45" r:id="rId76" display="http://finance.yahoo.com/q?s=WIBMB.X" xr:uid="{00000000-0004-0000-0400-00004B000000}"/>
    <hyperlink ref="A46" r:id="rId77" display="http://finance.yahoo.com/q/op?s=IBM&amp;k=115.000000" xr:uid="{00000000-0004-0000-0400-00004C000000}"/>
    <hyperlink ref="B46" r:id="rId78" display="http://finance.yahoo.com/q?s=WIBMC.X" xr:uid="{00000000-0004-0000-0400-00004D000000}"/>
    <hyperlink ref="A47" r:id="rId79" display="http://finance.yahoo.com/q/op?s=IBM&amp;k=120.000000" xr:uid="{00000000-0004-0000-0400-00004E000000}"/>
    <hyperlink ref="B47" r:id="rId80" display="http://finance.yahoo.com/q?s=WIBMD.X" xr:uid="{00000000-0004-0000-0400-00004F000000}"/>
    <hyperlink ref="A48" r:id="rId81" display="http://finance.yahoo.com/q/op?s=IBM&amp;k=125.000000" xr:uid="{00000000-0004-0000-0400-000050000000}"/>
    <hyperlink ref="B48" r:id="rId82" display="http://finance.yahoo.com/q?s=WIBME.X" xr:uid="{00000000-0004-0000-0400-000051000000}"/>
    <hyperlink ref="A49" r:id="rId83" display="http://finance.yahoo.com/q/op?s=IBM&amp;k=130.000000" xr:uid="{00000000-0004-0000-0400-000052000000}"/>
    <hyperlink ref="B49" r:id="rId84" display="http://finance.yahoo.com/q?s=WIBMF.X" xr:uid="{00000000-0004-0000-0400-000053000000}"/>
    <hyperlink ref="A50" r:id="rId85" display="http://finance.yahoo.com/q/op?s=IBM&amp;k=135.000000" xr:uid="{00000000-0004-0000-0400-000054000000}"/>
    <hyperlink ref="B50" r:id="rId86" display="http://finance.yahoo.com/q?s=WIBMG.X" xr:uid="{00000000-0004-0000-0400-000055000000}"/>
    <hyperlink ref="A51" r:id="rId87" display="http://finance.yahoo.com/q/op?s=IBM&amp;k=140.000000" xr:uid="{00000000-0004-0000-0400-000056000000}"/>
    <hyperlink ref="B51" r:id="rId88" display="http://finance.yahoo.com/q?s=WIBMH.X" xr:uid="{00000000-0004-0000-0400-000057000000}"/>
    <hyperlink ref="A52" r:id="rId89" display="http://finance.yahoo.com/q/op?s=IBM&amp;k=145.000000" xr:uid="{00000000-0004-0000-0400-000058000000}"/>
    <hyperlink ref="B52" r:id="rId90" display="http://finance.yahoo.com/q?s=WIBMI.X" xr:uid="{00000000-0004-0000-0400-000059000000}"/>
    <hyperlink ref="A53" r:id="rId91" display="http://finance.yahoo.com/q/op?s=IBM&amp;k=150.000000" xr:uid="{00000000-0004-0000-0400-00005A000000}"/>
    <hyperlink ref="B53" r:id="rId92" display="http://finance.yahoo.com/q?s=WIBMJ.X" xr:uid="{00000000-0004-0000-0400-00005B000000}"/>
    <hyperlink ref="A54" r:id="rId93" display="http://finance.yahoo.com/q/op?s=IBM&amp;k=155.000000" xr:uid="{00000000-0004-0000-0400-00005C000000}"/>
    <hyperlink ref="B54" r:id="rId94" display="http://finance.yahoo.com/q?s=WIBMK.X" xr:uid="{00000000-0004-0000-0400-00005D000000}"/>
    <hyperlink ref="A55" r:id="rId95" display="http://finance.yahoo.com/q/op?s=IBM&amp;k=160.000000" xr:uid="{00000000-0004-0000-0400-00005E000000}"/>
    <hyperlink ref="B55" r:id="rId96" display="http://finance.yahoo.com/q?s=WIBMY.X" xr:uid="{00000000-0004-0000-0400-00005F000000}"/>
    <hyperlink ref="A56" r:id="rId97" display="http://finance.yahoo.com/q/op?s=IBM&amp;k=170.000000" xr:uid="{00000000-0004-0000-0400-000060000000}"/>
    <hyperlink ref="B56" r:id="rId98" display="http://finance.yahoo.com/q?s=WIBMZ.X" xr:uid="{00000000-0004-0000-0400-000061000000}"/>
    <hyperlink ref="A57" r:id="rId99" display="http://finance.yahoo.com/q/op?s=IBM&amp;k=190.000000" xr:uid="{00000000-0004-0000-0400-000062000000}"/>
    <hyperlink ref="B57" r:id="rId100" display="http://finance.yahoo.com/q?s=WIBMV.X" xr:uid="{00000000-0004-0000-0400-000063000000}"/>
    <hyperlink ref="A60" r:id="rId101" display="http://finance.yahoo.com/q/os?s=IBM&amp;m=2010-01-15" xr:uid="{00000000-0004-0000-0400-000064000000}"/>
  </hyperlinks>
  <pageMargins left="0.7" right="0.7" top="0.75" bottom="0.75" header="0.3" footer="0.3"/>
  <drawing r:id="rId1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0"/>
  <dimension ref="A1:H48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5"/>
  </cols>
  <sheetData>
    <row r="1" spans="1:8" ht="60">
      <c r="A1" s="6" t="s">
        <v>3</v>
      </c>
      <c r="B1" s="7" t="s">
        <v>173</v>
      </c>
    </row>
    <row r="2" spans="1:8">
      <c r="A2" s="8"/>
    </row>
    <row r="3" spans="1:8" ht="15">
      <c r="A3" s="9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9" t="s">
        <v>12</v>
      </c>
    </row>
    <row r="4" spans="1:8" ht="16">
      <c r="A4" s="10">
        <v>35</v>
      </c>
      <c r="B4" s="11" t="s">
        <v>174</v>
      </c>
      <c r="C4" s="12">
        <v>65.599999999999994</v>
      </c>
      <c r="D4" s="13">
        <v>0</v>
      </c>
      <c r="E4" s="14">
        <v>65.2</v>
      </c>
      <c r="F4" s="14">
        <v>66.8</v>
      </c>
      <c r="G4" s="14">
        <v>0</v>
      </c>
      <c r="H4" s="14">
        <v>16</v>
      </c>
    </row>
    <row r="5" spans="1:8" ht="16">
      <c r="A5" s="10">
        <v>40</v>
      </c>
      <c r="B5" s="11" t="s">
        <v>175</v>
      </c>
      <c r="C5" s="12">
        <v>59.4</v>
      </c>
      <c r="D5" s="13">
        <v>0</v>
      </c>
      <c r="E5" s="14">
        <v>60.3</v>
      </c>
      <c r="F5" s="14">
        <v>61.8</v>
      </c>
      <c r="G5" s="14">
        <v>0</v>
      </c>
      <c r="H5" s="14">
        <v>39</v>
      </c>
    </row>
    <row r="6" spans="1:8" ht="16">
      <c r="A6" s="10">
        <v>45</v>
      </c>
      <c r="B6" s="11" t="s">
        <v>176</v>
      </c>
      <c r="C6" s="12">
        <v>56</v>
      </c>
      <c r="D6" s="13">
        <v>0</v>
      </c>
      <c r="E6" s="14">
        <v>55.6</v>
      </c>
      <c r="F6" s="14">
        <v>56.8</v>
      </c>
      <c r="G6" s="14">
        <v>0</v>
      </c>
      <c r="H6" s="14">
        <v>5</v>
      </c>
    </row>
    <row r="7" spans="1:8" ht="16">
      <c r="A7" s="10">
        <v>50</v>
      </c>
      <c r="B7" s="11" t="s">
        <v>177</v>
      </c>
      <c r="C7" s="12">
        <v>50.8</v>
      </c>
      <c r="D7" s="15">
        <v>4.5999999999999996</v>
      </c>
      <c r="E7" s="14">
        <v>50.7</v>
      </c>
      <c r="F7" s="14">
        <v>52.2</v>
      </c>
      <c r="G7" s="14">
        <v>1</v>
      </c>
      <c r="H7" s="14">
        <v>205</v>
      </c>
    </row>
    <row r="8" spans="1:8" ht="16">
      <c r="A8" s="10">
        <v>55</v>
      </c>
      <c r="B8" s="11" t="s">
        <v>178</v>
      </c>
      <c r="C8" s="12">
        <v>47.1</v>
      </c>
      <c r="D8" s="13">
        <v>0</v>
      </c>
      <c r="E8" s="14">
        <v>46.8</v>
      </c>
      <c r="F8" s="14">
        <v>47.6</v>
      </c>
      <c r="G8" s="14">
        <v>10</v>
      </c>
      <c r="H8" s="14">
        <v>35</v>
      </c>
    </row>
    <row r="9" spans="1:8" ht="16">
      <c r="A9" s="10">
        <v>60</v>
      </c>
      <c r="B9" s="11" t="s">
        <v>179</v>
      </c>
      <c r="C9" s="12">
        <v>42.9</v>
      </c>
      <c r="D9" s="13">
        <v>0</v>
      </c>
      <c r="E9" s="14">
        <v>42</v>
      </c>
      <c r="F9" s="14">
        <v>43.3</v>
      </c>
      <c r="G9" s="14">
        <v>10</v>
      </c>
      <c r="H9" s="14">
        <v>153</v>
      </c>
    </row>
    <row r="10" spans="1:8" ht="16">
      <c r="A10" s="10">
        <v>65</v>
      </c>
      <c r="B10" s="11" t="s">
        <v>180</v>
      </c>
      <c r="C10" s="12">
        <v>38</v>
      </c>
      <c r="D10" s="13">
        <v>0</v>
      </c>
      <c r="E10" s="14">
        <v>37.9</v>
      </c>
      <c r="F10" s="14">
        <v>39.200000000000003</v>
      </c>
      <c r="G10" s="14">
        <v>40</v>
      </c>
      <c r="H10" s="14">
        <v>60</v>
      </c>
    </row>
    <row r="11" spans="1:8" ht="16">
      <c r="A11" s="10">
        <v>70</v>
      </c>
      <c r="B11" s="11" t="s">
        <v>181</v>
      </c>
      <c r="C11" s="12">
        <v>34.020000000000003</v>
      </c>
      <c r="D11" s="15">
        <v>2.2799999999999998</v>
      </c>
      <c r="E11" s="14">
        <v>34.200000000000003</v>
      </c>
      <c r="F11" s="14">
        <v>35.299999999999997</v>
      </c>
      <c r="G11" s="14">
        <v>1</v>
      </c>
      <c r="H11" s="14">
        <v>353</v>
      </c>
    </row>
    <row r="12" spans="1:8" ht="16">
      <c r="A12" s="10">
        <v>80</v>
      </c>
      <c r="B12" s="11" t="s">
        <v>182</v>
      </c>
      <c r="C12" s="12">
        <v>27</v>
      </c>
      <c r="D12" s="15">
        <v>2.9</v>
      </c>
      <c r="E12" s="14">
        <v>27.4</v>
      </c>
      <c r="F12" s="14">
        <v>28.2</v>
      </c>
      <c r="G12" s="14">
        <v>6</v>
      </c>
      <c r="H12" s="14">
        <v>231</v>
      </c>
    </row>
    <row r="13" spans="1:8" ht="16">
      <c r="A13" s="10">
        <v>85</v>
      </c>
      <c r="B13" s="11" t="s">
        <v>183</v>
      </c>
      <c r="C13" s="12">
        <v>24</v>
      </c>
      <c r="D13" s="15">
        <v>2.1</v>
      </c>
      <c r="E13" s="14">
        <v>24.1</v>
      </c>
      <c r="F13" s="14">
        <v>25</v>
      </c>
      <c r="G13" s="14">
        <v>1</v>
      </c>
      <c r="H13" s="14">
        <v>488</v>
      </c>
    </row>
    <row r="14" spans="1:8" ht="16">
      <c r="A14" s="10">
        <v>90</v>
      </c>
      <c r="B14" s="11" t="s">
        <v>184</v>
      </c>
      <c r="C14" s="12">
        <v>21.2</v>
      </c>
      <c r="D14" s="15">
        <v>1.52</v>
      </c>
      <c r="E14" s="14">
        <v>21.2</v>
      </c>
      <c r="F14" s="14">
        <v>21.9</v>
      </c>
      <c r="G14" s="14">
        <v>16</v>
      </c>
      <c r="H14" s="16">
        <v>1038</v>
      </c>
    </row>
    <row r="15" spans="1:8" ht="16">
      <c r="A15" s="10">
        <v>95</v>
      </c>
      <c r="B15" s="11" t="s">
        <v>185</v>
      </c>
      <c r="C15" s="12">
        <v>18.399999999999999</v>
      </c>
      <c r="D15" s="15">
        <v>1.4</v>
      </c>
      <c r="E15" s="14">
        <v>18.5</v>
      </c>
      <c r="F15" s="14">
        <v>19.2</v>
      </c>
      <c r="G15" s="14">
        <v>1</v>
      </c>
      <c r="H15" s="16">
        <v>1227</v>
      </c>
    </row>
    <row r="16" spans="1:8" ht="16">
      <c r="A16" s="10">
        <v>100</v>
      </c>
      <c r="B16" s="11" t="s">
        <v>186</v>
      </c>
      <c r="C16" s="12">
        <v>16.3</v>
      </c>
      <c r="D16" s="15">
        <v>0.4</v>
      </c>
      <c r="E16" s="14">
        <v>15.9</v>
      </c>
      <c r="F16" s="14">
        <v>16.600000000000001</v>
      </c>
      <c r="G16" s="14">
        <v>27</v>
      </c>
      <c r="H16" s="16">
        <v>2072</v>
      </c>
    </row>
    <row r="17" spans="1:8" ht="16">
      <c r="A17" s="10">
        <v>110</v>
      </c>
      <c r="B17" s="11" t="s">
        <v>187</v>
      </c>
      <c r="C17" s="12">
        <v>11.8</v>
      </c>
      <c r="D17" s="15">
        <v>0.6</v>
      </c>
      <c r="E17" s="14">
        <v>11.6</v>
      </c>
      <c r="F17" s="14">
        <v>12.2</v>
      </c>
      <c r="G17" s="14">
        <v>21</v>
      </c>
      <c r="H17" s="16">
        <v>1405</v>
      </c>
    </row>
    <row r="18" spans="1:8" ht="16">
      <c r="A18" s="10">
        <v>120</v>
      </c>
      <c r="B18" s="11" t="s">
        <v>188</v>
      </c>
      <c r="C18" s="12">
        <v>8.1999999999999993</v>
      </c>
      <c r="D18" s="15">
        <v>0.7</v>
      </c>
      <c r="E18" s="14">
        <v>8</v>
      </c>
      <c r="F18" s="14">
        <v>8.5</v>
      </c>
      <c r="G18" s="14">
        <v>7</v>
      </c>
      <c r="H18" s="14">
        <v>801</v>
      </c>
    </row>
    <row r="19" spans="1:8" ht="16">
      <c r="A19" s="10">
        <v>130</v>
      </c>
      <c r="B19" s="11" t="s">
        <v>189</v>
      </c>
      <c r="C19" s="12">
        <v>5.58</v>
      </c>
      <c r="D19" s="15">
        <v>0.42</v>
      </c>
      <c r="E19" s="14">
        <v>5.4</v>
      </c>
      <c r="F19" s="14">
        <v>5.9</v>
      </c>
      <c r="G19" s="14">
        <v>108</v>
      </c>
      <c r="H19" s="14">
        <v>653</v>
      </c>
    </row>
    <row r="20" spans="1:8" ht="16">
      <c r="A20" s="10">
        <v>140</v>
      </c>
      <c r="B20" s="11" t="s">
        <v>190</v>
      </c>
      <c r="C20" s="12">
        <v>3.7</v>
      </c>
      <c r="D20" s="15">
        <v>1.1000000000000001</v>
      </c>
      <c r="E20" s="14">
        <v>3.3</v>
      </c>
      <c r="F20" s="14">
        <v>4</v>
      </c>
      <c r="G20" s="14">
        <v>225</v>
      </c>
      <c r="H20" s="14">
        <v>904</v>
      </c>
    </row>
    <row r="21" spans="1:8" ht="16">
      <c r="A21" s="10">
        <v>150</v>
      </c>
      <c r="B21" s="11" t="s">
        <v>191</v>
      </c>
      <c r="C21" s="12">
        <v>3.4</v>
      </c>
      <c r="D21" s="13">
        <v>0</v>
      </c>
      <c r="E21" s="14">
        <v>2.15</v>
      </c>
      <c r="F21" s="14">
        <v>2.5</v>
      </c>
      <c r="G21" s="14">
        <v>3</v>
      </c>
      <c r="H21" s="14">
        <v>873</v>
      </c>
    </row>
    <row r="22" spans="1:8" ht="16">
      <c r="A22" s="10">
        <v>155</v>
      </c>
      <c r="B22" s="11" t="s">
        <v>192</v>
      </c>
      <c r="C22" s="12">
        <v>2.5</v>
      </c>
      <c r="D22" s="13">
        <v>0</v>
      </c>
      <c r="E22" s="14">
        <v>1.6</v>
      </c>
      <c r="F22" s="14">
        <v>2.0499999999999998</v>
      </c>
      <c r="G22" s="14">
        <v>0</v>
      </c>
      <c r="H22" s="14">
        <v>129</v>
      </c>
    </row>
    <row r="23" spans="1:8">
      <c r="A23" s="8"/>
    </row>
    <row r="24" spans="1:8" ht="60">
      <c r="A24" s="6" t="s">
        <v>28</v>
      </c>
      <c r="B24" s="7" t="s">
        <v>173</v>
      </c>
    </row>
    <row r="25" spans="1:8">
      <c r="A25" s="8"/>
    </row>
    <row r="26" spans="1:8" ht="15">
      <c r="A26" s="9" t="s">
        <v>5</v>
      </c>
      <c r="B26" s="9" t="s">
        <v>6</v>
      </c>
      <c r="C26" s="9" t="s">
        <v>7</v>
      </c>
      <c r="D26" s="9" t="s">
        <v>8</v>
      </c>
      <c r="E26" s="9" t="s">
        <v>9</v>
      </c>
      <c r="F26" s="9" t="s">
        <v>10</v>
      </c>
      <c r="G26" s="9" t="s">
        <v>11</v>
      </c>
      <c r="H26" s="9" t="s">
        <v>12</v>
      </c>
    </row>
    <row r="27" spans="1:8" ht="16">
      <c r="A27" s="10">
        <v>20</v>
      </c>
      <c r="B27" s="11" t="s">
        <v>193</v>
      </c>
      <c r="C27" s="12">
        <v>0.15</v>
      </c>
      <c r="D27" s="15">
        <v>0.05</v>
      </c>
      <c r="E27" s="14">
        <v>0.05</v>
      </c>
      <c r="F27" s="14">
        <v>0.15</v>
      </c>
      <c r="G27" s="14">
        <v>20</v>
      </c>
      <c r="H27" s="16">
        <v>1444</v>
      </c>
    </row>
    <row r="28" spans="1:8" ht="16">
      <c r="A28" s="10">
        <v>22.5</v>
      </c>
      <c r="B28" s="11" t="s">
        <v>194</v>
      </c>
      <c r="C28" s="12">
        <v>0.09</v>
      </c>
      <c r="D28" s="13">
        <v>0</v>
      </c>
      <c r="E28" s="14">
        <v>0.05</v>
      </c>
      <c r="F28" s="14">
        <v>0.2</v>
      </c>
      <c r="G28" s="14">
        <v>1</v>
      </c>
      <c r="H28" s="14">
        <v>300</v>
      </c>
    </row>
    <row r="29" spans="1:8" ht="16">
      <c r="A29" s="10">
        <v>25</v>
      </c>
      <c r="B29" s="11" t="s">
        <v>195</v>
      </c>
      <c r="C29" s="12">
        <v>0.15</v>
      </c>
      <c r="D29" s="13">
        <v>0</v>
      </c>
      <c r="E29" s="14">
        <v>0.15</v>
      </c>
      <c r="F29" s="14">
        <v>0.25</v>
      </c>
      <c r="G29" s="14">
        <v>50</v>
      </c>
      <c r="H29" s="14">
        <v>996</v>
      </c>
    </row>
    <row r="30" spans="1:8" ht="16">
      <c r="A30" s="10">
        <v>30</v>
      </c>
      <c r="B30" s="11" t="s">
        <v>196</v>
      </c>
      <c r="C30" s="12">
        <v>0.3</v>
      </c>
      <c r="D30" s="13">
        <v>0</v>
      </c>
      <c r="E30" s="14">
        <v>0.2</v>
      </c>
      <c r="F30" s="14">
        <v>0.4</v>
      </c>
      <c r="G30" s="14">
        <v>1</v>
      </c>
      <c r="H30" s="14">
        <v>871</v>
      </c>
    </row>
    <row r="31" spans="1:8" ht="16">
      <c r="A31" s="10">
        <v>35</v>
      </c>
      <c r="B31" s="11" t="s">
        <v>197</v>
      </c>
      <c r="C31" s="12">
        <v>0.54</v>
      </c>
      <c r="D31" s="13">
        <v>0</v>
      </c>
      <c r="E31" s="14">
        <v>0.45</v>
      </c>
      <c r="F31" s="14">
        <v>0.65</v>
      </c>
      <c r="G31" s="14">
        <v>1</v>
      </c>
      <c r="H31" s="14">
        <v>279</v>
      </c>
    </row>
    <row r="32" spans="1:8" ht="16">
      <c r="A32" s="10">
        <v>40</v>
      </c>
      <c r="B32" s="11" t="s">
        <v>198</v>
      </c>
      <c r="C32" s="12">
        <v>1.42</v>
      </c>
      <c r="D32" s="13">
        <v>0</v>
      </c>
      <c r="E32" s="14">
        <v>0.75</v>
      </c>
      <c r="F32" s="14">
        <v>1</v>
      </c>
      <c r="G32" s="14">
        <v>0</v>
      </c>
      <c r="H32" s="14">
        <v>348</v>
      </c>
    </row>
    <row r="33" spans="1:8" ht="16">
      <c r="A33" s="10">
        <v>45</v>
      </c>
      <c r="B33" s="11" t="s">
        <v>199</v>
      </c>
      <c r="C33" s="12">
        <v>1.55</v>
      </c>
      <c r="D33" s="13">
        <v>0</v>
      </c>
      <c r="E33" s="14">
        <v>1.1499999999999999</v>
      </c>
      <c r="F33" s="14">
        <v>1.45</v>
      </c>
      <c r="G33" s="14">
        <v>10</v>
      </c>
      <c r="H33" s="14">
        <v>522</v>
      </c>
    </row>
    <row r="34" spans="1:8" ht="16">
      <c r="A34" s="10">
        <v>50</v>
      </c>
      <c r="B34" s="11" t="s">
        <v>200</v>
      </c>
      <c r="C34" s="12">
        <v>1.7</v>
      </c>
      <c r="D34" s="13">
        <v>0</v>
      </c>
      <c r="E34" s="14">
        <v>1.7</v>
      </c>
      <c r="F34" s="14">
        <v>2</v>
      </c>
      <c r="G34" s="14">
        <v>6</v>
      </c>
      <c r="H34" s="14">
        <v>571</v>
      </c>
    </row>
    <row r="35" spans="1:8" ht="16">
      <c r="A35" s="10">
        <v>55</v>
      </c>
      <c r="B35" s="11" t="s">
        <v>201</v>
      </c>
      <c r="C35" s="12">
        <v>2.5499999999999998</v>
      </c>
      <c r="D35" s="15">
        <v>0.35</v>
      </c>
      <c r="E35" s="14">
        <v>2.4</v>
      </c>
      <c r="F35" s="14">
        <v>2.65</v>
      </c>
      <c r="G35" s="14">
        <v>11</v>
      </c>
      <c r="H35" s="14">
        <v>836</v>
      </c>
    </row>
    <row r="36" spans="1:8" ht="16">
      <c r="A36" s="10">
        <v>60</v>
      </c>
      <c r="B36" s="11" t="s">
        <v>202</v>
      </c>
      <c r="C36" s="12">
        <v>3.4</v>
      </c>
      <c r="D36" s="17">
        <v>0.3</v>
      </c>
      <c r="E36" s="14">
        <v>3.1</v>
      </c>
      <c r="F36" s="14">
        <v>3.6</v>
      </c>
      <c r="G36" s="14">
        <v>20</v>
      </c>
      <c r="H36" s="14">
        <v>437</v>
      </c>
    </row>
    <row r="37" spans="1:8" ht="16">
      <c r="A37" s="10">
        <v>65</v>
      </c>
      <c r="B37" s="11" t="s">
        <v>203</v>
      </c>
      <c r="C37" s="12">
        <v>4</v>
      </c>
      <c r="D37" s="13">
        <v>0</v>
      </c>
      <c r="E37" s="14">
        <v>4.0999999999999996</v>
      </c>
      <c r="F37" s="14">
        <v>4.4000000000000004</v>
      </c>
      <c r="G37" s="14">
        <v>92</v>
      </c>
      <c r="H37" s="14">
        <v>505</v>
      </c>
    </row>
    <row r="38" spans="1:8" ht="16">
      <c r="A38" s="10">
        <v>70</v>
      </c>
      <c r="B38" s="11" t="s">
        <v>204</v>
      </c>
      <c r="C38" s="12">
        <v>5.4</v>
      </c>
      <c r="D38" s="13">
        <v>0</v>
      </c>
      <c r="E38" s="14">
        <v>5.2</v>
      </c>
      <c r="F38" s="14">
        <v>5.6</v>
      </c>
      <c r="G38" s="14">
        <v>52</v>
      </c>
      <c r="H38" s="14">
        <v>432</v>
      </c>
    </row>
    <row r="39" spans="1:8" ht="16">
      <c r="A39" s="10">
        <v>80</v>
      </c>
      <c r="B39" s="11" t="s">
        <v>205</v>
      </c>
      <c r="C39" s="12">
        <v>8.3000000000000007</v>
      </c>
      <c r="D39" s="17">
        <v>0.45</v>
      </c>
      <c r="E39" s="14">
        <v>8</v>
      </c>
      <c r="F39" s="14">
        <v>8.4</v>
      </c>
      <c r="G39" s="14">
        <v>40</v>
      </c>
      <c r="H39" s="16">
        <v>1323</v>
      </c>
    </row>
    <row r="40" spans="1:8" ht="16">
      <c r="A40" s="10">
        <v>85</v>
      </c>
      <c r="B40" s="11" t="s">
        <v>206</v>
      </c>
      <c r="C40" s="12">
        <v>10.199999999999999</v>
      </c>
      <c r="D40" s="17">
        <v>0.3</v>
      </c>
      <c r="E40" s="14">
        <v>9.6999999999999993</v>
      </c>
      <c r="F40" s="14">
        <v>10.199999999999999</v>
      </c>
      <c r="G40" s="14">
        <v>1</v>
      </c>
      <c r="H40" s="14">
        <v>812</v>
      </c>
    </row>
    <row r="41" spans="1:8" ht="16">
      <c r="A41" s="10">
        <v>90</v>
      </c>
      <c r="B41" s="11" t="s">
        <v>207</v>
      </c>
      <c r="C41" s="12">
        <v>11.58</v>
      </c>
      <c r="D41" s="13">
        <v>0</v>
      </c>
      <c r="E41" s="14">
        <v>11.7</v>
      </c>
      <c r="F41" s="14">
        <v>12.5</v>
      </c>
      <c r="G41" s="14">
        <v>5</v>
      </c>
      <c r="H41" s="16">
        <v>1937</v>
      </c>
    </row>
    <row r="42" spans="1:8" ht="16">
      <c r="A42" s="10">
        <v>95</v>
      </c>
      <c r="B42" s="11" t="s">
        <v>208</v>
      </c>
      <c r="C42" s="12">
        <v>13.7</v>
      </c>
      <c r="D42" s="13">
        <v>0</v>
      </c>
      <c r="E42" s="14">
        <v>13.9</v>
      </c>
      <c r="F42" s="14">
        <v>14.5</v>
      </c>
      <c r="G42" s="14">
        <v>1</v>
      </c>
      <c r="H42" s="14">
        <v>829</v>
      </c>
    </row>
    <row r="43" spans="1:8" ht="16">
      <c r="A43" s="10">
        <v>100</v>
      </c>
      <c r="B43" s="11" t="s">
        <v>209</v>
      </c>
      <c r="C43" s="12">
        <v>16.7</v>
      </c>
      <c r="D43" s="17">
        <v>0.64</v>
      </c>
      <c r="E43" s="14">
        <v>16.3</v>
      </c>
      <c r="F43" s="14">
        <v>17.100000000000001</v>
      </c>
      <c r="G43" s="14">
        <v>10</v>
      </c>
      <c r="H43" s="16">
        <v>1224</v>
      </c>
    </row>
    <row r="44" spans="1:8" ht="16">
      <c r="A44" s="10">
        <v>110</v>
      </c>
      <c r="B44" s="11" t="s">
        <v>210</v>
      </c>
      <c r="C44" s="12">
        <v>21</v>
      </c>
      <c r="D44" s="13">
        <v>0</v>
      </c>
      <c r="E44" s="14">
        <v>21.7</v>
      </c>
      <c r="F44" s="14">
        <v>22.5</v>
      </c>
      <c r="G44" s="14">
        <v>1</v>
      </c>
      <c r="H44" s="14">
        <v>915</v>
      </c>
    </row>
    <row r="45" spans="1:8" ht="16">
      <c r="A45" s="10">
        <v>120</v>
      </c>
      <c r="B45" s="11" t="s">
        <v>211</v>
      </c>
      <c r="C45" s="12">
        <v>26.4</v>
      </c>
      <c r="D45" s="13">
        <v>0</v>
      </c>
      <c r="E45" s="14">
        <v>28.1</v>
      </c>
      <c r="F45" s="14">
        <v>28.8</v>
      </c>
      <c r="G45" s="14">
        <v>1</v>
      </c>
      <c r="H45" s="14">
        <v>164</v>
      </c>
    </row>
    <row r="46" spans="1:8" ht="16">
      <c r="A46" s="10">
        <v>130</v>
      </c>
      <c r="B46" s="11" t="s">
        <v>212</v>
      </c>
      <c r="C46" s="12">
        <v>35.700000000000003</v>
      </c>
      <c r="D46" s="17">
        <v>2.5</v>
      </c>
      <c r="E46" s="14">
        <v>35.299999999999997</v>
      </c>
      <c r="F46" s="14">
        <v>35.9</v>
      </c>
      <c r="G46" s="14">
        <v>1</v>
      </c>
      <c r="H46" s="14">
        <v>245</v>
      </c>
    </row>
    <row r="47" spans="1:8" ht="16">
      <c r="A47" s="10">
        <v>140</v>
      </c>
      <c r="B47" s="11" t="s">
        <v>213</v>
      </c>
      <c r="C47" s="12">
        <v>42.7</v>
      </c>
      <c r="D47" s="13">
        <v>0</v>
      </c>
      <c r="E47" s="14">
        <v>43.2</v>
      </c>
      <c r="F47" s="14">
        <v>43.7</v>
      </c>
      <c r="G47" s="14">
        <v>2</v>
      </c>
      <c r="H47" s="14">
        <v>382</v>
      </c>
    </row>
    <row r="48" spans="1:8" ht="16">
      <c r="A48" s="10">
        <v>150</v>
      </c>
      <c r="B48" s="11" t="s">
        <v>214</v>
      </c>
      <c r="C48" s="12">
        <v>54.2</v>
      </c>
      <c r="D48" s="13">
        <v>0</v>
      </c>
      <c r="E48" s="14">
        <v>51.6</v>
      </c>
      <c r="F48" s="14">
        <v>53</v>
      </c>
      <c r="G48" s="14">
        <v>7</v>
      </c>
      <c r="H48" s="14">
        <v>230</v>
      </c>
    </row>
  </sheetData>
  <phoneticPr fontId="14" type="noConversion"/>
  <hyperlinks>
    <hyperlink ref="A4" r:id="rId1" display="http://finance.yahoo.com/q/op?s=IBM&amp;k=35.000000" xr:uid="{00000000-0004-0000-0500-000000000000}"/>
    <hyperlink ref="B4" r:id="rId2" display="http://finance.yahoo.com/q?s=VIBAG.X" xr:uid="{00000000-0004-0000-0500-000001000000}"/>
    <hyperlink ref="A5" r:id="rId3" display="http://finance.yahoo.com/q/op?s=IBM&amp;k=40.000000" xr:uid="{00000000-0004-0000-0500-000002000000}"/>
    <hyperlink ref="B5" r:id="rId4" display="http://finance.yahoo.com/q?s=VIBAW.X" xr:uid="{00000000-0004-0000-0500-000003000000}"/>
    <hyperlink ref="A6" r:id="rId5" display="http://finance.yahoo.com/q/op?s=IBM&amp;k=45.000000" xr:uid="{00000000-0004-0000-0500-000004000000}"/>
    <hyperlink ref="B6" r:id="rId6" display="http://finance.yahoo.com/q?s=VIBAI.X" xr:uid="{00000000-0004-0000-0500-000005000000}"/>
    <hyperlink ref="A7" r:id="rId7" display="http://finance.yahoo.com/q/op?s=IBM&amp;k=50.000000" xr:uid="{00000000-0004-0000-0500-000006000000}"/>
    <hyperlink ref="B7" r:id="rId8" display="http://finance.yahoo.com/q?s=VIBAZ.X" xr:uid="{00000000-0004-0000-0500-000007000000}"/>
    <hyperlink ref="A8" r:id="rId9" display="http://finance.yahoo.com/q/op?s=IBM&amp;k=55.000000" xr:uid="{00000000-0004-0000-0500-000008000000}"/>
    <hyperlink ref="B8" r:id="rId10" display="http://finance.yahoo.com/q?s=VIBAK.X" xr:uid="{00000000-0004-0000-0500-000009000000}"/>
    <hyperlink ref="A9" r:id="rId11" display="http://finance.yahoo.com/q/op?s=IBM&amp;k=60.000000" xr:uid="{00000000-0004-0000-0500-00000A000000}"/>
    <hyperlink ref="B9" r:id="rId12" display="http://finance.yahoo.com/q?s=VIBAL.X" xr:uid="{00000000-0004-0000-0500-00000B000000}"/>
    <hyperlink ref="A10" r:id="rId13" display="http://finance.yahoo.com/q/op?s=IBM&amp;k=65.000000" xr:uid="{00000000-0004-0000-0500-00000C000000}"/>
    <hyperlink ref="B10" r:id="rId14" display="http://finance.yahoo.com/q?s=VIBAM.X" xr:uid="{00000000-0004-0000-0500-00000D000000}"/>
    <hyperlink ref="A11" r:id="rId15" display="http://finance.yahoo.com/q/op?s=IBM&amp;k=70.000000" xr:uid="{00000000-0004-0000-0500-00000E000000}"/>
    <hyperlink ref="B11" r:id="rId16" display="http://finance.yahoo.com/q?s=VIBAN.X" xr:uid="{00000000-0004-0000-0500-00000F000000}"/>
    <hyperlink ref="A12" r:id="rId17" display="http://finance.yahoo.com/q/op?s=IBM&amp;k=80.000000" xr:uid="{00000000-0004-0000-0500-000010000000}"/>
    <hyperlink ref="B12" r:id="rId18" display="http://finance.yahoo.com/q?s=VIBAP.X" xr:uid="{00000000-0004-0000-0500-000011000000}"/>
    <hyperlink ref="A13" r:id="rId19" display="http://finance.yahoo.com/q/op?s=IBM&amp;k=85.000000" xr:uid="{00000000-0004-0000-0500-000012000000}"/>
    <hyperlink ref="B13" r:id="rId20" display="http://finance.yahoo.com/q?s=VIBAQ.X" xr:uid="{00000000-0004-0000-0500-000013000000}"/>
    <hyperlink ref="A14" r:id="rId21" display="http://finance.yahoo.com/q/op?s=IBM&amp;k=90.000000" xr:uid="{00000000-0004-0000-0500-000014000000}"/>
    <hyperlink ref="B14" r:id="rId22" display="http://finance.yahoo.com/q?s=VIBAR.X" xr:uid="{00000000-0004-0000-0500-000015000000}"/>
    <hyperlink ref="A15" r:id="rId23" display="http://finance.yahoo.com/q/op?s=IBM&amp;k=95.000000" xr:uid="{00000000-0004-0000-0500-000016000000}"/>
    <hyperlink ref="B15" r:id="rId24" display="http://finance.yahoo.com/q?s=VIBAS.X" xr:uid="{00000000-0004-0000-0500-000017000000}"/>
    <hyperlink ref="A16" r:id="rId25" display="http://finance.yahoo.com/q/op?s=IBM&amp;k=100.000000" xr:uid="{00000000-0004-0000-0500-000018000000}"/>
    <hyperlink ref="B16" r:id="rId26" display="http://finance.yahoo.com/q?s=XBYAT.X" xr:uid="{00000000-0004-0000-0500-000019000000}"/>
    <hyperlink ref="A17" r:id="rId27" display="http://finance.yahoo.com/q/op?s=IBM&amp;k=110.000000" xr:uid="{00000000-0004-0000-0500-00001A000000}"/>
    <hyperlink ref="B17" r:id="rId28" display="http://finance.yahoo.com/q?s=XBYAB.X" xr:uid="{00000000-0004-0000-0500-00001B000000}"/>
    <hyperlink ref="A18" r:id="rId29" display="http://finance.yahoo.com/q/op?s=IBM&amp;k=120.000000" xr:uid="{00000000-0004-0000-0500-00001C000000}"/>
    <hyperlink ref="B18" r:id="rId30" display="http://finance.yahoo.com/q?s=XBYAD.X" xr:uid="{00000000-0004-0000-0500-00001D000000}"/>
    <hyperlink ref="A19" r:id="rId31" display="http://finance.yahoo.com/q/op?s=IBM&amp;k=130.000000" xr:uid="{00000000-0004-0000-0500-00001E000000}"/>
    <hyperlink ref="B19" r:id="rId32" display="http://finance.yahoo.com/q?s=XBYAF.X" xr:uid="{00000000-0004-0000-0500-00001F000000}"/>
    <hyperlink ref="A20" r:id="rId33" display="http://finance.yahoo.com/q/op?s=IBM&amp;k=140.000000" xr:uid="{00000000-0004-0000-0500-000020000000}"/>
    <hyperlink ref="B20" r:id="rId34" display="http://finance.yahoo.com/q?s=XBYAH.X" xr:uid="{00000000-0004-0000-0500-000021000000}"/>
    <hyperlink ref="A21" r:id="rId35" display="http://finance.yahoo.com/q/op?s=IBM&amp;k=150.000000" xr:uid="{00000000-0004-0000-0500-000022000000}"/>
    <hyperlink ref="B21" r:id="rId36" display="http://finance.yahoo.com/q?s=XBYAJ.X" xr:uid="{00000000-0004-0000-0500-000023000000}"/>
    <hyperlink ref="A22" r:id="rId37" display="http://finance.yahoo.com/q/op?s=IBM&amp;k=155.000000" xr:uid="{00000000-0004-0000-0500-000024000000}"/>
    <hyperlink ref="B22" r:id="rId38" display="http://finance.yahoo.com/q?s=XBYAK.X" xr:uid="{00000000-0004-0000-0500-000025000000}"/>
    <hyperlink ref="A27" r:id="rId39" display="http://finance.yahoo.com/q/op?s=IBM&amp;k=20.000000" xr:uid="{00000000-0004-0000-0500-000026000000}"/>
    <hyperlink ref="B27" r:id="rId40" display="http://finance.yahoo.com/q?s=VIBMU.X" xr:uid="{00000000-0004-0000-0500-000027000000}"/>
    <hyperlink ref="A28" r:id="rId41" display="http://finance.yahoo.com/q/op?s=IBM&amp;k=22.500000" xr:uid="{00000000-0004-0000-0500-000028000000}"/>
    <hyperlink ref="B28" r:id="rId42" display="http://finance.yahoo.com/q?s=VIBMX.X" xr:uid="{00000000-0004-0000-0500-000029000000}"/>
    <hyperlink ref="A29" r:id="rId43" display="http://finance.yahoo.com/q/op?s=IBM&amp;k=25.000000" xr:uid="{00000000-0004-0000-0500-00002A000000}"/>
    <hyperlink ref="B29" r:id="rId44" display="http://finance.yahoo.com/q?s=VIBME.X" xr:uid="{00000000-0004-0000-0500-00002B000000}"/>
    <hyperlink ref="A30" r:id="rId45" display="http://finance.yahoo.com/q/op?s=IBM&amp;k=30.000000" xr:uid="{00000000-0004-0000-0500-00002C000000}"/>
    <hyperlink ref="B30" r:id="rId46" display="http://finance.yahoo.com/q?s=VIBMV.X" xr:uid="{00000000-0004-0000-0500-00002D000000}"/>
    <hyperlink ref="A31" r:id="rId47" display="http://finance.yahoo.com/q/op?s=IBM&amp;k=35.000000" xr:uid="{00000000-0004-0000-0500-00002E000000}"/>
    <hyperlink ref="B31" r:id="rId48" display="http://finance.yahoo.com/q?s=VIBMG.X" xr:uid="{00000000-0004-0000-0500-00002F000000}"/>
    <hyperlink ref="A32" r:id="rId49" display="http://finance.yahoo.com/q/op?s=IBM&amp;k=40.000000" xr:uid="{00000000-0004-0000-0500-000030000000}"/>
    <hyperlink ref="B32" r:id="rId50" display="http://finance.yahoo.com/q?s=VIBMW.X" xr:uid="{00000000-0004-0000-0500-000031000000}"/>
    <hyperlink ref="A33" r:id="rId51" display="http://finance.yahoo.com/q/op?s=IBM&amp;k=45.000000" xr:uid="{00000000-0004-0000-0500-000032000000}"/>
    <hyperlink ref="B33" r:id="rId52" display="http://finance.yahoo.com/q?s=VIBMI.X" xr:uid="{00000000-0004-0000-0500-000033000000}"/>
    <hyperlink ref="A34" r:id="rId53" display="http://finance.yahoo.com/q/op?s=IBM&amp;k=50.000000" xr:uid="{00000000-0004-0000-0500-000034000000}"/>
    <hyperlink ref="B34" r:id="rId54" display="http://finance.yahoo.com/q?s=VIBMZ.X" xr:uid="{00000000-0004-0000-0500-000035000000}"/>
    <hyperlink ref="A35" r:id="rId55" display="http://finance.yahoo.com/q/op?s=IBM&amp;k=55.000000" xr:uid="{00000000-0004-0000-0500-000036000000}"/>
    <hyperlink ref="B35" r:id="rId56" display="http://finance.yahoo.com/q?s=VIBMK.X" xr:uid="{00000000-0004-0000-0500-000037000000}"/>
    <hyperlink ref="A36" r:id="rId57" display="http://finance.yahoo.com/q/op?s=IBM&amp;k=60.000000" xr:uid="{00000000-0004-0000-0500-000038000000}"/>
    <hyperlink ref="B36" r:id="rId58" display="http://finance.yahoo.com/q?s=VIBML.X" xr:uid="{00000000-0004-0000-0500-000039000000}"/>
    <hyperlink ref="A37" r:id="rId59" display="http://finance.yahoo.com/q/op?s=IBM&amp;k=65.000000" xr:uid="{00000000-0004-0000-0500-00003A000000}"/>
    <hyperlink ref="B37" r:id="rId60" display="http://finance.yahoo.com/q?s=VIBMM.X" xr:uid="{00000000-0004-0000-0500-00003B000000}"/>
    <hyperlink ref="A38" r:id="rId61" display="http://finance.yahoo.com/q/op?s=IBM&amp;k=70.000000" xr:uid="{00000000-0004-0000-0500-00003C000000}"/>
    <hyperlink ref="B38" r:id="rId62" display="http://finance.yahoo.com/q?s=VIBMN.X" xr:uid="{00000000-0004-0000-0500-00003D000000}"/>
    <hyperlink ref="A39" r:id="rId63" display="http://finance.yahoo.com/q/op?s=IBM&amp;k=80.000000" xr:uid="{00000000-0004-0000-0500-00003E000000}"/>
    <hyperlink ref="B39" r:id="rId64" display="http://finance.yahoo.com/q?s=VIBMP.X" xr:uid="{00000000-0004-0000-0500-00003F000000}"/>
    <hyperlink ref="A40" r:id="rId65" display="http://finance.yahoo.com/q/op?s=IBM&amp;k=85.000000" xr:uid="{00000000-0004-0000-0500-000040000000}"/>
    <hyperlink ref="B40" r:id="rId66" display="http://finance.yahoo.com/q?s=VIBMQ.X" xr:uid="{00000000-0004-0000-0500-000041000000}"/>
    <hyperlink ref="A41" r:id="rId67" display="http://finance.yahoo.com/q/op?s=IBM&amp;k=90.000000" xr:uid="{00000000-0004-0000-0500-000042000000}"/>
    <hyperlink ref="B41" r:id="rId68" display="http://finance.yahoo.com/q?s=VIBMR.X" xr:uid="{00000000-0004-0000-0500-000043000000}"/>
    <hyperlink ref="A42" r:id="rId69" display="http://finance.yahoo.com/q/op?s=IBM&amp;k=95.000000" xr:uid="{00000000-0004-0000-0500-000044000000}"/>
    <hyperlink ref="B42" r:id="rId70" display="http://finance.yahoo.com/q?s=VIBMS.X" xr:uid="{00000000-0004-0000-0500-000045000000}"/>
    <hyperlink ref="A43" r:id="rId71" display="http://finance.yahoo.com/q/op?s=IBM&amp;k=100.000000" xr:uid="{00000000-0004-0000-0500-000046000000}"/>
    <hyperlink ref="B43" r:id="rId72" display="http://finance.yahoo.com/q?s=XBYMT.X" xr:uid="{00000000-0004-0000-0500-000047000000}"/>
    <hyperlink ref="A44" r:id="rId73" display="http://finance.yahoo.com/q/op?s=IBM&amp;k=110.000000" xr:uid="{00000000-0004-0000-0500-000048000000}"/>
    <hyperlink ref="B44" r:id="rId74" display="http://finance.yahoo.com/q?s=XBYMB.X" xr:uid="{00000000-0004-0000-0500-000049000000}"/>
    <hyperlink ref="A45" r:id="rId75" display="http://finance.yahoo.com/q/op?s=IBM&amp;k=120.000000" xr:uid="{00000000-0004-0000-0500-00004A000000}"/>
    <hyperlink ref="B45" r:id="rId76" display="http://finance.yahoo.com/q?s=XBYMD.X" xr:uid="{00000000-0004-0000-0500-00004B000000}"/>
    <hyperlink ref="A46" r:id="rId77" display="http://finance.yahoo.com/q/op?s=IBM&amp;k=130.000000" xr:uid="{00000000-0004-0000-0500-00004C000000}"/>
    <hyperlink ref="B46" r:id="rId78" display="http://finance.yahoo.com/q?s=XBYMF.X" xr:uid="{00000000-0004-0000-0500-00004D000000}"/>
    <hyperlink ref="A47" r:id="rId79" display="http://finance.yahoo.com/q/op?s=IBM&amp;k=140.000000" xr:uid="{00000000-0004-0000-0500-00004E000000}"/>
    <hyperlink ref="B47" r:id="rId80" display="http://finance.yahoo.com/q?s=XBYMH.X" xr:uid="{00000000-0004-0000-0500-00004F000000}"/>
    <hyperlink ref="A48" r:id="rId81" display="http://finance.yahoo.com/q/op?s=IBM&amp;k=150.000000" xr:uid="{00000000-0004-0000-0500-000050000000}"/>
    <hyperlink ref="B48" r:id="rId82" display="http://finance.yahoo.com/q?s=XBYMJ.X" xr:uid="{00000000-0004-0000-0500-000051000000}"/>
  </hyperlinks>
  <pageMargins left="0.7" right="0.7" top="0.75" bottom="0.75" header="0.3" footer="0.3"/>
  <drawing r:id="rId8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/>
  <dimension ref="A1:B117"/>
  <sheetViews>
    <sheetView workbookViewId="0">
      <selection activeCell="C16" sqref="C16"/>
    </sheetView>
  </sheetViews>
  <sheetFormatPr baseColWidth="10" defaultColWidth="8.83203125" defaultRowHeight="13"/>
  <cols>
    <col min="1" max="1" width="11.5" customWidth="1"/>
  </cols>
  <sheetData>
    <row r="1" spans="1:2" ht="18">
      <c r="A1" s="1" t="s">
        <v>1</v>
      </c>
    </row>
    <row r="2" spans="1:2" s="4" customFormat="1" ht="28">
      <c r="A2" s="4" t="s">
        <v>0</v>
      </c>
      <c r="B2" s="3" t="s">
        <v>2</v>
      </c>
    </row>
    <row r="3" spans="1:2">
      <c r="A3" s="20">
        <v>42334</v>
      </c>
      <c r="B3" s="2">
        <v>35.5</v>
      </c>
    </row>
    <row r="4" spans="1:2">
      <c r="A4" s="20">
        <v>42333</v>
      </c>
      <c r="B4" s="2">
        <v>35.74</v>
      </c>
    </row>
    <row r="5" spans="1:2">
      <c r="A5" s="20">
        <v>42332</v>
      </c>
      <c r="B5" s="2">
        <v>35.65</v>
      </c>
    </row>
    <row r="6" spans="1:2">
      <c r="A6" s="20">
        <v>42329</v>
      </c>
      <c r="B6" s="2">
        <v>35.18</v>
      </c>
    </row>
    <row r="7" spans="1:2">
      <c r="A7" s="20">
        <v>42328</v>
      </c>
      <c r="B7" s="2">
        <v>34.9</v>
      </c>
    </row>
    <row r="8" spans="1:2">
      <c r="A8" s="20">
        <v>42327</v>
      </c>
      <c r="B8" s="2">
        <v>35.04</v>
      </c>
    </row>
    <row r="9" spans="1:2">
      <c r="A9" s="20">
        <v>42326</v>
      </c>
      <c r="B9" s="2">
        <v>34.880000000000003</v>
      </c>
    </row>
    <row r="10" spans="1:2">
      <c r="A10" s="20">
        <v>42325</v>
      </c>
      <c r="B10" s="2">
        <v>35.1</v>
      </c>
    </row>
    <row r="11" spans="1:2">
      <c r="A11" s="20">
        <v>42322</v>
      </c>
      <c r="B11" s="2">
        <v>35.14</v>
      </c>
    </row>
    <row r="12" spans="1:2">
      <c r="A12" s="20">
        <v>42321</v>
      </c>
      <c r="B12" s="2">
        <v>35.08</v>
      </c>
    </row>
    <row r="13" spans="1:2">
      <c r="A13" s="20">
        <v>42320</v>
      </c>
      <c r="B13" s="2">
        <v>34.94</v>
      </c>
    </row>
    <row r="14" spans="1:2">
      <c r="A14" s="20">
        <v>42319</v>
      </c>
      <c r="B14" s="2">
        <v>34.799999999999997</v>
      </c>
    </row>
    <row r="15" spans="1:2">
      <c r="A15" s="20">
        <v>42318</v>
      </c>
      <c r="B15" s="2">
        <v>34.75</v>
      </c>
    </row>
    <row r="16" spans="1:2">
      <c r="A16" s="20">
        <v>42315</v>
      </c>
      <c r="B16" s="2">
        <v>34.93</v>
      </c>
    </row>
    <row r="17" spans="1:2">
      <c r="A17" s="20">
        <v>42314</v>
      </c>
      <c r="B17" s="2">
        <v>34.25</v>
      </c>
    </row>
    <row r="18" spans="1:2">
      <c r="A18" s="20">
        <v>42313</v>
      </c>
      <c r="B18" s="2">
        <v>34.36</v>
      </c>
    </row>
    <row r="19" spans="1:2">
      <c r="A19" s="20">
        <v>42312</v>
      </c>
      <c r="B19" s="2">
        <v>34.36</v>
      </c>
    </row>
    <row r="20" spans="1:2">
      <c r="A20" s="20">
        <v>42311</v>
      </c>
      <c r="B20" s="2">
        <v>34.65</v>
      </c>
    </row>
    <row r="21" spans="1:2">
      <c r="A21" s="20">
        <v>42308</v>
      </c>
      <c r="B21" s="2">
        <v>32.9</v>
      </c>
    </row>
    <row r="22" spans="1:2">
      <c r="A22" s="20">
        <v>42307</v>
      </c>
      <c r="B22" s="2">
        <v>33.15</v>
      </c>
    </row>
    <row r="23" spans="1:2">
      <c r="A23" s="20">
        <v>42306</v>
      </c>
      <c r="B23" s="2">
        <v>33.18</v>
      </c>
    </row>
    <row r="24" spans="1:2">
      <c r="A24" s="20">
        <v>42305</v>
      </c>
      <c r="B24" s="2">
        <v>33.31</v>
      </c>
    </row>
    <row r="25" spans="1:2">
      <c r="A25" s="20">
        <v>42304</v>
      </c>
      <c r="B25" s="2">
        <v>33.31</v>
      </c>
    </row>
    <row r="26" spans="1:2">
      <c r="A26" s="20">
        <v>42301</v>
      </c>
      <c r="B26" s="2">
        <v>33.4</v>
      </c>
    </row>
    <row r="27" spans="1:2">
      <c r="A27" s="20">
        <v>42300</v>
      </c>
      <c r="B27" s="2">
        <v>33.46</v>
      </c>
    </row>
    <row r="28" spans="1:2">
      <c r="A28" s="20">
        <v>42299</v>
      </c>
      <c r="B28" s="2">
        <v>33.49</v>
      </c>
    </row>
    <row r="29" spans="1:2">
      <c r="A29" s="20">
        <v>42298</v>
      </c>
      <c r="B29" s="2">
        <v>34.07</v>
      </c>
    </row>
    <row r="30" spans="1:2">
      <c r="A30" s="20">
        <v>42297</v>
      </c>
      <c r="B30" s="2">
        <v>33.76</v>
      </c>
    </row>
    <row r="31" spans="1:2">
      <c r="A31" s="20">
        <v>42294</v>
      </c>
      <c r="B31" s="2">
        <v>33.5</v>
      </c>
    </row>
    <row r="32" spans="1:2">
      <c r="A32" s="20">
        <v>42293</v>
      </c>
      <c r="B32" s="2">
        <v>33.76</v>
      </c>
    </row>
    <row r="33" spans="1:2">
      <c r="A33" s="20">
        <v>42292</v>
      </c>
      <c r="B33" s="2">
        <v>33.78</v>
      </c>
    </row>
    <row r="34" spans="1:2">
      <c r="A34" s="20">
        <v>42291</v>
      </c>
      <c r="B34" s="2">
        <v>33.64</v>
      </c>
    </row>
    <row r="35" spans="1:2">
      <c r="A35" s="20">
        <v>42290</v>
      </c>
      <c r="B35" s="2">
        <v>33.83</v>
      </c>
    </row>
    <row r="36" spans="1:2">
      <c r="A36" s="20">
        <v>42287</v>
      </c>
      <c r="B36" s="2">
        <v>33.46</v>
      </c>
    </row>
    <row r="37" spans="1:2">
      <c r="A37" s="20">
        <v>42286</v>
      </c>
      <c r="B37" s="2">
        <v>33.520000000000003</v>
      </c>
    </row>
    <row r="38" spans="1:2">
      <c r="A38" s="20">
        <v>42285</v>
      </c>
      <c r="B38" s="2">
        <v>33.700000000000003</v>
      </c>
    </row>
    <row r="39" spans="1:2">
      <c r="A39" s="20">
        <v>42284</v>
      </c>
      <c r="B39" s="2">
        <v>33.76</v>
      </c>
    </row>
    <row r="40" spans="1:2">
      <c r="A40" s="20">
        <v>42283</v>
      </c>
      <c r="B40" s="2">
        <v>33.71</v>
      </c>
    </row>
    <row r="41" spans="1:2">
      <c r="A41" s="20">
        <v>42280</v>
      </c>
      <c r="B41" s="2">
        <v>33.770000000000003</v>
      </c>
    </row>
    <row r="42" spans="1:2">
      <c r="A42" s="20">
        <v>42279</v>
      </c>
      <c r="B42" s="2">
        <v>33.47</v>
      </c>
    </row>
    <row r="43" spans="1:2">
      <c r="A43" s="20">
        <v>42278</v>
      </c>
      <c r="B43" s="2">
        <v>33.6</v>
      </c>
    </row>
    <row r="44" spans="1:2">
      <c r="A44" s="20">
        <v>42277</v>
      </c>
      <c r="B44" s="2">
        <v>33.11</v>
      </c>
    </row>
    <row r="45" spans="1:2">
      <c r="A45" s="20">
        <v>42276</v>
      </c>
      <c r="B45" s="2">
        <v>32.69</v>
      </c>
    </row>
    <row r="46" spans="1:2">
      <c r="A46" s="20">
        <v>42273</v>
      </c>
      <c r="B46" s="2">
        <v>32.840000000000003</v>
      </c>
    </row>
    <row r="47" spans="1:2">
      <c r="A47" s="20">
        <v>42272</v>
      </c>
      <c r="B47" s="2">
        <v>32.96</v>
      </c>
    </row>
    <row r="48" spans="1:2">
      <c r="A48" s="20">
        <v>42271</v>
      </c>
      <c r="B48" s="2">
        <v>32.83</v>
      </c>
    </row>
    <row r="49" spans="1:2">
      <c r="A49" s="20">
        <v>42270</v>
      </c>
      <c r="B49" s="2">
        <v>33.159999999999997</v>
      </c>
    </row>
    <row r="50" spans="1:2">
      <c r="A50" s="20">
        <v>42269</v>
      </c>
      <c r="B50" s="2">
        <v>33.299999999999997</v>
      </c>
    </row>
    <row r="51" spans="1:2">
      <c r="A51" s="20">
        <v>42266</v>
      </c>
      <c r="B51" s="2">
        <v>33.090000000000003</v>
      </c>
    </row>
    <row r="52" spans="1:2">
      <c r="A52" s="20">
        <v>42265</v>
      </c>
      <c r="B52" s="2">
        <v>33.67</v>
      </c>
    </row>
    <row r="53" spans="1:2">
      <c r="A53" s="20">
        <v>42264</v>
      </c>
      <c r="B53" s="2">
        <v>33.11</v>
      </c>
    </row>
    <row r="54" spans="1:2">
      <c r="A54" s="20">
        <v>42263</v>
      </c>
      <c r="B54" s="2">
        <v>33.61</v>
      </c>
    </row>
    <row r="55" spans="1:2">
      <c r="A55" s="20">
        <v>42262</v>
      </c>
      <c r="B55" s="2">
        <v>33.409999999999997</v>
      </c>
    </row>
    <row r="56" spans="1:2">
      <c r="A56" s="20">
        <v>42259</v>
      </c>
      <c r="B56" s="2">
        <v>33.11</v>
      </c>
    </row>
    <row r="57" spans="1:2">
      <c r="A57" s="20">
        <v>42258</v>
      </c>
      <c r="B57" s="2">
        <v>33.21</v>
      </c>
    </row>
    <row r="58" spans="1:2">
      <c r="A58" s="20">
        <v>42257</v>
      </c>
      <c r="B58" s="2">
        <v>33.200000000000003</v>
      </c>
    </row>
    <row r="59" spans="1:2">
      <c r="A59" s="20">
        <v>42256</v>
      </c>
      <c r="B59" s="2">
        <v>33.020000000000003</v>
      </c>
    </row>
    <row r="60" spans="1:2">
      <c r="A60" s="20">
        <v>42255</v>
      </c>
      <c r="B60" s="2">
        <v>32.96</v>
      </c>
    </row>
    <row r="61" spans="1:2">
      <c r="A61" s="20">
        <v>42252</v>
      </c>
      <c r="B61" s="2">
        <v>32.96</v>
      </c>
    </row>
    <row r="62" spans="1:2">
      <c r="A62" s="20">
        <v>42251</v>
      </c>
      <c r="B62" s="2">
        <v>33.06</v>
      </c>
    </row>
    <row r="63" spans="1:2">
      <c r="A63" s="20">
        <v>42250</v>
      </c>
      <c r="B63" s="2">
        <v>33.1</v>
      </c>
    </row>
    <row r="64" spans="1:2">
      <c r="A64" s="20">
        <v>42249</v>
      </c>
      <c r="B64" s="2">
        <v>33.47</v>
      </c>
    </row>
    <row r="65" spans="1:2">
      <c r="A65" s="20">
        <v>42245</v>
      </c>
      <c r="B65" s="2">
        <v>33.29</v>
      </c>
    </row>
    <row r="66" spans="1:2">
      <c r="A66" s="20">
        <v>42244</v>
      </c>
      <c r="B66" s="2">
        <v>33.200000000000003</v>
      </c>
    </row>
    <row r="67" spans="1:2">
      <c r="A67" s="20">
        <v>42243</v>
      </c>
      <c r="B67" s="2">
        <v>33.229999999999997</v>
      </c>
    </row>
    <row r="68" spans="1:2">
      <c r="A68" s="20">
        <v>42242</v>
      </c>
      <c r="B68" s="2">
        <v>33.26</v>
      </c>
    </row>
    <row r="69" spans="1:2">
      <c r="A69" s="20">
        <v>42241</v>
      </c>
      <c r="B69" s="2">
        <v>33.11</v>
      </c>
    </row>
    <row r="70" spans="1:2">
      <c r="A70" s="20">
        <v>42238</v>
      </c>
      <c r="B70" s="2">
        <v>32.729999999999997</v>
      </c>
    </row>
    <row r="71" spans="1:2">
      <c r="A71" s="20">
        <v>42237</v>
      </c>
      <c r="B71" s="2">
        <v>32.81</v>
      </c>
    </row>
    <row r="72" spans="1:2">
      <c r="A72" s="20">
        <v>42236</v>
      </c>
      <c r="B72" s="2">
        <v>33.19</v>
      </c>
    </row>
    <row r="73" spans="1:2">
      <c r="A73" s="20">
        <v>42235</v>
      </c>
      <c r="B73" s="2">
        <v>33.11</v>
      </c>
    </row>
    <row r="74" spans="1:2">
      <c r="A74" s="20">
        <v>42234</v>
      </c>
      <c r="B74" s="2">
        <v>33.24</v>
      </c>
    </row>
    <row r="75" spans="1:2">
      <c r="A75" s="20">
        <v>42231</v>
      </c>
      <c r="B75" s="2">
        <v>33.479999999999997</v>
      </c>
    </row>
    <row r="76" spans="1:2">
      <c r="A76" s="20">
        <v>42230</v>
      </c>
      <c r="B76" s="2">
        <v>33.39</v>
      </c>
    </row>
    <row r="77" spans="1:2">
      <c r="A77" s="20">
        <v>42229</v>
      </c>
      <c r="B77" s="2">
        <v>33.19</v>
      </c>
    </row>
    <row r="78" spans="1:2">
      <c r="A78" s="20">
        <v>42228</v>
      </c>
      <c r="B78" s="2">
        <v>33.159999999999997</v>
      </c>
    </row>
    <row r="79" spans="1:2">
      <c r="A79" s="20">
        <v>42227</v>
      </c>
      <c r="B79" s="2">
        <v>33.29</v>
      </c>
    </row>
    <row r="80" spans="1:2">
      <c r="A80" s="20">
        <v>42224</v>
      </c>
      <c r="B80" s="2">
        <v>33.31</v>
      </c>
    </row>
    <row r="81" spans="1:2">
      <c r="A81" s="20">
        <v>42223</v>
      </c>
      <c r="B81" s="2">
        <v>32.950000000000003</v>
      </c>
    </row>
    <row r="82" spans="1:2">
      <c r="A82" s="20">
        <v>42222</v>
      </c>
      <c r="B82" s="2">
        <v>33.24</v>
      </c>
    </row>
    <row r="83" spans="1:2">
      <c r="A83" s="20">
        <v>42221</v>
      </c>
      <c r="B83" s="2">
        <v>33.15</v>
      </c>
    </row>
    <row r="84" spans="1:2">
      <c r="A84" s="20">
        <v>42220</v>
      </c>
      <c r="B84" s="2">
        <v>33.700000000000003</v>
      </c>
    </row>
    <row r="85" spans="1:2">
      <c r="A85" s="20">
        <v>42217</v>
      </c>
      <c r="B85" s="2">
        <v>33.75</v>
      </c>
    </row>
    <row r="86" spans="1:2">
      <c r="A86" s="20">
        <v>42216</v>
      </c>
      <c r="B86" s="2">
        <v>33.83</v>
      </c>
    </row>
    <row r="87" spans="1:2">
      <c r="A87" s="20">
        <v>42215</v>
      </c>
      <c r="B87" s="2">
        <v>34</v>
      </c>
    </row>
    <row r="88" spans="1:2">
      <c r="A88" s="20">
        <v>42214</v>
      </c>
      <c r="B88" s="2">
        <v>33.86</v>
      </c>
    </row>
    <row r="89" spans="1:2">
      <c r="A89" s="20">
        <v>42213</v>
      </c>
      <c r="B89" s="2">
        <v>34.270000000000003</v>
      </c>
    </row>
    <row r="90" spans="1:2">
      <c r="A90" s="20">
        <v>42210</v>
      </c>
      <c r="B90" s="2">
        <v>33.51</v>
      </c>
    </row>
    <row r="91" spans="1:2">
      <c r="A91" s="20">
        <v>42209</v>
      </c>
      <c r="B91" s="2">
        <v>33.07</v>
      </c>
    </row>
    <row r="92" spans="1:2">
      <c r="A92" s="20">
        <v>42208</v>
      </c>
      <c r="B92" s="2">
        <v>33.1</v>
      </c>
    </row>
    <row r="93" spans="1:2">
      <c r="A93" s="20">
        <v>42207</v>
      </c>
      <c r="B93" s="2">
        <v>33.46</v>
      </c>
    </row>
    <row r="94" spans="1:2">
      <c r="A94" s="20">
        <v>42206</v>
      </c>
      <c r="B94" s="2">
        <v>33.130000000000003</v>
      </c>
    </row>
    <row r="95" spans="1:2">
      <c r="A95" s="20">
        <v>42203</v>
      </c>
      <c r="B95" s="2">
        <v>33.950000000000003</v>
      </c>
    </row>
    <row r="96" spans="1:2">
      <c r="A96" s="20">
        <v>42202</v>
      </c>
      <c r="B96" s="2">
        <v>33.51</v>
      </c>
    </row>
    <row r="97" spans="1:2">
      <c r="A97" s="20">
        <v>42201</v>
      </c>
      <c r="B97" s="2">
        <v>33.75</v>
      </c>
    </row>
    <row r="98" spans="1:2">
      <c r="A98" s="20">
        <v>42200</v>
      </c>
      <c r="B98" s="2">
        <v>33.950000000000003</v>
      </c>
    </row>
    <row r="99" spans="1:2">
      <c r="A99" s="20">
        <v>42199</v>
      </c>
      <c r="B99" s="2">
        <v>33.729999999999997</v>
      </c>
    </row>
    <row r="100" spans="1:2">
      <c r="A100" s="20">
        <v>42196</v>
      </c>
      <c r="B100" s="2">
        <v>34.28</v>
      </c>
    </row>
    <row r="101" spans="1:2">
      <c r="A101" s="20">
        <v>42195</v>
      </c>
      <c r="B101" s="2">
        <v>34.18</v>
      </c>
    </row>
    <row r="102" spans="1:2">
      <c r="A102" s="20">
        <v>42194</v>
      </c>
      <c r="B102" s="2">
        <v>34.08</v>
      </c>
    </row>
    <row r="103" spans="1:2">
      <c r="A103" s="20">
        <v>42193</v>
      </c>
      <c r="B103" s="2">
        <v>34.479999999999997</v>
      </c>
    </row>
    <row r="104" spans="1:2">
      <c r="A104" s="20">
        <v>42192</v>
      </c>
      <c r="B104" s="2">
        <v>34.53</v>
      </c>
    </row>
    <row r="105" spans="1:2">
      <c r="A105" s="20">
        <v>42188</v>
      </c>
      <c r="B105" s="2">
        <v>34.11</v>
      </c>
    </row>
    <row r="106" spans="1:2">
      <c r="A106" s="20">
        <v>42187</v>
      </c>
      <c r="B106" s="2">
        <v>34.44</v>
      </c>
    </row>
    <row r="107" spans="1:2">
      <c r="A107" s="20">
        <v>42186</v>
      </c>
      <c r="B107" s="2">
        <v>34.06</v>
      </c>
    </row>
    <row r="108" spans="1:2">
      <c r="A108" s="20">
        <v>42185</v>
      </c>
      <c r="B108" s="2">
        <v>33.869999999999997</v>
      </c>
    </row>
    <row r="109" spans="1:2">
      <c r="A109" s="20">
        <v>42182</v>
      </c>
      <c r="B109" s="2">
        <v>33.83</v>
      </c>
    </row>
    <row r="110" spans="1:2">
      <c r="A110" s="20">
        <v>42181</v>
      </c>
      <c r="B110" s="2">
        <v>33.880000000000003</v>
      </c>
    </row>
    <row r="111" spans="1:2">
      <c r="A111" s="20">
        <v>42180</v>
      </c>
      <c r="B111" s="2">
        <v>33.56</v>
      </c>
    </row>
    <row r="112" spans="1:2">
      <c r="A112" s="20">
        <v>42179</v>
      </c>
      <c r="B112" s="2">
        <v>34.25</v>
      </c>
    </row>
    <row r="113" spans="1:2">
      <c r="A113" s="20">
        <v>42178</v>
      </c>
      <c r="B113" s="2">
        <v>33.869999999999997</v>
      </c>
    </row>
    <row r="114" spans="1:2">
      <c r="A114" s="20">
        <v>42175</v>
      </c>
      <c r="B114" s="2">
        <v>34.270000000000003</v>
      </c>
    </row>
    <row r="115" spans="1:2">
      <c r="A115" s="20">
        <v>42174</v>
      </c>
      <c r="B115" s="2">
        <v>34</v>
      </c>
    </row>
    <row r="116" spans="1:2">
      <c r="A116" s="20">
        <v>42173</v>
      </c>
      <c r="B116" s="2">
        <v>34.57</v>
      </c>
    </row>
    <row r="117" spans="1:2">
      <c r="A117" s="20">
        <v>42172</v>
      </c>
      <c r="B117" s="2">
        <v>34.57</v>
      </c>
    </row>
  </sheetData>
  <phoneticPr fontId="5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5309D-5F45-B349-BE26-E4DA83602504}">
  <dimension ref="A1:B16"/>
  <sheetViews>
    <sheetView zoomScaleNormal="100" workbookViewId="0">
      <selection activeCell="B17" sqref="B17"/>
    </sheetView>
  </sheetViews>
  <sheetFormatPr baseColWidth="10" defaultRowHeight="13"/>
  <cols>
    <col min="1" max="1" width="24.5" bestFit="1" customWidth="1"/>
  </cols>
  <sheetData>
    <row r="1" spans="1:2">
      <c r="A1" s="21" t="s">
        <v>219</v>
      </c>
      <c r="B1">
        <v>6</v>
      </c>
    </row>
    <row r="2" spans="1:2">
      <c r="A2" s="21" t="s">
        <v>220</v>
      </c>
      <c r="B2">
        <v>23</v>
      </c>
    </row>
    <row r="3" spans="1:2">
      <c r="A3" s="21" t="s">
        <v>216</v>
      </c>
      <c r="B3">
        <v>24.8</v>
      </c>
    </row>
    <row r="4" spans="1:2">
      <c r="A4" s="21" t="s">
        <v>221</v>
      </c>
      <c r="B4" s="23">
        <v>0.05</v>
      </c>
    </row>
    <row r="6" spans="1:2">
      <c r="A6" s="21" t="s">
        <v>218</v>
      </c>
    </row>
    <row r="7" spans="1:2">
      <c r="A7" s="21" t="s">
        <v>222</v>
      </c>
    </row>
    <row r="8" spans="1:2">
      <c r="A8" s="21" t="s">
        <v>223</v>
      </c>
      <c r="B8">
        <f>B2/((1+B4)^(B1/12))</f>
        <v>22.44570167781626</v>
      </c>
    </row>
    <row r="9" spans="1:2">
      <c r="A9" s="21" t="s">
        <v>224</v>
      </c>
      <c r="B9">
        <f>B3-B8</f>
        <v>2.354298322183741</v>
      </c>
    </row>
    <row r="11" spans="1:2">
      <c r="A11" s="21" t="s">
        <v>215</v>
      </c>
    </row>
    <row r="12" spans="1:2">
      <c r="A12" s="21" t="s">
        <v>217</v>
      </c>
      <c r="B12">
        <v>0.3</v>
      </c>
    </row>
    <row r="13" spans="1:2">
      <c r="A13" s="21" t="s">
        <v>225</v>
      </c>
      <c r="B13">
        <f>-B12</f>
        <v>-0.3</v>
      </c>
    </row>
    <row r="14" spans="1:2">
      <c r="A14" s="21" t="s">
        <v>226</v>
      </c>
      <c r="B14">
        <f>-B2</f>
        <v>-23</v>
      </c>
    </row>
    <row r="15" spans="1:2">
      <c r="A15" s="21" t="s">
        <v>227</v>
      </c>
      <c r="B15">
        <f>B3</f>
        <v>24.8</v>
      </c>
    </row>
    <row r="16" spans="1:2">
      <c r="A16" s="21" t="s">
        <v>228</v>
      </c>
      <c r="B16">
        <f>SUM(B13:B15)</f>
        <v>1.5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3620C-C0A5-C348-9117-797C362DD49F}">
  <dimension ref="A1:B9"/>
  <sheetViews>
    <sheetView zoomScaleNormal="100" workbookViewId="0">
      <selection activeCell="B7" sqref="B7"/>
    </sheetView>
  </sheetViews>
  <sheetFormatPr baseColWidth="10" defaultRowHeight="13"/>
  <cols>
    <col min="1" max="1" width="14.83203125" bestFit="1" customWidth="1"/>
    <col min="2" max="2" width="22" bestFit="1" customWidth="1"/>
  </cols>
  <sheetData>
    <row r="1" spans="1:2">
      <c r="A1" s="21" t="s">
        <v>220</v>
      </c>
      <c r="B1">
        <v>25</v>
      </c>
    </row>
    <row r="2" spans="1:2">
      <c r="A2" s="22" t="s">
        <v>229</v>
      </c>
      <c r="B2">
        <v>6</v>
      </c>
    </row>
    <row r="3" spans="1:2">
      <c r="A3" s="21" t="s">
        <v>221</v>
      </c>
      <c r="B3" s="23">
        <v>0.02</v>
      </c>
    </row>
    <row r="4" spans="1:2">
      <c r="A4" s="21" t="s">
        <v>216</v>
      </c>
      <c r="B4">
        <v>28</v>
      </c>
    </row>
    <row r="6" spans="1:2">
      <c r="A6" s="21" t="s">
        <v>230</v>
      </c>
      <c r="B6">
        <f>B4-B1</f>
        <v>3</v>
      </c>
    </row>
    <row r="7" spans="1:2">
      <c r="A7" s="21" t="s">
        <v>231</v>
      </c>
      <c r="B7">
        <f>B4+PV(B3,B2/12,0,B1,0)</f>
        <v>3.2463114255831442</v>
      </c>
    </row>
    <row r="8" spans="1:2">
      <c r="A8" s="21" t="s">
        <v>232</v>
      </c>
      <c r="B8" t="str">
        <f>IF(B7&gt;B6,"sell","exercise")</f>
        <v>sell</v>
      </c>
    </row>
    <row r="9" spans="1:2">
      <c r="B9" s="24"/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3BCE7-1FE5-7447-AC70-DBAE561FAB3E}">
  <dimension ref="A1:A2"/>
  <sheetViews>
    <sheetView zoomScaleNormal="100" workbookViewId="0">
      <selection activeCell="A3" sqref="A3"/>
    </sheetView>
  </sheetViews>
  <sheetFormatPr baseColWidth="10" defaultRowHeight="13"/>
  <sheetData>
    <row r="1" spans="1:1">
      <c r="A1" s="21" t="s">
        <v>233</v>
      </c>
    </row>
    <row r="2" spans="1:1">
      <c r="A2" s="21" t="s">
        <v>234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BE1F2-4026-654E-91AF-32EF6B643976}">
  <dimension ref="A1:B7"/>
  <sheetViews>
    <sheetView zoomScaleNormal="100" workbookViewId="0">
      <selection sqref="A1:B7"/>
    </sheetView>
  </sheetViews>
  <sheetFormatPr baseColWidth="10" defaultRowHeight="13"/>
  <cols>
    <col min="1" max="1" width="12.83203125" bestFit="1" customWidth="1"/>
    <col min="2" max="2" width="13" bestFit="1" customWidth="1"/>
  </cols>
  <sheetData>
    <row r="1" spans="1:2">
      <c r="A1" s="21" t="s">
        <v>216</v>
      </c>
      <c r="B1">
        <v>83</v>
      </c>
    </row>
    <row r="2" spans="1:2">
      <c r="A2" s="21" t="s">
        <v>220</v>
      </c>
      <c r="B2">
        <v>80</v>
      </c>
    </row>
    <row r="3" spans="1:2">
      <c r="A3" s="21" t="s">
        <v>237</v>
      </c>
      <c r="B3">
        <v>6</v>
      </c>
    </row>
    <row r="4" spans="1:2">
      <c r="A4" s="21" t="s">
        <v>236</v>
      </c>
      <c r="B4">
        <v>2.5</v>
      </c>
    </row>
    <row r="5" spans="1:2">
      <c r="A5" s="21" t="s">
        <v>238</v>
      </c>
      <c r="B5" s="23">
        <v>0.02</v>
      </c>
    </row>
    <row r="7" spans="1:2">
      <c r="A7" s="21" t="s">
        <v>235</v>
      </c>
      <c r="B7" s="26">
        <f>B4+B1+PV(B5,B3/12,0,B2)</f>
        <v>6.2881965618660587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F4D9-AE75-0F43-B1D9-0149092AAAEC}">
  <dimension ref="A1:D28"/>
  <sheetViews>
    <sheetView zoomScaleNormal="100" workbookViewId="0">
      <selection activeCell="A2" sqref="A2"/>
    </sheetView>
  </sheetViews>
  <sheetFormatPr baseColWidth="10" defaultRowHeight="13"/>
  <cols>
    <col min="1" max="1" width="26" bestFit="1" customWidth="1"/>
    <col min="2" max="2" width="22" bestFit="1" customWidth="1"/>
    <col min="4" max="4" width="17" bestFit="1" customWidth="1"/>
  </cols>
  <sheetData>
    <row r="1" spans="1:2">
      <c r="A1" s="21" t="s">
        <v>216</v>
      </c>
      <c r="B1">
        <v>47</v>
      </c>
    </row>
    <row r="2" spans="1:2">
      <c r="A2" s="21" t="s">
        <v>220</v>
      </c>
      <c r="B2">
        <v>50</v>
      </c>
    </row>
    <row r="3" spans="1:2">
      <c r="A3" s="21" t="s">
        <v>237</v>
      </c>
      <c r="B3">
        <v>2</v>
      </c>
    </row>
    <row r="4" spans="1:2">
      <c r="A4" s="21" t="s">
        <v>236</v>
      </c>
      <c r="B4">
        <v>4</v>
      </c>
    </row>
    <row r="5" spans="1:2">
      <c r="A5" s="21" t="s">
        <v>238</v>
      </c>
      <c r="B5" s="23">
        <v>0.03</v>
      </c>
    </row>
    <row r="7" spans="1:2">
      <c r="A7" s="21" t="s">
        <v>218</v>
      </c>
      <c r="B7" s="26"/>
    </row>
    <row r="8" spans="1:2">
      <c r="A8" s="21" t="s">
        <v>235</v>
      </c>
      <c r="B8" s="26">
        <v>1</v>
      </c>
    </row>
    <row r="9" spans="1:2">
      <c r="A9" s="21" t="s">
        <v>244</v>
      </c>
    </row>
    <row r="10" spans="1:2">
      <c r="A10" s="21" t="s">
        <v>246</v>
      </c>
      <c r="B10">
        <f>B1</f>
        <v>47</v>
      </c>
    </row>
    <row r="11" spans="1:2">
      <c r="A11" s="21" t="s">
        <v>242</v>
      </c>
      <c r="B11">
        <f>B4</f>
        <v>4</v>
      </c>
    </row>
    <row r="12" spans="1:2">
      <c r="A12" s="21" t="s">
        <v>243</v>
      </c>
      <c r="B12">
        <f>-B8</f>
        <v>-1</v>
      </c>
    </row>
    <row r="13" spans="1:2">
      <c r="A13" s="21" t="s">
        <v>248</v>
      </c>
      <c r="B13" s="27">
        <f>-SUM(B10:B12)</f>
        <v>-50</v>
      </c>
    </row>
    <row r="14" spans="1:2">
      <c r="A14" s="21" t="s">
        <v>249</v>
      </c>
      <c r="B14" s="27">
        <f>SUM(B10:B13)</f>
        <v>0</v>
      </c>
    </row>
    <row r="16" spans="1:2">
      <c r="A16" s="21" t="s">
        <v>245</v>
      </c>
    </row>
    <row r="17" spans="1:4">
      <c r="A17" s="21" t="s">
        <v>250</v>
      </c>
      <c r="B17" s="21" t="s">
        <v>251</v>
      </c>
    </row>
    <row r="18" spans="1:4">
      <c r="A18" s="21" t="s">
        <v>247</v>
      </c>
      <c r="B18" s="29" t="s">
        <v>254</v>
      </c>
    </row>
    <row r="19" spans="1:4">
      <c r="A19" s="21" t="s">
        <v>253</v>
      </c>
      <c r="B19" s="24">
        <f>FV(B5,B3/12,0,B13)</f>
        <v>50.246931101559845</v>
      </c>
    </row>
    <row r="20" spans="1:4">
      <c r="A20" s="21" t="s">
        <v>249</v>
      </c>
      <c r="B20" s="24">
        <f>B19-50</f>
        <v>0.24693110155984499</v>
      </c>
    </row>
    <row r="22" spans="1:4">
      <c r="A22" s="21" t="s">
        <v>215</v>
      </c>
    </row>
    <row r="23" spans="1:4">
      <c r="A23" s="21" t="s">
        <v>237</v>
      </c>
      <c r="B23">
        <v>1</v>
      </c>
    </row>
    <row r="24" spans="1:4">
      <c r="A24" s="21" t="s">
        <v>216</v>
      </c>
      <c r="B24">
        <v>46.877000000000002</v>
      </c>
    </row>
    <row r="26" spans="1:4">
      <c r="A26" s="21" t="s">
        <v>255</v>
      </c>
      <c r="B26" s="26">
        <f>B4+B24+PV(B5,B23/12,0,B2)</f>
        <v>1.000010112493058</v>
      </c>
      <c r="D26" s="31"/>
    </row>
    <row r="27" spans="1:4">
      <c r="A27" s="21" t="s">
        <v>256</v>
      </c>
    </row>
    <row r="28" spans="1:4">
      <c r="D28" s="32"/>
    </row>
  </sheetData>
  <phoneticPr fontId="1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865AF-9D52-BD48-A8E6-DAE3C77E3B00}">
  <dimension ref="A1:B14"/>
  <sheetViews>
    <sheetView zoomScaleNormal="100" workbookViewId="0">
      <selection activeCell="B15" sqref="B15"/>
    </sheetView>
  </sheetViews>
  <sheetFormatPr baseColWidth="10" defaultRowHeight="13"/>
  <cols>
    <col min="2" max="2" width="32.83203125" bestFit="1" customWidth="1"/>
  </cols>
  <sheetData>
    <row r="1" spans="1:2">
      <c r="A1" s="21" t="s">
        <v>235</v>
      </c>
    </row>
    <row r="2" spans="1:2">
      <c r="A2" s="21" t="s">
        <v>220</v>
      </c>
      <c r="B2" s="21" t="s">
        <v>217</v>
      </c>
    </row>
    <row r="3" spans="1:2">
      <c r="A3">
        <v>180</v>
      </c>
      <c r="B3">
        <v>20</v>
      </c>
    </row>
    <row r="4" spans="1:2">
      <c r="A4">
        <v>200</v>
      </c>
      <c r="B4">
        <v>10</v>
      </c>
    </row>
    <row r="5" spans="1:2">
      <c r="A5">
        <v>220</v>
      </c>
      <c r="B5">
        <v>5</v>
      </c>
    </row>
    <row r="7" spans="1:2">
      <c r="A7" s="21" t="s">
        <v>236</v>
      </c>
    </row>
    <row r="8" spans="1:2">
      <c r="A8" s="21" t="s">
        <v>220</v>
      </c>
      <c r="B8" s="21" t="s">
        <v>217</v>
      </c>
    </row>
    <row r="9" spans="1:2">
      <c r="A9">
        <v>180</v>
      </c>
      <c r="B9" s="21" t="s">
        <v>257</v>
      </c>
    </row>
    <row r="10" spans="1:2">
      <c r="A10">
        <v>200</v>
      </c>
      <c r="B10" s="21" t="s">
        <v>258</v>
      </c>
    </row>
    <row r="11" spans="1:2">
      <c r="A11">
        <v>220</v>
      </c>
      <c r="B11" s="21" t="s">
        <v>259</v>
      </c>
    </row>
    <row r="13" spans="1:2">
      <c r="A13" s="21" t="s">
        <v>260</v>
      </c>
      <c r="B13" s="21">
        <f>-B3-B5+B4*2</f>
        <v>-5</v>
      </c>
    </row>
    <row r="14" spans="1:2">
      <c r="A14" s="21" t="s">
        <v>261</v>
      </c>
      <c r="B14" s="29" t="s">
        <v>262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272B3-052A-6447-819D-A7D69A3770F7}">
  <dimension ref="A1:E11"/>
  <sheetViews>
    <sheetView zoomScaleNormal="100" workbookViewId="0">
      <selection activeCell="B11" sqref="B11"/>
    </sheetView>
  </sheetViews>
  <sheetFormatPr baseColWidth="10" defaultRowHeight="13"/>
  <cols>
    <col min="1" max="1" width="17.6640625" bestFit="1" customWidth="1"/>
    <col min="2" max="2" width="13.6640625" bestFit="1" customWidth="1"/>
    <col min="3" max="3" width="7" bestFit="1" customWidth="1"/>
  </cols>
  <sheetData>
    <row r="1" spans="1:5">
      <c r="A1" s="21" t="s">
        <v>263</v>
      </c>
      <c r="B1" s="21" t="s">
        <v>264</v>
      </c>
      <c r="C1" s="21" t="s">
        <v>267</v>
      </c>
      <c r="D1" s="21"/>
      <c r="E1" s="21"/>
    </row>
    <row r="2" spans="1:5">
      <c r="A2" s="33">
        <v>1025</v>
      </c>
      <c r="B2" s="21" t="s">
        <v>265</v>
      </c>
      <c r="C2">
        <v>19.8</v>
      </c>
      <c r="D2" s="23"/>
    </row>
    <row r="3" spans="1:5">
      <c r="A3" s="33">
        <v>1025</v>
      </c>
      <c r="B3" s="21" t="s">
        <v>266</v>
      </c>
      <c r="C3">
        <v>14.5</v>
      </c>
    </row>
    <row r="4" spans="1:5">
      <c r="A4" s="33">
        <v>1040</v>
      </c>
      <c r="B4" s="21" t="s">
        <v>265</v>
      </c>
      <c r="C4">
        <v>12.5</v>
      </c>
    </row>
    <row r="5" spans="1:5">
      <c r="A5" s="33">
        <v>1040</v>
      </c>
      <c r="B5" s="21" t="s">
        <v>266</v>
      </c>
      <c r="C5">
        <v>22.17</v>
      </c>
    </row>
    <row r="7" spans="1:5">
      <c r="A7" s="21" t="s">
        <v>268</v>
      </c>
      <c r="B7">
        <v>25</v>
      </c>
    </row>
    <row r="9" spans="1:5">
      <c r="A9" s="21" t="s">
        <v>238</v>
      </c>
      <c r="B9" s="34">
        <v>2.1428519606882461E-2</v>
      </c>
    </row>
    <row r="10" spans="1:5">
      <c r="A10" s="21" t="s">
        <v>270</v>
      </c>
      <c r="B10">
        <f>C3-C5+C4-C2</f>
        <v>-14.970000000000002</v>
      </c>
    </row>
    <row r="11" spans="1:5">
      <c r="A11" s="21" t="s">
        <v>271</v>
      </c>
      <c r="B11" s="26">
        <f>PV(B9,B7/265,0,-A2)-PV(B9,B7/265,0,-A4)</f>
        <v>-14.970026933869008</v>
      </c>
    </row>
  </sheetData>
  <phoneticPr fontId="1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7B3B3-5534-6A4F-AED7-7BDC1AD792F3}">
  <dimension ref="A1:B13"/>
  <sheetViews>
    <sheetView zoomScaleNormal="100" workbookViewId="0">
      <selection activeCell="B13" sqref="B13"/>
    </sheetView>
  </sheetViews>
  <sheetFormatPr baseColWidth="10" defaultRowHeight="13"/>
  <cols>
    <col min="2" max="2" width="13" bestFit="1" customWidth="1"/>
  </cols>
  <sheetData>
    <row r="1" spans="1:2">
      <c r="A1" s="21" t="s">
        <v>220</v>
      </c>
      <c r="B1">
        <v>20</v>
      </c>
    </row>
    <row r="2" spans="1:2">
      <c r="A2" s="21" t="s">
        <v>272</v>
      </c>
      <c r="B2">
        <v>1</v>
      </c>
    </row>
    <row r="3" spans="1:2">
      <c r="A3" s="21" t="s">
        <v>236</v>
      </c>
      <c r="B3">
        <v>3</v>
      </c>
    </row>
    <row r="4" spans="1:2">
      <c r="A4" s="21" t="s">
        <v>238</v>
      </c>
      <c r="B4" s="23">
        <v>0.02</v>
      </c>
    </row>
    <row r="5" spans="1:2">
      <c r="A5" s="21" t="s">
        <v>235</v>
      </c>
      <c r="B5" s="26">
        <v>3</v>
      </c>
    </row>
    <row r="7" spans="1:2">
      <c r="A7" s="21" t="s">
        <v>218</v>
      </c>
    </row>
    <row r="8" spans="1:2">
      <c r="A8" s="21" t="s">
        <v>216</v>
      </c>
      <c r="B8" s="26">
        <f>B5-B3+PV(B4,1,0,-B1)</f>
        <v>19.607843137254903</v>
      </c>
    </row>
    <row r="10" spans="1:2">
      <c r="A10" s="21" t="s">
        <v>218</v>
      </c>
    </row>
    <row r="11" spans="1:2">
      <c r="A11" s="21" t="s">
        <v>273</v>
      </c>
      <c r="B11" s="21" t="s">
        <v>274</v>
      </c>
    </row>
    <row r="12" spans="1:2">
      <c r="A12" s="21" t="s">
        <v>275</v>
      </c>
      <c r="B12" s="21" t="s">
        <v>276</v>
      </c>
    </row>
    <row r="13" spans="1:2">
      <c r="A13" s="21" t="s">
        <v>277</v>
      </c>
      <c r="B13" s="21" t="s">
        <v>278</v>
      </c>
    </row>
  </sheetData>
  <phoneticPr fontId="1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FA589-12EA-D244-BFB4-11C0E8B6756D}">
  <dimension ref="A1:B23"/>
  <sheetViews>
    <sheetView zoomScaleNormal="100" workbookViewId="0">
      <selection activeCell="B4" sqref="B4"/>
    </sheetView>
  </sheetViews>
  <sheetFormatPr baseColWidth="10" defaultRowHeight="13"/>
  <sheetData>
    <row r="1" spans="1:2">
      <c r="A1" s="21" t="s">
        <v>280</v>
      </c>
      <c r="B1">
        <v>20</v>
      </c>
    </row>
    <row r="2" spans="1:2">
      <c r="A2" s="21" t="s">
        <v>279</v>
      </c>
      <c r="B2">
        <v>60</v>
      </c>
    </row>
    <row r="3" spans="1:2">
      <c r="A3" s="21" t="s">
        <v>281</v>
      </c>
      <c r="B3">
        <f>MAX(B2-B1,0)</f>
        <v>40</v>
      </c>
    </row>
    <row r="4" spans="1:2">
      <c r="A4" s="21" t="s">
        <v>282</v>
      </c>
      <c r="B4">
        <f>MAX(B1-B2,0)</f>
        <v>0</v>
      </c>
    </row>
    <row r="6" spans="1:2">
      <c r="B6">
        <f>B4-B3+B2</f>
        <v>20</v>
      </c>
    </row>
    <row r="7" spans="1:2">
      <c r="A7">
        <v>20</v>
      </c>
      <c r="B7">
        <f t="dataTable" ref="B7:B23" dt2D="0" dtr="0" r1="B1"/>
        <v>20</v>
      </c>
    </row>
    <row r="8" spans="1:2">
      <c r="A8">
        <v>25</v>
      </c>
      <c r="B8">
        <v>25</v>
      </c>
    </row>
    <row r="9" spans="1:2">
      <c r="A9">
        <v>30</v>
      </c>
      <c r="B9">
        <v>30</v>
      </c>
    </row>
    <row r="10" spans="1:2">
      <c r="A10">
        <v>35</v>
      </c>
      <c r="B10">
        <v>35</v>
      </c>
    </row>
    <row r="11" spans="1:2">
      <c r="A11">
        <v>40</v>
      </c>
      <c r="B11">
        <v>40</v>
      </c>
    </row>
    <row r="12" spans="1:2">
      <c r="A12">
        <v>45</v>
      </c>
      <c r="B12">
        <v>45</v>
      </c>
    </row>
    <row r="13" spans="1:2">
      <c r="A13">
        <v>50</v>
      </c>
      <c r="B13">
        <v>50</v>
      </c>
    </row>
    <row r="14" spans="1:2">
      <c r="A14">
        <v>55</v>
      </c>
      <c r="B14">
        <v>55</v>
      </c>
    </row>
    <row r="15" spans="1:2">
      <c r="A15">
        <v>60</v>
      </c>
      <c r="B15">
        <v>60</v>
      </c>
    </row>
    <row r="16" spans="1:2">
      <c r="A16">
        <v>65</v>
      </c>
      <c r="B16">
        <v>65</v>
      </c>
    </row>
    <row r="17" spans="1:2">
      <c r="A17">
        <v>70</v>
      </c>
      <c r="B17">
        <v>70</v>
      </c>
    </row>
    <row r="18" spans="1:2">
      <c r="A18">
        <v>75</v>
      </c>
      <c r="B18">
        <v>75</v>
      </c>
    </row>
    <row r="19" spans="1:2">
      <c r="A19">
        <v>80</v>
      </c>
      <c r="B19">
        <v>80</v>
      </c>
    </row>
    <row r="20" spans="1:2">
      <c r="A20">
        <v>85</v>
      </c>
      <c r="B20">
        <v>85</v>
      </c>
    </row>
    <row r="21" spans="1:2">
      <c r="A21">
        <v>90</v>
      </c>
      <c r="B21">
        <v>90</v>
      </c>
    </row>
    <row r="22" spans="1:2">
      <c r="A22">
        <v>95</v>
      </c>
      <c r="B22">
        <v>95</v>
      </c>
    </row>
    <row r="23" spans="1:2">
      <c r="A23">
        <v>100</v>
      </c>
      <c r="B23">
        <v>100</v>
      </c>
    </row>
  </sheetData>
  <phoneticPr fontId="1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A949-603C-AC49-9967-DABAD07CCD88}">
  <dimension ref="A1:B20"/>
  <sheetViews>
    <sheetView topLeftCell="A5" zoomScaleNormal="100" workbookViewId="0">
      <selection activeCell="B21" sqref="B21"/>
    </sheetView>
  </sheetViews>
  <sheetFormatPr baseColWidth="10" defaultRowHeight="13"/>
  <cols>
    <col min="1" max="1" width="18.6640625" bestFit="1" customWidth="1"/>
  </cols>
  <sheetData>
    <row r="1" spans="1:2">
      <c r="A1" s="21" t="s">
        <v>216</v>
      </c>
      <c r="B1">
        <v>25</v>
      </c>
    </row>
    <row r="2" spans="1:2">
      <c r="A2" s="21" t="s">
        <v>235</v>
      </c>
      <c r="B2">
        <v>3.375</v>
      </c>
    </row>
    <row r="3" spans="1:2">
      <c r="A3" s="21" t="s">
        <v>236</v>
      </c>
      <c r="B3">
        <v>1.75</v>
      </c>
    </row>
    <row r="4" spans="1:2">
      <c r="A4" s="21" t="s">
        <v>284</v>
      </c>
      <c r="B4" s="35">
        <v>99.92</v>
      </c>
    </row>
    <row r="5" spans="1:2">
      <c r="A5" s="21" t="s">
        <v>285</v>
      </c>
      <c r="B5" s="35">
        <v>100</v>
      </c>
    </row>
    <row r="7" spans="1:2">
      <c r="A7" s="21" t="s">
        <v>244</v>
      </c>
    </row>
    <row r="8" spans="1:2">
      <c r="A8" s="21" t="s">
        <v>241</v>
      </c>
      <c r="B8">
        <f>B2</f>
        <v>3.375</v>
      </c>
    </row>
    <row r="9" spans="1:2">
      <c r="A9" s="21" t="s">
        <v>240</v>
      </c>
      <c r="B9">
        <f>-B3</f>
        <v>-1.75</v>
      </c>
    </row>
    <row r="10" spans="1:2">
      <c r="A10" s="21" t="s">
        <v>239</v>
      </c>
      <c r="B10">
        <f>-B1</f>
        <v>-25</v>
      </c>
    </row>
    <row r="11" spans="1:2">
      <c r="A11" s="21" t="s">
        <v>286</v>
      </c>
      <c r="B11">
        <f>25/B5*B4</f>
        <v>24.98</v>
      </c>
    </row>
    <row r="12" spans="1:2">
      <c r="A12" s="21" t="s">
        <v>249</v>
      </c>
      <c r="B12">
        <f>SUM(B8:B11)</f>
        <v>1.6050000000000004</v>
      </c>
    </row>
    <row r="14" spans="1:2">
      <c r="A14" s="21" t="s">
        <v>245</v>
      </c>
    </row>
    <row r="15" spans="1:2">
      <c r="A15" s="21" t="s">
        <v>250</v>
      </c>
      <c r="B15" s="21" t="s">
        <v>287</v>
      </c>
    </row>
    <row r="16" spans="1:2">
      <c r="A16" s="21" t="s">
        <v>288</v>
      </c>
      <c r="B16" s="21" t="s">
        <v>252</v>
      </c>
    </row>
    <row r="17" spans="1:2">
      <c r="A17" s="21" t="s">
        <v>289</v>
      </c>
      <c r="B17">
        <v>-25</v>
      </c>
    </row>
    <row r="18" spans="1:2">
      <c r="A18" s="21" t="s">
        <v>249</v>
      </c>
      <c r="B18">
        <f>0</f>
        <v>0</v>
      </c>
    </row>
    <row r="20" spans="1:2">
      <c r="A20" s="21" t="s">
        <v>290</v>
      </c>
      <c r="B20">
        <f>B12+B18</f>
        <v>1.6050000000000004</v>
      </c>
    </row>
  </sheetData>
  <phoneticPr fontId="1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A55CB-7F20-9B4A-9901-E27EE1A58EF0}">
  <dimension ref="A1:B14"/>
  <sheetViews>
    <sheetView zoomScaleNormal="100" workbookViewId="0">
      <selection sqref="A1:B1"/>
    </sheetView>
  </sheetViews>
  <sheetFormatPr baseColWidth="10" defaultRowHeight="13"/>
  <cols>
    <col min="1" max="1" width="15.33203125" bestFit="1" customWidth="1"/>
    <col min="2" max="2" width="4.5" bestFit="1" customWidth="1"/>
  </cols>
  <sheetData>
    <row r="1" spans="1:2">
      <c r="A1" s="21" t="s">
        <v>219</v>
      </c>
      <c r="B1">
        <v>6</v>
      </c>
    </row>
    <row r="2" spans="1:2">
      <c r="A2" s="21" t="s">
        <v>220</v>
      </c>
      <c r="B2">
        <v>25</v>
      </c>
    </row>
    <row r="3" spans="1:2">
      <c r="A3" s="21" t="s">
        <v>216</v>
      </c>
      <c r="B3">
        <v>18</v>
      </c>
    </row>
    <row r="5" spans="1:2">
      <c r="A5" s="21" t="s">
        <v>218</v>
      </c>
    </row>
    <row r="6" spans="1:2">
      <c r="A6" s="21" t="s">
        <v>291</v>
      </c>
      <c r="B6">
        <f>B2-B3</f>
        <v>7</v>
      </c>
    </row>
    <row r="8" spans="1:2">
      <c r="A8" s="21" t="s">
        <v>215</v>
      </c>
    </row>
    <row r="9" spans="1:2">
      <c r="A9" s="21" t="s">
        <v>269</v>
      </c>
      <c r="B9">
        <v>5</v>
      </c>
    </row>
    <row r="11" spans="1:2">
      <c r="A11" s="21" t="s">
        <v>240</v>
      </c>
      <c r="B11">
        <f>-B9</f>
        <v>-5</v>
      </c>
    </row>
    <row r="12" spans="1:2">
      <c r="A12" s="21" t="s">
        <v>239</v>
      </c>
      <c r="B12">
        <f>-B3</f>
        <v>-18</v>
      </c>
    </row>
    <row r="13" spans="1:2">
      <c r="A13" s="21" t="s">
        <v>292</v>
      </c>
      <c r="B13">
        <f>B2</f>
        <v>25</v>
      </c>
    </row>
    <row r="14" spans="1:2">
      <c r="A14" s="21" t="s">
        <v>293</v>
      </c>
      <c r="B14">
        <f>SUM(B11:B13)</f>
        <v>2</v>
      </c>
    </row>
  </sheetData>
  <phoneticPr fontId="1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55163-14B4-D64D-8CED-F291DEF71AB8}">
  <dimension ref="A1:B29"/>
  <sheetViews>
    <sheetView zoomScaleNormal="100" workbookViewId="0">
      <selection activeCell="B8" sqref="B8"/>
    </sheetView>
  </sheetViews>
  <sheetFormatPr baseColWidth="10" defaultRowHeight="13"/>
  <cols>
    <col min="1" max="1" width="25.5" bestFit="1" customWidth="1"/>
    <col min="2" max="2" width="8.1640625" bestFit="1" customWidth="1"/>
  </cols>
  <sheetData>
    <row r="1" spans="1:2">
      <c r="A1" s="21" t="s">
        <v>220</v>
      </c>
      <c r="B1">
        <v>20</v>
      </c>
    </row>
    <row r="2" spans="1:2">
      <c r="A2" s="21" t="s">
        <v>216</v>
      </c>
      <c r="B2">
        <v>17</v>
      </c>
    </row>
    <row r="3" spans="1:2">
      <c r="A3" s="21" t="s">
        <v>294</v>
      </c>
      <c r="B3" s="23">
        <v>0.05</v>
      </c>
    </row>
    <row r="5" spans="1:2">
      <c r="A5" s="21" t="s">
        <v>218</v>
      </c>
    </row>
    <row r="6" spans="1:2">
      <c r="A6" s="21" t="s">
        <v>219</v>
      </c>
      <c r="B6">
        <v>6</v>
      </c>
    </row>
    <row r="7" spans="1:2">
      <c r="A7" s="21" t="s">
        <v>291</v>
      </c>
      <c r="B7" s="27">
        <f>PV(B3,B6/12,0,-B1)-B2</f>
        <v>2.5180014589706623</v>
      </c>
    </row>
    <row r="8" spans="1:2">
      <c r="A8" s="21" t="s">
        <v>295</v>
      </c>
    </row>
    <row r="10" spans="1:2">
      <c r="A10" s="21" t="s">
        <v>215</v>
      </c>
    </row>
    <row r="11" spans="1:2">
      <c r="A11" s="21" t="s">
        <v>269</v>
      </c>
      <c r="B11">
        <v>2.4</v>
      </c>
    </row>
    <row r="13" spans="1:2">
      <c r="A13" s="21" t="s">
        <v>240</v>
      </c>
      <c r="B13">
        <f>-B11</f>
        <v>-2.4</v>
      </c>
    </row>
    <row r="14" spans="1:2">
      <c r="A14" s="21" t="s">
        <v>239</v>
      </c>
      <c r="B14">
        <f>-B2</f>
        <v>-17</v>
      </c>
    </row>
    <row r="15" spans="1:2">
      <c r="A15" s="21" t="s">
        <v>303</v>
      </c>
      <c r="B15" s="27">
        <f>PV(B3,B6/12,0,-B1)</f>
        <v>19.518001458970662</v>
      </c>
    </row>
    <row r="16" spans="1:2">
      <c r="A16" s="21" t="s">
        <v>249</v>
      </c>
      <c r="B16" s="27">
        <f>SUM(B13:B15)</f>
        <v>0.11800145897066372</v>
      </c>
    </row>
    <row r="18" spans="1:2">
      <c r="A18" s="21" t="s">
        <v>296</v>
      </c>
    </row>
    <row r="19" spans="1:2">
      <c r="A19" s="21" t="s">
        <v>297</v>
      </c>
    </row>
    <row r="20" spans="1:2">
      <c r="A20" s="21" t="s">
        <v>298</v>
      </c>
      <c r="B20" s="21" t="s">
        <v>299</v>
      </c>
    </row>
    <row r="21" spans="1:2">
      <c r="A21" s="21" t="s">
        <v>288</v>
      </c>
      <c r="B21" s="21" t="s">
        <v>252</v>
      </c>
    </row>
    <row r="22" spans="1:2">
      <c r="A22" s="21" t="s">
        <v>300</v>
      </c>
      <c r="B22">
        <f>-B1</f>
        <v>-20</v>
      </c>
    </row>
    <row r="23" spans="1:2">
      <c r="A23" s="21" t="s">
        <v>249</v>
      </c>
      <c r="B23">
        <v>0</v>
      </c>
    </row>
    <row r="25" spans="1:2">
      <c r="A25" s="21" t="s">
        <v>301</v>
      </c>
    </row>
    <row r="26" spans="1:2">
      <c r="A26" s="21" t="s">
        <v>298</v>
      </c>
      <c r="B26">
        <v>0</v>
      </c>
    </row>
    <row r="27" spans="1:2">
      <c r="A27" s="21" t="s">
        <v>288</v>
      </c>
      <c r="B27" s="21" t="s">
        <v>252</v>
      </c>
    </row>
    <row r="28" spans="1:2">
      <c r="A28" s="21" t="s">
        <v>300</v>
      </c>
      <c r="B28">
        <f>-B1</f>
        <v>-20</v>
      </c>
    </row>
    <row r="29" spans="1:2">
      <c r="A29" s="21" t="s">
        <v>249</v>
      </c>
      <c r="B29" s="21" t="s">
        <v>302</v>
      </c>
    </row>
  </sheetData>
  <phoneticPr fontId="1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CD2B5-7563-F54A-BE3E-85F595F1FE30}">
  <dimension ref="A1:B19"/>
  <sheetViews>
    <sheetView zoomScaleNormal="100" workbookViewId="0">
      <selection activeCell="B20" sqref="B20"/>
    </sheetView>
  </sheetViews>
  <sheetFormatPr baseColWidth="10" defaultRowHeight="13"/>
  <cols>
    <col min="1" max="1" width="15.33203125" bestFit="1" customWidth="1"/>
    <col min="2" max="2" width="9.5" bestFit="1" customWidth="1"/>
  </cols>
  <sheetData>
    <row r="1" spans="1:2">
      <c r="A1" s="21" t="s">
        <v>304</v>
      </c>
      <c r="B1">
        <v>45</v>
      </c>
    </row>
    <row r="2" spans="1:2">
      <c r="A2" s="21" t="s">
        <v>305</v>
      </c>
      <c r="B2">
        <v>6</v>
      </c>
    </row>
    <row r="3" spans="1:2">
      <c r="A3" s="21" t="s">
        <v>216</v>
      </c>
      <c r="B3">
        <v>23</v>
      </c>
    </row>
    <row r="5" spans="1:2">
      <c r="A5" s="21" t="s">
        <v>218</v>
      </c>
    </row>
    <row r="6" spans="1:2">
      <c r="A6" s="21" t="s">
        <v>269</v>
      </c>
      <c r="B6">
        <v>21</v>
      </c>
    </row>
    <row r="8" spans="1:2">
      <c r="A8" s="21" t="s">
        <v>240</v>
      </c>
      <c r="B8">
        <f>-B6</f>
        <v>-21</v>
      </c>
    </row>
    <row r="9" spans="1:2">
      <c r="A9" s="21" t="s">
        <v>239</v>
      </c>
      <c r="B9">
        <f>-B3</f>
        <v>-23</v>
      </c>
    </row>
    <row r="10" spans="1:2">
      <c r="A10" s="21" t="s">
        <v>292</v>
      </c>
      <c r="B10">
        <f>B1</f>
        <v>45</v>
      </c>
    </row>
    <row r="11" spans="1:2">
      <c r="A11" s="21" t="s">
        <v>249</v>
      </c>
      <c r="B11">
        <f>SUM(B8:B10)</f>
        <v>1</v>
      </c>
    </row>
    <row r="13" spans="1:2">
      <c r="A13" s="21" t="s">
        <v>215</v>
      </c>
    </row>
    <row r="14" spans="1:2">
      <c r="A14" s="21" t="s">
        <v>306</v>
      </c>
    </row>
    <row r="15" spans="1:2">
      <c r="A15" s="21" t="s">
        <v>307</v>
      </c>
      <c r="B15" s="23">
        <v>0.03</v>
      </c>
    </row>
    <row r="16" spans="1:2">
      <c r="A16" s="21" t="s">
        <v>308</v>
      </c>
      <c r="B16" s="28">
        <f>FV(B15,B2/12,0,-B11)</f>
        <v>1.014889156509222</v>
      </c>
    </row>
    <row r="18" spans="1:2">
      <c r="A18" s="21" t="s">
        <v>309</v>
      </c>
    </row>
    <row r="19" spans="1:2">
      <c r="A19" s="21" t="s">
        <v>308</v>
      </c>
      <c r="B19" s="27">
        <f>B1+FV(B15,B2/12,0,B3+B6)</f>
        <v>0.34487711359423656</v>
      </c>
    </row>
  </sheetData>
  <phoneticPr fontId="1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44F90-FFB3-FC47-ADA4-A96D0AA89A8B}">
  <dimension ref="A1:B18"/>
  <sheetViews>
    <sheetView topLeftCell="A6" zoomScale="260" zoomScaleNormal="260" workbookViewId="0">
      <selection activeCell="C19" sqref="C19"/>
    </sheetView>
  </sheetViews>
  <sheetFormatPr baseColWidth="10" defaultRowHeight="13"/>
  <cols>
    <col min="1" max="1" width="27.33203125" bestFit="1" customWidth="1"/>
    <col min="2" max="2" width="7.6640625" bestFit="1" customWidth="1"/>
  </cols>
  <sheetData>
    <row r="1" spans="1:2">
      <c r="A1" s="21" t="s">
        <v>305</v>
      </c>
      <c r="B1">
        <v>6</v>
      </c>
    </row>
    <row r="2" spans="1:2">
      <c r="A2" s="21" t="s">
        <v>279</v>
      </c>
      <c r="B2">
        <v>50</v>
      </c>
    </row>
    <row r="3" spans="1:2">
      <c r="A3" s="21" t="s">
        <v>294</v>
      </c>
      <c r="B3" s="23">
        <v>0.05</v>
      </c>
    </row>
    <row r="4" spans="1:2">
      <c r="A4" s="21" t="s">
        <v>216</v>
      </c>
      <c r="B4">
        <v>20</v>
      </c>
    </row>
    <row r="6" spans="1:2">
      <c r="A6" s="21" t="s">
        <v>314</v>
      </c>
    </row>
    <row r="7" spans="1:2">
      <c r="A7" s="21" t="s">
        <v>310</v>
      </c>
      <c r="B7">
        <v>20</v>
      </c>
    </row>
    <row r="8" spans="1:2">
      <c r="A8" s="21" t="s">
        <v>298</v>
      </c>
      <c r="B8">
        <f>B2-B7</f>
        <v>30</v>
      </c>
    </row>
    <row r="9" spans="1:2">
      <c r="A9" s="21" t="s">
        <v>312</v>
      </c>
      <c r="B9" s="27">
        <f>FV(B3,B1/12,0,-B8)</f>
        <v>30.740852297878799</v>
      </c>
    </row>
    <row r="10" spans="1:2">
      <c r="A10" s="21" t="s">
        <v>313</v>
      </c>
      <c r="B10" s="27">
        <f>B2-B9</f>
        <v>19.259147702121201</v>
      </c>
    </row>
    <row r="12" spans="1:2">
      <c r="A12" s="21" t="s">
        <v>311</v>
      </c>
    </row>
    <row r="13" spans="1:2">
      <c r="A13" s="21" t="s">
        <v>310</v>
      </c>
      <c r="B13">
        <v>3</v>
      </c>
    </row>
    <row r="14" spans="1:2">
      <c r="A14" s="21" t="s">
        <v>298</v>
      </c>
      <c r="B14" s="30">
        <f>B2-B13</f>
        <v>47</v>
      </c>
    </row>
    <row r="15" spans="1:2">
      <c r="A15" s="21" t="s">
        <v>312</v>
      </c>
      <c r="B15" s="27">
        <f>FV(B3,B1/12,0,-B14)</f>
        <v>48.160668600010119</v>
      </c>
    </row>
    <row r="16" spans="1:2">
      <c r="A16" s="21" t="s">
        <v>313</v>
      </c>
      <c r="B16" s="27">
        <f>B2-B15</f>
        <v>1.8393313999898808</v>
      </c>
    </row>
    <row r="18" spans="1:1">
      <c r="A18" s="21" t="s">
        <v>315</v>
      </c>
    </row>
  </sheetData>
  <phoneticPr fontId="1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41641-4A2D-E147-BC70-4E698C0D4CB4}">
  <dimension ref="A1:B6"/>
  <sheetViews>
    <sheetView zoomScaleNormal="100" workbookViewId="0">
      <selection activeCell="A7" sqref="A7"/>
    </sheetView>
  </sheetViews>
  <sheetFormatPr baseColWidth="10" defaultRowHeight="13"/>
  <sheetData>
    <row r="1" spans="1:2">
      <c r="A1" s="21" t="s">
        <v>283</v>
      </c>
      <c r="B1" s="21" t="s">
        <v>279</v>
      </c>
    </row>
    <row r="2" spans="1:2">
      <c r="A2">
        <v>35</v>
      </c>
      <c r="B2">
        <v>80</v>
      </c>
    </row>
    <row r="3" spans="1:2">
      <c r="A3">
        <f>(A2+A4)/2</f>
        <v>22.5</v>
      </c>
      <c r="B3">
        <v>100</v>
      </c>
    </row>
    <row r="4" spans="1:2">
      <c r="A4">
        <v>10</v>
      </c>
      <c r="B4">
        <v>120</v>
      </c>
    </row>
    <row r="6" spans="1:2">
      <c r="A6" s="21" t="s">
        <v>316</v>
      </c>
    </row>
  </sheetData>
  <phoneticPr fontId="1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5C7F8-59F9-8449-9FB9-C4AA6B75B699}">
  <dimension ref="A1:E25"/>
  <sheetViews>
    <sheetView tabSelected="1" topLeftCell="A3" zoomScale="120" zoomScaleNormal="120" workbookViewId="0">
      <selection activeCell="A25" sqref="A25"/>
    </sheetView>
  </sheetViews>
  <sheetFormatPr baseColWidth="10" defaultRowHeight="13"/>
  <cols>
    <col min="1" max="1" width="25.5" bestFit="1" customWidth="1"/>
    <col min="2" max="2" width="13.6640625" bestFit="1" customWidth="1"/>
    <col min="3" max="3" width="16" bestFit="1" customWidth="1"/>
    <col min="4" max="4" width="14" bestFit="1" customWidth="1"/>
  </cols>
  <sheetData>
    <row r="1" spans="1:5">
      <c r="A1" s="21" t="s">
        <v>269</v>
      </c>
      <c r="B1" s="21" t="s">
        <v>220</v>
      </c>
    </row>
    <row r="2" spans="1:5">
      <c r="A2">
        <v>10</v>
      </c>
      <c r="B2">
        <v>55</v>
      </c>
    </row>
    <row r="3" spans="1:5">
      <c r="A3">
        <v>5</v>
      </c>
      <c r="B3">
        <v>65</v>
      </c>
    </row>
    <row r="5" spans="1:5">
      <c r="A5" s="21" t="s">
        <v>218</v>
      </c>
    </row>
    <row r="6" spans="1:5">
      <c r="A6" s="21" t="s">
        <v>317</v>
      </c>
      <c r="B6">
        <f>SUM(A2:A3)/2</f>
        <v>7.5</v>
      </c>
    </row>
    <row r="8" spans="1:5">
      <c r="A8" s="21" t="s">
        <v>215</v>
      </c>
    </row>
    <row r="9" spans="1:5">
      <c r="A9" s="21" t="s">
        <v>269</v>
      </c>
      <c r="B9" s="21" t="s">
        <v>220</v>
      </c>
    </row>
    <row r="10" spans="1:5">
      <c r="A10">
        <v>8</v>
      </c>
      <c r="B10">
        <v>60</v>
      </c>
    </row>
    <row r="12" spans="1:5">
      <c r="A12" s="21" t="s">
        <v>318</v>
      </c>
      <c r="B12" s="21" t="s">
        <v>319</v>
      </c>
      <c r="C12" s="21" t="s">
        <v>320</v>
      </c>
      <c r="D12" s="21" t="s">
        <v>321</v>
      </c>
      <c r="E12" s="21" t="s">
        <v>249</v>
      </c>
    </row>
    <row r="13" spans="1:5">
      <c r="A13" s="22">
        <v>40</v>
      </c>
      <c r="B13">
        <f>IF(A13&lt;$B$2,$B$2-A13,0)-$A$2</f>
        <v>5</v>
      </c>
      <c r="C13">
        <f>2*($A$10-IF(A13&lt;$B$10,$B$10-A13,0))</f>
        <v>-24</v>
      </c>
      <c r="D13">
        <f>IF(A13&lt;$B$3,$B$3-A13,0)-$A$3</f>
        <v>20</v>
      </c>
      <c r="E13">
        <f>SUM(B13:D13)</f>
        <v>1</v>
      </c>
    </row>
    <row r="14" spans="1:5">
      <c r="A14">
        <v>45</v>
      </c>
      <c r="B14">
        <f t="shared" ref="B14:B23" si="0">IF(A14&lt;$B$2,$B$2-A14,0)-$A$2</f>
        <v>0</v>
      </c>
      <c r="C14">
        <f t="shared" ref="C14:C23" si="1">2*($A$10-IF(A14&lt;$B$10,$B$10-A14,0))</f>
        <v>-14</v>
      </c>
      <c r="D14">
        <f t="shared" ref="D14:D23" si="2">IF(A14&lt;$B$3,$B$3-A14,0)-$A$3</f>
        <v>15</v>
      </c>
      <c r="E14">
        <f t="shared" ref="E14:E23" si="3">SUM(B14:D14)</f>
        <v>1</v>
      </c>
    </row>
    <row r="15" spans="1:5">
      <c r="A15" s="22">
        <v>50</v>
      </c>
      <c r="B15">
        <f t="shared" si="0"/>
        <v>-5</v>
      </c>
      <c r="C15">
        <f t="shared" si="1"/>
        <v>-4</v>
      </c>
      <c r="D15">
        <f t="shared" si="2"/>
        <v>10</v>
      </c>
      <c r="E15">
        <f t="shared" si="3"/>
        <v>1</v>
      </c>
    </row>
    <row r="16" spans="1:5">
      <c r="A16">
        <v>55</v>
      </c>
      <c r="B16">
        <f t="shared" si="0"/>
        <v>-10</v>
      </c>
      <c r="C16">
        <f t="shared" si="1"/>
        <v>6</v>
      </c>
      <c r="D16">
        <f t="shared" si="2"/>
        <v>5</v>
      </c>
      <c r="E16">
        <f t="shared" si="3"/>
        <v>1</v>
      </c>
    </row>
    <row r="17" spans="1:5">
      <c r="A17" s="22">
        <v>60</v>
      </c>
      <c r="B17">
        <f t="shared" si="0"/>
        <v>-10</v>
      </c>
      <c r="C17">
        <f t="shared" si="1"/>
        <v>16</v>
      </c>
      <c r="D17">
        <f t="shared" si="2"/>
        <v>0</v>
      </c>
      <c r="E17">
        <f t="shared" si="3"/>
        <v>6</v>
      </c>
    </row>
    <row r="18" spans="1:5">
      <c r="A18">
        <v>65</v>
      </c>
      <c r="B18">
        <f t="shared" si="0"/>
        <v>-10</v>
      </c>
      <c r="C18">
        <f t="shared" si="1"/>
        <v>16</v>
      </c>
      <c r="D18">
        <f t="shared" si="2"/>
        <v>-5</v>
      </c>
      <c r="E18">
        <f t="shared" si="3"/>
        <v>1</v>
      </c>
    </row>
    <row r="19" spans="1:5">
      <c r="A19" s="22">
        <v>70</v>
      </c>
      <c r="B19">
        <f t="shared" si="0"/>
        <v>-10</v>
      </c>
      <c r="C19">
        <f t="shared" si="1"/>
        <v>16</v>
      </c>
      <c r="D19">
        <f t="shared" si="2"/>
        <v>-5</v>
      </c>
      <c r="E19">
        <f t="shared" si="3"/>
        <v>1</v>
      </c>
    </row>
    <row r="20" spans="1:5">
      <c r="A20">
        <v>75</v>
      </c>
      <c r="B20">
        <f t="shared" si="0"/>
        <v>-10</v>
      </c>
      <c r="C20">
        <f t="shared" si="1"/>
        <v>16</v>
      </c>
      <c r="D20">
        <f t="shared" si="2"/>
        <v>-5</v>
      </c>
      <c r="E20">
        <f t="shared" si="3"/>
        <v>1</v>
      </c>
    </row>
    <row r="21" spans="1:5">
      <c r="A21" s="22">
        <v>80</v>
      </c>
      <c r="B21">
        <f t="shared" si="0"/>
        <v>-10</v>
      </c>
      <c r="C21">
        <f t="shared" si="1"/>
        <v>16</v>
      </c>
      <c r="D21">
        <f t="shared" si="2"/>
        <v>-5</v>
      </c>
      <c r="E21">
        <f t="shared" si="3"/>
        <v>1</v>
      </c>
    </row>
    <row r="22" spans="1:5">
      <c r="A22">
        <v>85</v>
      </c>
      <c r="B22">
        <f t="shared" si="0"/>
        <v>-10</v>
      </c>
      <c r="C22">
        <f t="shared" si="1"/>
        <v>16</v>
      </c>
      <c r="D22">
        <f t="shared" si="2"/>
        <v>-5</v>
      </c>
      <c r="E22">
        <f t="shared" si="3"/>
        <v>1</v>
      </c>
    </row>
    <row r="23" spans="1:5">
      <c r="A23" s="22">
        <v>90</v>
      </c>
      <c r="B23">
        <f t="shared" si="0"/>
        <v>-10</v>
      </c>
      <c r="C23">
        <f t="shared" si="1"/>
        <v>16</v>
      </c>
      <c r="D23">
        <f t="shared" si="2"/>
        <v>-5</v>
      </c>
      <c r="E23">
        <f t="shared" si="3"/>
        <v>1</v>
      </c>
    </row>
    <row r="25" spans="1:5">
      <c r="A25" s="21" t="s">
        <v>322</v>
      </c>
    </row>
  </sheetData>
  <phoneticPr fontId="1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May 2009</vt:lpstr>
      <vt:lpstr>Jun 2009</vt:lpstr>
      <vt:lpstr>IBM Jul09</vt:lpstr>
      <vt:lpstr>Oct2009</vt:lpstr>
      <vt:lpstr>Jan2010</vt:lpstr>
      <vt:lpstr>Jan2011</vt:lpstr>
      <vt:lpstr>Peacemount prices</vt:lpstr>
      <vt:lpstr>EoC Exercise 1 Template</vt:lpstr>
      <vt:lpstr>EoC Exercise 2 Template</vt:lpstr>
      <vt:lpstr>EoC Exercise 3 Template</vt:lpstr>
      <vt:lpstr>EoC Exercise 4 Template</vt:lpstr>
      <vt:lpstr>EoC Exercise 5 Template</vt:lpstr>
      <vt:lpstr>EoC Exercise 6 Template</vt:lpstr>
      <vt:lpstr>EoC Exercise 7 Template</vt:lpstr>
      <vt:lpstr>EoC Exercise 8 Template</vt:lpstr>
      <vt:lpstr>EoC Exercise 9 Template</vt:lpstr>
      <vt:lpstr>EoC Exercise 10 Template</vt:lpstr>
      <vt:lpstr>EoC Exercise 11 Template</vt:lpstr>
      <vt:lpstr>EoC Exercise 12 Template</vt:lpstr>
      <vt:lpstr>EoC Exercise 13 Template</vt:lpstr>
      <vt:lpstr>EoC Exercise 14 Template</vt:lpstr>
      <vt:lpstr>EoC Exercise 15 Template</vt:lpstr>
      <vt:lpstr>EoC Exercise 16 Template</vt:lpstr>
    </vt:vector>
  </TitlesOfParts>
  <Company>University of Pennsylvania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cp:lastPrinted>2015-05-18T08:15:24Z</cp:lastPrinted>
  <dcterms:created xsi:type="dcterms:W3CDTF">2001-08-10T15:33:48Z</dcterms:created>
  <dcterms:modified xsi:type="dcterms:W3CDTF">2023-12-14T15:25:21Z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PFE3_Ch17_student materials.xlsm</vt:lpwstr>
  </property>
</Properties>
</file>