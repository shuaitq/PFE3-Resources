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7643CF57-DE57-1642-98A0-936076FF0A74}" xr6:coauthVersionLast="47" xr6:coauthVersionMax="47" xr10:uidLastSave="{00000000-0000-0000-0000-000000000000}"/>
  <bookViews>
    <workbookView xWindow="4200" yWindow="500" windowWidth="29400" windowHeight="19060" tabRatio="818" firstSheet="6" activeTab="13" xr2:uid="{00000000-000D-0000-FFFF-FFFF00000000}"/>
  </bookViews>
  <sheets>
    <sheet name="Exercise 1 Template" sheetId="95" r:id="rId1"/>
    <sheet name="Exercise 2 Template" sheetId="96" r:id="rId2"/>
    <sheet name="Exercise 3 Template" sheetId="97" r:id="rId3"/>
    <sheet name="Exercise 4 Template" sheetId="98" r:id="rId4"/>
    <sheet name="Exercise 5 Template" sheetId="99" r:id="rId5"/>
    <sheet name="Exercise 6 Template" sheetId="100" r:id="rId6"/>
    <sheet name="Exercise 7 Template" sheetId="101" r:id="rId7"/>
    <sheet name="Exercise 8 Template" sheetId="102" r:id="rId8"/>
    <sheet name="Exercise 9 Template" sheetId="103" r:id="rId9"/>
    <sheet name="Exercise 10 Template" sheetId="104" r:id="rId10"/>
    <sheet name="Exercise 11 Template" sheetId="105" r:id="rId11"/>
    <sheet name="Exercise 12 Template" sheetId="106" r:id="rId12"/>
    <sheet name="Exercise 13 Template" sheetId="107" r:id="rId13"/>
    <sheet name="Exercise 14 Template" sheetId="108" r:id="rId1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" i="108" l="1"/>
  <c r="A7" i="108"/>
  <c r="B4" i="108"/>
  <c r="E11" i="108"/>
  <c r="D12" i="108"/>
  <c r="D13" i="108"/>
  <c r="D14" i="108"/>
  <c r="D15" i="108"/>
  <c r="D11" i="108"/>
  <c r="C11" i="108"/>
  <c r="B11" i="108"/>
  <c r="B200" i="107"/>
  <c r="B197" i="107"/>
  <c r="B5" i="107"/>
  <c r="B2" i="107"/>
  <c r="B3" i="107" s="1"/>
  <c r="A20" i="106"/>
  <c r="A17" i="106"/>
  <c r="E11" i="106"/>
  <c r="E12" i="106"/>
  <c r="E13" i="106"/>
  <c r="E14" i="106"/>
  <c r="E10" i="106"/>
  <c r="C10" i="106"/>
  <c r="B10" i="106"/>
  <c r="D10" i="106"/>
  <c r="F10" i="106" s="1"/>
  <c r="B11" i="106" s="1"/>
  <c r="C11" i="106" s="1"/>
  <c r="A6" i="106"/>
  <c r="B63" i="105"/>
  <c r="B16" i="105"/>
  <c r="B17" i="105"/>
  <c r="B18" i="105"/>
  <c r="B19" i="105"/>
  <c r="B20" i="105"/>
  <c r="B21" i="105"/>
  <c r="B22" i="105"/>
  <c r="B23" i="105"/>
  <c r="B24" i="105"/>
  <c r="B25" i="105"/>
  <c r="B26" i="105"/>
  <c r="B27" i="105"/>
  <c r="B28" i="105"/>
  <c r="B29" i="105"/>
  <c r="B30" i="105"/>
  <c r="B31" i="105"/>
  <c r="B32" i="105"/>
  <c r="B33" i="105"/>
  <c r="B34" i="105"/>
  <c r="B35" i="105"/>
  <c r="B36" i="105"/>
  <c r="B37" i="105"/>
  <c r="B38" i="105"/>
  <c r="B39" i="105"/>
  <c r="B40" i="105"/>
  <c r="B41" i="105"/>
  <c r="B42" i="105"/>
  <c r="B43" i="105"/>
  <c r="B44" i="105"/>
  <c r="B45" i="105"/>
  <c r="B46" i="105"/>
  <c r="B47" i="105"/>
  <c r="B48" i="105"/>
  <c r="B49" i="105"/>
  <c r="B50" i="105"/>
  <c r="B51" i="105"/>
  <c r="B52" i="105"/>
  <c r="B53" i="105"/>
  <c r="B54" i="105"/>
  <c r="B55" i="105"/>
  <c r="B56" i="105"/>
  <c r="B57" i="105"/>
  <c r="B58" i="105"/>
  <c r="B59" i="105"/>
  <c r="B60" i="105"/>
  <c r="B61" i="105"/>
  <c r="B62" i="105"/>
  <c r="B15" i="105"/>
  <c r="B11" i="105"/>
  <c r="B10" i="105"/>
  <c r="B7" i="105"/>
  <c r="B6" i="104"/>
  <c r="B8" i="103"/>
  <c r="C8" i="103" s="1"/>
  <c r="D8" i="103" s="1"/>
  <c r="F8" i="103" s="1"/>
  <c r="B9" i="103" s="1"/>
  <c r="C9" i="103" s="1"/>
  <c r="D9" i="103" s="1"/>
  <c r="E9" i="103"/>
  <c r="E10" i="103"/>
  <c r="E11" i="103"/>
  <c r="E12" i="103"/>
  <c r="E13" i="103"/>
  <c r="E14" i="103"/>
  <c r="E15" i="103"/>
  <c r="E16" i="103"/>
  <c r="E17" i="103"/>
  <c r="E18" i="103"/>
  <c r="E19" i="103"/>
  <c r="E20" i="103"/>
  <c r="E21" i="103"/>
  <c r="E22" i="103"/>
  <c r="E23" i="103"/>
  <c r="E24" i="103"/>
  <c r="E25" i="103"/>
  <c r="E26" i="103"/>
  <c r="E27" i="103"/>
  <c r="E28" i="103"/>
  <c r="E29" i="103"/>
  <c r="E30" i="103"/>
  <c r="E31" i="103"/>
  <c r="E32" i="103"/>
  <c r="E33" i="103"/>
  <c r="E34" i="103"/>
  <c r="E35" i="103"/>
  <c r="E36" i="103"/>
  <c r="E37" i="103"/>
  <c r="E38" i="103"/>
  <c r="E39" i="103"/>
  <c r="E40" i="103"/>
  <c r="E41" i="103"/>
  <c r="E42" i="103"/>
  <c r="E43" i="103"/>
  <c r="E44" i="103"/>
  <c r="E45" i="103"/>
  <c r="E46" i="103"/>
  <c r="E47" i="103"/>
  <c r="E48" i="103"/>
  <c r="E49" i="103"/>
  <c r="E50" i="103"/>
  <c r="E51" i="103"/>
  <c r="E52" i="103"/>
  <c r="E53" i="103"/>
  <c r="E54" i="103"/>
  <c r="E55" i="103"/>
  <c r="E56" i="103"/>
  <c r="E57" i="103"/>
  <c r="E58" i="103"/>
  <c r="E59" i="103"/>
  <c r="E60" i="103"/>
  <c r="E61" i="103"/>
  <c r="E62" i="103"/>
  <c r="E63" i="103"/>
  <c r="E64" i="103"/>
  <c r="E65" i="103"/>
  <c r="E66" i="103"/>
  <c r="E67" i="103"/>
  <c r="E8" i="103"/>
  <c r="B3" i="103"/>
  <c r="A7" i="102"/>
  <c r="A24" i="101"/>
  <c r="B21" i="101"/>
  <c r="B20" i="101"/>
  <c r="E9" i="101"/>
  <c r="E10" i="101"/>
  <c r="E11" i="101"/>
  <c r="E12" i="101"/>
  <c r="E13" i="101"/>
  <c r="E14" i="101"/>
  <c r="E15" i="101"/>
  <c r="E16" i="101"/>
  <c r="E17" i="101"/>
  <c r="E8" i="101"/>
  <c r="B6" i="101"/>
  <c r="B8" i="101"/>
  <c r="C8" i="101" s="1"/>
  <c r="B56" i="100"/>
  <c r="B55" i="100"/>
  <c r="B54" i="100"/>
  <c r="E42" i="100"/>
  <c r="E43" i="100"/>
  <c r="E44" i="100"/>
  <c r="E45" i="100"/>
  <c r="E46" i="100"/>
  <c r="E47" i="100"/>
  <c r="E48" i="100"/>
  <c r="E49" i="100"/>
  <c r="E50" i="100"/>
  <c r="E51" i="100"/>
  <c r="E52" i="100"/>
  <c r="E41" i="100"/>
  <c r="C41" i="100"/>
  <c r="B39" i="100"/>
  <c r="B13" i="100"/>
  <c r="C13" i="100" s="1"/>
  <c r="A9" i="100"/>
  <c r="A6" i="100"/>
  <c r="E17" i="100" s="1"/>
  <c r="A62" i="99"/>
  <c r="E61" i="99"/>
  <c r="F55" i="99"/>
  <c r="F38" i="99"/>
  <c r="F37" i="99"/>
  <c r="C37" i="99"/>
  <c r="D60" i="99"/>
  <c r="D59" i="99"/>
  <c r="D58" i="99"/>
  <c r="D57" i="99"/>
  <c r="D56" i="99"/>
  <c r="D55" i="99"/>
  <c r="D54" i="99"/>
  <c r="D53" i="99"/>
  <c r="D52" i="99"/>
  <c r="D51" i="99"/>
  <c r="D50" i="99"/>
  <c r="D49" i="99"/>
  <c r="D48" i="99"/>
  <c r="D47" i="99"/>
  <c r="D46" i="99"/>
  <c r="D45" i="99"/>
  <c r="D44" i="99"/>
  <c r="D43" i="99"/>
  <c r="D42" i="99"/>
  <c r="D41" i="99"/>
  <c r="D40" i="99"/>
  <c r="D39" i="99"/>
  <c r="D38" i="99"/>
  <c r="E37" i="99"/>
  <c r="D37" i="99"/>
  <c r="B37" i="99"/>
  <c r="E35" i="99"/>
  <c r="D34" i="99"/>
  <c r="B11" i="99"/>
  <c r="D33" i="99"/>
  <c r="D32" i="99"/>
  <c r="D31" i="99"/>
  <c r="D30" i="99"/>
  <c r="D29" i="99"/>
  <c r="D28" i="99"/>
  <c r="D27" i="99"/>
  <c r="D26" i="99"/>
  <c r="D25" i="99"/>
  <c r="D24" i="99"/>
  <c r="D23" i="99"/>
  <c r="D22" i="99"/>
  <c r="D21" i="99"/>
  <c r="D20" i="99"/>
  <c r="D19" i="99"/>
  <c r="D18" i="99"/>
  <c r="D17" i="99"/>
  <c r="D16" i="99"/>
  <c r="D15" i="99"/>
  <c r="D14" i="99"/>
  <c r="D13" i="99"/>
  <c r="D12" i="99"/>
  <c r="D11" i="99"/>
  <c r="A5" i="99"/>
  <c r="A9" i="98"/>
  <c r="A5" i="98"/>
  <c r="D20" i="97"/>
  <c r="D19" i="97"/>
  <c r="D18" i="97"/>
  <c r="D17" i="97"/>
  <c r="D16" i="97"/>
  <c r="D15" i="97"/>
  <c r="D14" i="97"/>
  <c r="D13" i="97"/>
  <c r="D12" i="97"/>
  <c r="D11" i="97"/>
  <c r="D10" i="97"/>
  <c r="D9" i="97"/>
  <c r="D8" i="97"/>
  <c r="D7" i="97"/>
  <c r="D6" i="97"/>
  <c r="C6" i="97"/>
  <c r="E6" i="97" s="1"/>
  <c r="B6" i="97"/>
  <c r="D29" i="96"/>
  <c r="D7" i="96"/>
  <c r="D8" i="96"/>
  <c r="D9" i="96"/>
  <c r="D10" i="96"/>
  <c r="D11" i="96"/>
  <c r="D12" i="96"/>
  <c r="D13" i="96"/>
  <c r="D14" i="96"/>
  <c r="D15" i="96"/>
  <c r="D16" i="96"/>
  <c r="D17" i="96"/>
  <c r="D18" i="96"/>
  <c r="D19" i="96"/>
  <c r="D20" i="96"/>
  <c r="D21" i="96"/>
  <c r="D22" i="96"/>
  <c r="D23" i="96"/>
  <c r="D24" i="96"/>
  <c r="D25" i="96"/>
  <c r="D26" i="96"/>
  <c r="D27" i="96"/>
  <c r="D28" i="96"/>
  <c r="D6" i="96"/>
  <c r="B6" i="96"/>
  <c r="B20" i="95"/>
  <c r="B19" i="95"/>
  <c r="B15" i="95"/>
  <c r="B14" i="95"/>
  <c r="B9" i="95"/>
  <c r="B8" i="95"/>
  <c r="F11" i="108" l="1"/>
  <c r="B12" i="108" s="1"/>
  <c r="C12" i="108" s="1"/>
  <c r="F12" i="108" s="1"/>
  <c r="B13" i="108" s="1"/>
  <c r="C13" i="108" s="1"/>
  <c r="E13" i="108" s="1"/>
  <c r="B166" i="107"/>
  <c r="B182" i="107"/>
  <c r="B80" i="107"/>
  <c r="B96" i="107"/>
  <c r="B128" i="107"/>
  <c r="B27" i="107"/>
  <c r="B35" i="107"/>
  <c r="B59" i="107"/>
  <c r="B194" i="107"/>
  <c r="B167" i="107"/>
  <c r="B183" i="107"/>
  <c r="B105" i="107"/>
  <c r="B28" i="107"/>
  <c r="B68" i="107"/>
  <c r="B152" i="107"/>
  <c r="B176" i="107"/>
  <c r="B90" i="107"/>
  <c r="B122" i="107"/>
  <c r="B37" i="107"/>
  <c r="B69" i="107"/>
  <c r="B142" i="107"/>
  <c r="B158" i="107"/>
  <c r="B174" i="107"/>
  <c r="B190" i="107"/>
  <c r="B104" i="107"/>
  <c r="B19" i="107"/>
  <c r="B67" i="107"/>
  <c r="B151" i="107"/>
  <c r="B175" i="107"/>
  <c r="B97" i="107"/>
  <c r="B20" i="107"/>
  <c r="B52" i="107"/>
  <c r="B144" i="107"/>
  <c r="B168" i="107"/>
  <c r="B82" i="107"/>
  <c r="B114" i="107"/>
  <c r="B29" i="107"/>
  <c r="B61" i="107"/>
  <c r="B150" i="107"/>
  <c r="B88" i="107"/>
  <c r="B112" i="107"/>
  <c r="B120" i="107"/>
  <c r="B75" i="107"/>
  <c r="B51" i="107"/>
  <c r="B143" i="107"/>
  <c r="B191" i="107"/>
  <c r="B121" i="107"/>
  <c r="B36" i="107"/>
  <c r="B60" i="107"/>
  <c r="B136" i="107"/>
  <c r="B184" i="107"/>
  <c r="B106" i="107"/>
  <c r="B13" i="107"/>
  <c r="B146" i="107"/>
  <c r="B154" i="107"/>
  <c r="B162" i="107"/>
  <c r="B170" i="107"/>
  <c r="B178" i="107"/>
  <c r="B186" i="107"/>
  <c r="B76" i="107"/>
  <c r="B84" i="107"/>
  <c r="B92" i="107"/>
  <c r="B100" i="107"/>
  <c r="B108" i="107"/>
  <c r="B116" i="107"/>
  <c r="B124" i="107"/>
  <c r="B132" i="107"/>
  <c r="B15" i="107"/>
  <c r="B23" i="107"/>
  <c r="B31" i="107"/>
  <c r="B39" i="107"/>
  <c r="B47" i="107"/>
  <c r="B55" i="107"/>
  <c r="B63" i="107"/>
  <c r="B71" i="107"/>
  <c r="B43" i="107"/>
  <c r="B159" i="107"/>
  <c r="B81" i="107"/>
  <c r="B89" i="107"/>
  <c r="B113" i="107"/>
  <c r="B129" i="107"/>
  <c r="B44" i="107"/>
  <c r="B160" i="107"/>
  <c r="B192" i="107"/>
  <c r="B98" i="107"/>
  <c r="B130" i="107"/>
  <c r="B21" i="107"/>
  <c r="B45" i="107"/>
  <c r="B53" i="107"/>
  <c r="B139" i="107"/>
  <c r="B138" i="107"/>
  <c r="B70" i="107"/>
  <c r="B62" i="107"/>
  <c r="B54" i="107"/>
  <c r="B46" i="107"/>
  <c r="B38" i="107"/>
  <c r="B30" i="107"/>
  <c r="B22" i="107"/>
  <c r="B14" i="107"/>
  <c r="B131" i="107"/>
  <c r="B123" i="107"/>
  <c r="B115" i="107"/>
  <c r="B107" i="107"/>
  <c r="B99" i="107"/>
  <c r="B91" i="107"/>
  <c r="B83" i="107"/>
  <c r="B193" i="107"/>
  <c r="B185" i="107"/>
  <c r="B177" i="107"/>
  <c r="B169" i="107"/>
  <c r="B161" i="107"/>
  <c r="B153" i="107"/>
  <c r="B145" i="107"/>
  <c r="B137" i="107"/>
  <c r="B66" i="107"/>
  <c r="B50" i="107"/>
  <c r="B34" i="107"/>
  <c r="B18" i="107"/>
  <c r="B135" i="107"/>
  <c r="B127" i="107"/>
  <c r="B119" i="107"/>
  <c r="B103" i="107"/>
  <c r="B95" i="107"/>
  <c r="B79" i="107"/>
  <c r="B189" i="107"/>
  <c r="B181" i="107"/>
  <c r="B173" i="107"/>
  <c r="B165" i="107"/>
  <c r="B157" i="107"/>
  <c r="B141" i="107"/>
  <c r="B58" i="107"/>
  <c r="B26" i="107"/>
  <c r="B111" i="107"/>
  <c r="B87" i="107"/>
  <c r="B149" i="107"/>
  <c r="B8" i="107"/>
  <c r="B198" i="107" s="1"/>
  <c r="B65" i="107"/>
  <c r="B57" i="107"/>
  <c r="B49" i="107"/>
  <c r="B41" i="107"/>
  <c r="B33" i="107"/>
  <c r="B25" i="107"/>
  <c r="B17" i="107"/>
  <c r="B134" i="107"/>
  <c r="B126" i="107"/>
  <c r="B118" i="107"/>
  <c r="B110" i="107"/>
  <c r="B102" i="107"/>
  <c r="B94" i="107"/>
  <c r="B86" i="107"/>
  <c r="B78" i="107"/>
  <c r="B188" i="107"/>
  <c r="B180" i="107"/>
  <c r="B172" i="107"/>
  <c r="B164" i="107"/>
  <c r="B156" i="107"/>
  <c r="B148" i="107"/>
  <c r="B140" i="107"/>
  <c r="B42" i="107"/>
  <c r="B12" i="107"/>
  <c r="B64" i="107"/>
  <c r="B56" i="107"/>
  <c r="B48" i="107"/>
  <c r="B40" i="107"/>
  <c r="B32" i="107"/>
  <c r="B24" i="107"/>
  <c r="B16" i="107"/>
  <c r="B133" i="107"/>
  <c r="B125" i="107"/>
  <c r="B117" i="107"/>
  <c r="B109" i="107"/>
  <c r="B101" i="107"/>
  <c r="B93" i="107"/>
  <c r="B85" i="107"/>
  <c r="B77" i="107"/>
  <c r="B187" i="107"/>
  <c r="B179" i="107"/>
  <c r="B171" i="107"/>
  <c r="B163" i="107"/>
  <c r="B155" i="107"/>
  <c r="B147" i="107"/>
  <c r="D11" i="106"/>
  <c r="F11" i="106" s="1"/>
  <c r="B12" i="106" s="1"/>
  <c r="C12" i="106" s="1"/>
  <c r="F9" i="103"/>
  <c r="B10" i="103" s="1"/>
  <c r="D8" i="101"/>
  <c r="F8" i="101"/>
  <c r="B9" i="101" s="1"/>
  <c r="C9" i="101" s="1"/>
  <c r="D9" i="101" s="1"/>
  <c r="F9" i="101" s="1"/>
  <c r="B10" i="101" s="1"/>
  <c r="C10" i="101" s="1"/>
  <c r="E16" i="100"/>
  <c r="E32" i="100"/>
  <c r="E15" i="100"/>
  <c r="E30" i="100"/>
  <c r="E14" i="100"/>
  <c r="E29" i="100"/>
  <c r="E21" i="100"/>
  <c r="E24" i="100"/>
  <c r="E31" i="100"/>
  <c r="E23" i="100"/>
  <c r="E22" i="100"/>
  <c r="E28" i="100"/>
  <c r="E20" i="100"/>
  <c r="E27" i="100"/>
  <c r="E19" i="100"/>
  <c r="E26" i="100"/>
  <c r="E18" i="100"/>
  <c r="E13" i="100"/>
  <c r="D13" i="100" s="1"/>
  <c r="F13" i="100" s="1"/>
  <c r="E25" i="100"/>
  <c r="B14" i="100"/>
  <c r="B38" i="99"/>
  <c r="C38" i="99" s="1"/>
  <c r="C11" i="99"/>
  <c r="E11" i="99" s="1"/>
  <c r="F6" i="97"/>
  <c r="B7" i="97" s="1"/>
  <c r="C7" i="97" s="1"/>
  <c r="E7" i="97" s="1"/>
  <c r="C6" i="96"/>
  <c r="E6" i="96" s="1"/>
  <c r="F6" i="96" s="1"/>
  <c r="B7" i="96" s="1"/>
  <c r="C7" i="96" s="1"/>
  <c r="E7" i="96" s="1"/>
  <c r="F7" i="96" s="1"/>
  <c r="B8" i="96" s="1"/>
  <c r="C8" i="96" s="1"/>
  <c r="E8" i="96" s="1"/>
  <c r="F8" i="96" s="1"/>
  <c r="B9" i="96" s="1"/>
  <c r="E12" i="108" l="1"/>
  <c r="F13" i="108"/>
  <c r="B14" i="108" s="1"/>
  <c r="C14" i="108" s="1"/>
  <c r="E14" i="108" s="1"/>
  <c r="B72" i="107"/>
  <c r="B195" i="107"/>
  <c r="B199" i="107" s="1"/>
  <c r="D12" i="106"/>
  <c r="F12" i="106" s="1"/>
  <c r="B13" i="106" s="1"/>
  <c r="C13" i="106" s="1"/>
  <c r="C10" i="103"/>
  <c r="D10" i="103" s="1"/>
  <c r="F10" i="103" s="1"/>
  <c r="B11" i="103" s="1"/>
  <c r="D10" i="101"/>
  <c r="F10" i="101"/>
  <c r="B11" i="101" s="1"/>
  <c r="C11" i="101" s="1"/>
  <c r="C14" i="100"/>
  <c r="D14" i="100" s="1"/>
  <c r="F14" i="100" s="1"/>
  <c r="E38" i="99"/>
  <c r="B39" i="99"/>
  <c r="F11" i="99"/>
  <c r="B12" i="99" s="1"/>
  <c r="C12" i="99" s="1"/>
  <c r="E12" i="99" s="1"/>
  <c r="F7" i="97"/>
  <c r="B8" i="97" s="1"/>
  <c r="C8" i="97" s="1"/>
  <c r="E8" i="97" s="1"/>
  <c r="F8" i="97" s="1"/>
  <c r="B9" i="97" s="1"/>
  <c r="C9" i="96"/>
  <c r="E9" i="96" s="1"/>
  <c r="F9" i="96" s="1"/>
  <c r="B10" i="96" s="1"/>
  <c r="F14" i="108" l="1"/>
  <c r="B15" i="108" s="1"/>
  <c r="C15" i="108" s="1"/>
  <c r="E15" i="108" s="1"/>
  <c r="D13" i="106"/>
  <c r="F13" i="106"/>
  <c r="B14" i="106" s="1"/>
  <c r="C14" i="106" s="1"/>
  <c r="C11" i="103"/>
  <c r="D11" i="103" s="1"/>
  <c r="F11" i="103" s="1"/>
  <c r="B12" i="103" s="1"/>
  <c r="D11" i="101"/>
  <c r="F11" i="101" s="1"/>
  <c r="B12" i="101" s="1"/>
  <c r="C12" i="101" s="1"/>
  <c r="B15" i="100"/>
  <c r="C39" i="99"/>
  <c r="E39" i="99"/>
  <c r="F39" i="99" s="1"/>
  <c r="B40" i="99" s="1"/>
  <c r="F12" i="99"/>
  <c r="B13" i="99" s="1"/>
  <c r="C13" i="99" s="1"/>
  <c r="E13" i="99" s="1"/>
  <c r="C9" i="97"/>
  <c r="E9" i="97" s="1"/>
  <c r="F9" i="97" s="1"/>
  <c r="B10" i="97" s="1"/>
  <c r="C10" i="96"/>
  <c r="E10" i="96" s="1"/>
  <c r="F10" i="96"/>
  <c r="B11" i="96" s="1"/>
  <c r="F15" i="108" l="1"/>
  <c r="D14" i="106"/>
  <c r="F14" i="106" s="1"/>
  <c r="C12" i="103"/>
  <c r="D12" i="103" s="1"/>
  <c r="F12" i="103" s="1"/>
  <c r="B13" i="103" s="1"/>
  <c r="D12" i="101"/>
  <c r="F12" i="101" s="1"/>
  <c r="B13" i="101" s="1"/>
  <c r="C13" i="101" s="1"/>
  <c r="C15" i="100"/>
  <c r="D15" i="100" s="1"/>
  <c r="F15" i="100" s="1"/>
  <c r="B16" i="100" s="1"/>
  <c r="C40" i="99"/>
  <c r="E40" i="99"/>
  <c r="F13" i="99"/>
  <c r="B14" i="99" s="1"/>
  <c r="C14" i="99" s="1"/>
  <c r="C10" i="97"/>
  <c r="E10" i="97" s="1"/>
  <c r="F10" i="97" s="1"/>
  <c r="B11" i="97" s="1"/>
  <c r="C11" i="96"/>
  <c r="E11" i="96" s="1"/>
  <c r="F11" i="96"/>
  <c r="B12" i="96" s="1"/>
  <c r="C13" i="103" l="1"/>
  <c r="D13" i="103" s="1"/>
  <c r="F13" i="103" s="1"/>
  <c r="B14" i="103" s="1"/>
  <c r="D13" i="101"/>
  <c r="F13" i="101" s="1"/>
  <c r="B14" i="101" s="1"/>
  <c r="C14" i="101" s="1"/>
  <c r="C16" i="100"/>
  <c r="D16" i="100"/>
  <c r="F16" i="100" s="1"/>
  <c r="B17" i="100" s="1"/>
  <c r="F40" i="99"/>
  <c r="B41" i="99" s="1"/>
  <c r="E14" i="99"/>
  <c r="F14" i="99"/>
  <c r="C11" i="97"/>
  <c r="E11" i="97" s="1"/>
  <c r="F11" i="97" s="1"/>
  <c r="B12" i="97" s="1"/>
  <c r="C12" i="96"/>
  <c r="E12" i="96" s="1"/>
  <c r="F12" i="96" s="1"/>
  <c r="B13" i="96" s="1"/>
  <c r="C14" i="103" l="1"/>
  <c r="D14" i="103" s="1"/>
  <c r="F14" i="103" s="1"/>
  <c r="B15" i="103" s="1"/>
  <c r="D14" i="101"/>
  <c r="F14" i="101" s="1"/>
  <c r="B15" i="101" s="1"/>
  <c r="C15" i="101" s="1"/>
  <c r="C17" i="100"/>
  <c r="D17" i="100" s="1"/>
  <c r="F17" i="100" s="1"/>
  <c r="B18" i="100" s="1"/>
  <c r="C41" i="99"/>
  <c r="E41" i="99" s="1"/>
  <c r="F41" i="99"/>
  <c r="B15" i="99"/>
  <c r="C15" i="99" s="1"/>
  <c r="C12" i="97"/>
  <c r="E12" i="97" s="1"/>
  <c r="F12" i="97"/>
  <c r="B13" i="97" s="1"/>
  <c r="C13" i="96"/>
  <c r="E13" i="96" s="1"/>
  <c r="F13" i="96" s="1"/>
  <c r="B14" i="96" s="1"/>
  <c r="C15" i="103" l="1"/>
  <c r="D15" i="103" s="1"/>
  <c r="F15" i="103" s="1"/>
  <c r="B16" i="103" s="1"/>
  <c r="D15" i="101"/>
  <c r="F15" i="101" s="1"/>
  <c r="B16" i="101" s="1"/>
  <c r="C16" i="101" s="1"/>
  <c r="C18" i="100"/>
  <c r="D18" i="100" s="1"/>
  <c r="F18" i="100" s="1"/>
  <c r="B19" i="100" s="1"/>
  <c r="B42" i="99"/>
  <c r="E15" i="99"/>
  <c r="F15" i="99"/>
  <c r="B16" i="99" s="1"/>
  <c r="C16" i="99" s="1"/>
  <c r="C13" i="97"/>
  <c r="E13" i="97" s="1"/>
  <c r="F13" i="97" s="1"/>
  <c r="B14" i="97" s="1"/>
  <c r="C14" i="96"/>
  <c r="E14" i="96" s="1"/>
  <c r="F14" i="96"/>
  <c r="B15" i="96" s="1"/>
  <c r="C16" i="103" l="1"/>
  <c r="D16" i="103" s="1"/>
  <c r="F16" i="103" s="1"/>
  <c r="B17" i="103" s="1"/>
  <c r="D16" i="101"/>
  <c r="F16" i="101" s="1"/>
  <c r="B17" i="101" s="1"/>
  <c r="C17" i="101" s="1"/>
  <c r="C19" i="100"/>
  <c r="D19" i="100" s="1"/>
  <c r="F19" i="100" s="1"/>
  <c r="C42" i="99"/>
  <c r="E42" i="99" s="1"/>
  <c r="F42" i="99"/>
  <c r="B43" i="99" s="1"/>
  <c r="E16" i="99"/>
  <c r="F16" i="99"/>
  <c r="C14" i="97"/>
  <c r="E14" i="97" s="1"/>
  <c r="F14" i="97" s="1"/>
  <c r="B15" i="97" s="1"/>
  <c r="C15" i="96"/>
  <c r="E15" i="96" s="1"/>
  <c r="F15" i="96" s="1"/>
  <c r="B16" i="96" s="1"/>
  <c r="C17" i="103" l="1"/>
  <c r="D17" i="103" s="1"/>
  <c r="F17" i="103" s="1"/>
  <c r="B18" i="103" s="1"/>
  <c r="D17" i="101"/>
  <c r="F17" i="101" s="1"/>
  <c r="B20" i="100"/>
  <c r="C43" i="99"/>
  <c r="E43" i="99" s="1"/>
  <c r="F43" i="99"/>
  <c r="B44" i="99" s="1"/>
  <c r="B17" i="99"/>
  <c r="C17" i="99" s="1"/>
  <c r="C15" i="97"/>
  <c r="E15" i="97" s="1"/>
  <c r="F15" i="97"/>
  <c r="B16" i="97" s="1"/>
  <c r="C16" i="96"/>
  <c r="E16" i="96" s="1"/>
  <c r="F16" i="96" s="1"/>
  <c r="B17" i="96" s="1"/>
  <c r="C18" i="103" l="1"/>
  <c r="D18" i="103" s="1"/>
  <c r="F18" i="103" s="1"/>
  <c r="B19" i="103" s="1"/>
  <c r="C20" i="100"/>
  <c r="C44" i="99"/>
  <c r="E44" i="99" s="1"/>
  <c r="F44" i="99"/>
  <c r="E17" i="99"/>
  <c r="F17" i="99" s="1"/>
  <c r="C16" i="97"/>
  <c r="E16" i="97" s="1"/>
  <c r="F16" i="97" s="1"/>
  <c r="B17" i="97" s="1"/>
  <c r="C17" i="96"/>
  <c r="E17" i="96" s="1"/>
  <c r="F17" i="96" s="1"/>
  <c r="B18" i="96" s="1"/>
  <c r="C19" i="103" l="1"/>
  <c r="D19" i="103" s="1"/>
  <c r="F19" i="103" s="1"/>
  <c r="B20" i="103" s="1"/>
  <c r="D20" i="100"/>
  <c r="F20" i="100" s="1"/>
  <c r="A35" i="100" s="1"/>
  <c r="B45" i="99"/>
  <c r="B18" i="99"/>
  <c r="C18" i="99" s="1"/>
  <c r="C17" i="97"/>
  <c r="E17" i="97" s="1"/>
  <c r="F17" i="97" s="1"/>
  <c r="B18" i="97" s="1"/>
  <c r="C18" i="96"/>
  <c r="E18" i="96" s="1"/>
  <c r="F18" i="96"/>
  <c r="B19" i="96" s="1"/>
  <c r="C20" i="103" l="1"/>
  <c r="D20" i="103" s="1"/>
  <c r="F20" i="103" s="1"/>
  <c r="B21" i="103" s="1"/>
  <c r="B21" i="100"/>
  <c r="B41" i="100" s="1"/>
  <c r="D41" i="100" s="1"/>
  <c r="F41" i="100" s="1"/>
  <c r="B42" i="100" s="1"/>
  <c r="C42" i="100" s="1"/>
  <c r="C21" i="100"/>
  <c r="D21" i="100" s="1"/>
  <c r="F21" i="100" s="1"/>
  <c r="C45" i="99"/>
  <c r="E45" i="99" s="1"/>
  <c r="F45" i="99"/>
  <c r="E18" i="99"/>
  <c r="F18" i="99"/>
  <c r="C18" i="97"/>
  <c r="E18" i="97" s="1"/>
  <c r="F18" i="97"/>
  <c r="B19" i="97" s="1"/>
  <c r="C19" i="96"/>
  <c r="E19" i="96" s="1"/>
  <c r="F19" i="96"/>
  <c r="B20" i="96" s="1"/>
  <c r="C21" i="103" l="1"/>
  <c r="D21" i="103" s="1"/>
  <c r="F21" i="103" s="1"/>
  <c r="B22" i="103" s="1"/>
  <c r="D42" i="100"/>
  <c r="F42" i="100" s="1"/>
  <c r="B43" i="100" s="1"/>
  <c r="C43" i="100" s="1"/>
  <c r="B22" i="100"/>
  <c r="B46" i="99"/>
  <c r="B19" i="99"/>
  <c r="C19" i="99" s="1"/>
  <c r="C19" i="97"/>
  <c r="E19" i="97" s="1"/>
  <c r="F19" i="97" s="1"/>
  <c r="B20" i="97" s="1"/>
  <c r="C20" i="96"/>
  <c r="E20" i="96" s="1"/>
  <c r="F20" i="96" s="1"/>
  <c r="B21" i="96" s="1"/>
  <c r="C22" i="103" l="1"/>
  <c r="D22" i="103" s="1"/>
  <c r="F22" i="103" s="1"/>
  <c r="B23" i="103" s="1"/>
  <c r="D43" i="100"/>
  <c r="F43" i="100" s="1"/>
  <c r="B44" i="100" s="1"/>
  <c r="C22" i="100"/>
  <c r="D22" i="100" s="1"/>
  <c r="F22" i="100" s="1"/>
  <c r="C46" i="99"/>
  <c r="E46" i="99" s="1"/>
  <c r="F46" i="99"/>
  <c r="E19" i="99"/>
  <c r="F19" i="99"/>
  <c r="C20" i="97"/>
  <c r="E20" i="97" s="1"/>
  <c r="F20" i="97" s="1"/>
  <c r="C21" i="96"/>
  <c r="E21" i="96" s="1"/>
  <c r="F21" i="96" s="1"/>
  <c r="B22" i="96" s="1"/>
  <c r="C23" i="103" l="1"/>
  <c r="D23" i="103" s="1"/>
  <c r="F23" i="103" s="1"/>
  <c r="B24" i="103" s="1"/>
  <c r="C44" i="100"/>
  <c r="D44" i="100" s="1"/>
  <c r="F44" i="100" s="1"/>
  <c r="B45" i="100" s="1"/>
  <c r="C45" i="100" s="1"/>
  <c r="D45" i="100" s="1"/>
  <c r="F45" i="100" s="1"/>
  <c r="B46" i="100" s="1"/>
  <c r="B23" i="100"/>
  <c r="B47" i="99"/>
  <c r="B20" i="99"/>
  <c r="C20" i="99" s="1"/>
  <c r="C22" i="96"/>
  <c r="E22" i="96" s="1"/>
  <c r="F22" i="96"/>
  <c r="B23" i="96" s="1"/>
  <c r="C24" i="103" l="1"/>
  <c r="D24" i="103" s="1"/>
  <c r="F24" i="103" s="1"/>
  <c r="B25" i="103" s="1"/>
  <c r="C46" i="100"/>
  <c r="D46" i="100" s="1"/>
  <c r="F46" i="100" s="1"/>
  <c r="B47" i="100" s="1"/>
  <c r="C23" i="100"/>
  <c r="C47" i="99"/>
  <c r="E47" i="99" s="1"/>
  <c r="F47" i="99"/>
  <c r="E20" i="99"/>
  <c r="F20" i="99"/>
  <c r="C23" i="96"/>
  <c r="E23" i="96" s="1"/>
  <c r="F23" i="96"/>
  <c r="B24" i="96" s="1"/>
  <c r="C25" i="103" l="1"/>
  <c r="D25" i="103" s="1"/>
  <c r="F25" i="103" s="1"/>
  <c r="B26" i="103" s="1"/>
  <c r="C47" i="100"/>
  <c r="D47" i="100" s="1"/>
  <c r="F47" i="100" s="1"/>
  <c r="B48" i="100" s="1"/>
  <c r="D23" i="100"/>
  <c r="F23" i="100" s="1"/>
  <c r="B24" i="100" s="1"/>
  <c r="B48" i="99"/>
  <c r="B21" i="99"/>
  <c r="C21" i="99" s="1"/>
  <c r="C24" i="96"/>
  <c r="E24" i="96" s="1"/>
  <c r="F24" i="96"/>
  <c r="B25" i="96" s="1"/>
  <c r="C26" i="103" l="1"/>
  <c r="D26" i="103" s="1"/>
  <c r="F26" i="103" s="1"/>
  <c r="B27" i="103" s="1"/>
  <c r="C48" i="100"/>
  <c r="D48" i="100" s="1"/>
  <c r="F48" i="100" s="1"/>
  <c r="B49" i="100" s="1"/>
  <c r="C49" i="100" s="1"/>
  <c r="D49" i="100" s="1"/>
  <c r="F49" i="100" s="1"/>
  <c r="B50" i="100" s="1"/>
  <c r="C50" i="100" s="1"/>
  <c r="D50" i="100" s="1"/>
  <c r="F50" i="100" s="1"/>
  <c r="B51" i="100" s="1"/>
  <c r="C51" i="100" s="1"/>
  <c r="D51" i="100" s="1"/>
  <c r="F51" i="100" s="1"/>
  <c r="B52" i="100" s="1"/>
  <c r="C52" i="100" s="1"/>
  <c r="C24" i="100"/>
  <c r="D24" i="100" s="1"/>
  <c r="F24" i="100" s="1"/>
  <c r="C48" i="99"/>
  <c r="E48" i="99" s="1"/>
  <c r="F48" i="99"/>
  <c r="B49" i="99" s="1"/>
  <c r="E21" i="99"/>
  <c r="F21" i="99"/>
  <c r="C25" i="96"/>
  <c r="E25" i="96" s="1"/>
  <c r="F25" i="96" s="1"/>
  <c r="B26" i="96" s="1"/>
  <c r="C27" i="103" l="1"/>
  <c r="D27" i="103" s="1"/>
  <c r="F27" i="103" s="1"/>
  <c r="B28" i="103" s="1"/>
  <c r="D52" i="100"/>
  <c r="F52" i="100" s="1"/>
  <c r="B25" i="100"/>
  <c r="C49" i="99"/>
  <c r="E49" i="99" s="1"/>
  <c r="F49" i="99"/>
  <c r="B22" i="99"/>
  <c r="C22" i="99" s="1"/>
  <c r="C26" i="96"/>
  <c r="E26" i="96" s="1"/>
  <c r="F26" i="96"/>
  <c r="B27" i="96" s="1"/>
  <c r="C28" i="103" l="1"/>
  <c r="D28" i="103" s="1"/>
  <c r="F28" i="103" s="1"/>
  <c r="B29" i="103" s="1"/>
  <c r="C25" i="100"/>
  <c r="B50" i="99"/>
  <c r="E22" i="99"/>
  <c r="F22" i="99"/>
  <c r="C27" i="96"/>
  <c r="E27" i="96" s="1"/>
  <c r="F27" i="96" s="1"/>
  <c r="B28" i="96" s="1"/>
  <c r="C29" i="103" l="1"/>
  <c r="D29" i="103" s="1"/>
  <c r="F29" i="103" s="1"/>
  <c r="B30" i="103" s="1"/>
  <c r="D25" i="100"/>
  <c r="F25" i="100" s="1"/>
  <c r="B26" i="100"/>
  <c r="C50" i="99"/>
  <c r="E50" i="99" s="1"/>
  <c r="F50" i="99"/>
  <c r="B51" i="99" s="1"/>
  <c r="B23" i="99"/>
  <c r="C23" i="99" s="1"/>
  <c r="C28" i="96"/>
  <c r="E28" i="96" s="1"/>
  <c r="F28" i="96" s="1"/>
  <c r="B29" i="96" s="1"/>
  <c r="C30" i="103" l="1"/>
  <c r="D30" i="103" s="1"/>
  <c r="F30" i="103" s="1"/>
  <c r="B31" i="103" s="1"/>
  <c r="C26" i="100"/>
  <c r="C51" i="99"/>
  <c r="E51" i="99" s="1"/>
  <c r="F51" i="99"/>
  <c r="B52" i="99" s="1"/>
  <c r="E23" i="99"/>
  <c r="F23" i="99" s="1"/>
  <c r="C29" i="96"/>
  <c r="E29" i="96" s="1"/>
  <c r="F29" i="96"/>
  <c r="C31" i="103" l="1"/>
  <c r="D31" i="103" s="1"/>
  <c r="F31" i="103" s="1"/>
  <c r="B32" i="103" s="1"/>
  <c r="D26" i="100"/>
  <c r="F26" i="100" s="1"/>
  <c r="B27" i="100" s="1"/>
  <c r="C52" i="99"/>
  <c r="E52" i="99" s="1"/>
  <c r="F52" i="99"/>
  <c r="B24" i="99"/>
  <c r="C24" i="99" s="1"/>
  <c r="C32" i="103" l="1"/>
  <c r="D32" i="103" s="1"/>
  <c r="F32" i="103" s="1"/>
  <c r="B33" i="103" s="1"/>
  <c r="C27" i="100"/>
  <c r="D27" i="100" s="1"/>
  <c r="F27" i="100" s="1"/>
  <c r="B28" i="100" s="1"/>
  <c r="B53" i="99"/>
  <c r="E24" i="99"/>
  <c r="F24" i="99" s="1"/>
  <c r="C33" i="103" l="1"/>
  <c r="D33" i="103" s="1"/>
  <c r="F33" i="103" s="1"/>
  <c r="B34" i="103" s="1"/>
  <c r="C28" i="100"/>
  <c r="D28" i="100"/>
  <c r="F28" i="100" s="1"/>
  <c r="B29" i="100" s="1"/>
  <c r="C53" i="99"/>
  <c r="E53" i="99" s="1"/>
  <c r="F53" i="99" s="1"/>
  <c r="B25" i="99"/>
  <c r="C25" i="99" s="1"/>
  <c r="C34" i="103" l="1"/>
  <c r="D34" i="103" s="1"/>
  <c r="F34" i="103" s="1"/>
  <c r="B35" i="103" s="1"/>
  <c r="C29" i="100"/>
  <c r="D29" i="100" s="1"/>
  <c r="F29" i="100" s="1"/>
  <c r="B30" i="100" s="1"/>
  <c r="B54" i="99"/>
  <c r="E25" i="99"/>
  <c r="F25" i="99"/>
  <c r="C35" i="103" l="1"/>
  <c r="D35" i="103" s="1"/>
  <c r="F35" i="103" s="1"/>
  <c r="B36" i="103" s="1"/>
  <c r="C30" i="100"/>
  <c r="D30" i="100" s="1"/>
  <c r="F30" i="100" s="1"/>
  <c r="B31" i="100" s="1"/>
  <c r="C54" i="99"/>
  <c r="E54" i="99" s="1"/>
  <c r="F54" i="99"/>
  <c r="B26" i="99"/>
  <c r="C26" i="99" s="1"/>
  <c r="C36" i="103" l="1"/>
  <c r="D36" i="103" s="1"/>
  <c r="F36" i="103" s="1"/>
  <c r="B37" i="103" s="1"/>
  <c r="C31" i="100"/>
  <c r="D31" i="100"/>
  <c r="F31" i="100" s="1"/>
  <c r="B32" i="100" s="1"/>
  <c r="B55" i="99"/>
  <c r="C55" i="99" s="1"/>
  <c r="E55" i="99" s="1"/>
  <c r="B56" i="99" s="1"/>
  <c r="E26" i="99"/>
  <c r="F26" i="99"/>
  <c r="C37" i="103" l="1"/>
  <c r="D37" i="103" s="1"/>
  <c r="F37" i="103" s="1"/>
  <c r="B38" i="103" s="1"/>
  <c r="C32" i="100"/>
  <c r="D32" i="100" s="1"/>
  <c r="F32" i="100" s="1"/>
  <c r="C56" i="99"/>
  <c r="E56" i="99" s="1"/>
  <c r="F56" i="99" s="1"/>
  <c r="B57" i="99" s="1"/>
  <c r="B27" i="99"/>
  <c r="C27" i="99" s="1"/>
  <c r="C38" i="103" l="1"/>
  <c r="D38" i="103" s="1"/>
  <c r="F38" i="103" s="1"/>
  <c r="B39" i="103" s="1"/>
  <c r="C57" i="99"/>
  <c r="E57" i="99" s="1"/>
  <c r="F57" i="99"/>
  <c r="E27" i="99"/>
  <c r="F27" i="99"/>
  <c r="C39" i="103" l="1"/>
  <c r="D39" i="103" s="1"/>
  <c r="F39" i="103" s="1"/>
  <c r="B40" i="103" s="1"/>
  <c r="B58" i="99"/>
  <c r="B28" i="99"/>
  <c r="C28" i="99" s="1"/>
  <c r="C40" i="103" l="1"/>
  <c r="D40" i="103" s="1"/>
  <c r="F40" i="103" s="1"/>
  <c r="B41" i="103" s="1"/>
  <c r="C58" i="99"/>
  <c r="E58" i="99" s="1"/>
  <c r="F58" i="99" s="1"/>
  <c r="E28" i="99"/>
  <c r="F28" i="99"/>
  <c r="C41" i="103" l="1"/>
  <c r="D41" i="103" s="1"/>
  <c r="F41" i="103" s="1"/>
  <c r="B42" i="103" s="1"/>
  <c r="B59" i="99"/>
  <c r="B29" i="99"/>
  <c r="C29" i="99" s="1"/>
  <c r="C42" i="103" l="1"/>
  <c r="D42" i="103" s="1"/>
  <c r="F42" i="103" s="1"/>
  <c r="B43" i="103" s="1"/>
  <c r="C59" i="99"/>
  <c r="E59" i="99" s="1"/>
  <c r="F59" i="99" s="1"/>
  <c r="B60" i="99" s="1"/>
  <c r="E29" i="99"/>
  <c r="F29" i="99"/>
  <c r="C43" i="103" l="1"/>
  <c r="D43" i="103" s="1"/>
  <c r="F43" i="103" s="1"/>
  <c r="B44" i="103" s="1"/>
  <c r="C60" i="99"/>
  <c r="E60" i="99" s="1"/>
  <c r="B30" i="99"/>
  <c r="C30" i="99" s="1"/>
  <c r="C44" i="103" l="1"/>
  <c r="D44" i="103" s="1"/>
  <c r="F44" i="103" s="1"/>
  <c r="B45" i="103" s="1"/>
  <c r="F60" i="99"/>
  <c r="E30" i="99"/>
  <c r="F30" i="99"/>
  <c r="C45" i="103" l="1"/>
  <c r="D45" i="103" s="1"/>
  <c r="F45" i="103" s="1"/>
  <c r="B46" i="103" s="1"/>
  <c r="B31" i="99"/>
  <c r="C31" i="99" s="1"/>
  <c r="C46" i="103" l="1"/>
  <c r="D46" i="103" s="1"/>
  <c r="F46" i="103" s="1"/>
  <c r="B47" i="103" s="1"/>
  <c r="E31" i="99"/>
  <c r="F31" i="99"/>
  <c r="C47" i="103" l="1"/>
  <c r="D47" i="103" s="1"/>
  <c r="F47" i="103" s="1"/>
  <c r="B48" i="103" s="1"/>
  <c r="B32" i="99"/>
  <c r="C32" i="99" s="1"/>
  <c r="C48" i="103" l="1"/>
  <c r="D48" i="103" s="1"/>
  <c r="F48" i="103" s="1"/>
  <c r="B49" i="103" s="1"/>
  <c r="E32" i="99"/>
  <c r="F32" i="99"/>
  <c r="C49" i="103" l="1"/>
  <c r="D49" i="103" s="1"/>
  <c r="F49" i="103" s="1"/>
  <c r="B50" i="103" s="1"/>
  <c r="B33" i="99"/>
  <c r="C33" i="99" s="1"/>
  <c r="C50" i="103" l="1"/>
  <c r="D50" i="103" s="1"/>
  <c r="F50" i="103" s="1"/>
  <c r="B51" i="103" s="1"/>
  <c r="E33" i="99"/>
  <c r="F33" i="99"/>
  <c r="B34" i="99" s="1"/>
  <c r="C34" i="99" s="1"/>
  <c r="C51" i="103" l="1"/>
  <c r="D51" i="103" s="1"/>
  <c r="F51" i="103" s="1"/>
  <c r="B52" i="103" s="1"/>
  <c r="E34" i="99"/>
  <c r="F34" i="99" s="1"/>
  <c r="C52" i="103" l="1"/>
  <c r="D52" i="103" s="1"/>
  <c r="F52" i="103" s="1"/>
  <c r="B53" i="103" s="1"/>
  <c r="C53" i="103" l="1"/>
  <c r="D53" i="103" s="1"/>
  <c r="F53" i="103" s="1"/>
  <c r="B54" i="103" s="1"/>
  <c r="C54" i="103" l="1"/>
  <c r="D54" i="103" s="1"/>
  <c r="F54" i="103" s="1"/>
  <c r="B55" i="103" s="1"/>
  <c r="C55" i="103" l="1"/>
  <c r="D55" i="103" s="1"/>
  <c r="F55" i="103" s="1"/>
  <c r="B56" i="103" s="1"/>
  <c r="C56" i="103" l="1"/>
  <c r="D56" i="103" s="1"/>
  <c r="F56" i="103" s="1"/>
  <c r="B57" i="103" s="1"/>
  <c r="C57" i="103" l="1"/>
  <c r="D57" i="103" s="1"/>
  <c r="F57" i="103" s="1"/>
  <c r="B58" i="103" s="1"/>
  <c r="C58" i="103" l="1"/>
  <c r="D58" i="103" s="1"/>
  <c r="F58" i="103" s="1"/>
  <c r="B59" i="103" s="1"/>
  <c r="C59" i="103" l="1"/>
  <c r="D59" i="103" s="1"/>
  <c r="F59" i="103" s="1"/>
  <c r="B60" i="103" s="1"/>
  <c r="C60" i="103" l="1"/>
  <c r="D60" i="103" s="1"/>
  <c r="F60" i="103" s="1"/>
  <c r="B61" i="103" s="1"/>
  <c r="C61" i="103" l="1"/>
  <c r="D61" i="103" s="1"/>
  <c r="F61" i="103" s="1"/>
  <c r="B62" i="103" s="1"/>
  <c r="C62" i="103" s="1"/>
  <c r="D62" i="103" s="1"/>
  <c r="F62" i="103" s="1"/>
  <c r="B63" i="103" s="1"/>
  <c r="C63" i="103" l="1"/>
  <c r="D63" i="103" s="1"/>
  <c r="F63" i="103" s="1"/>
  <c r="B64" i="103" s="1"/>
  <c r="C64" i="103" l="1"/>
  <c r="D64" i="103" s="1"/>
  <c r="F64" i="103" s="1"/>
  <c r="B65" i="103" s="1"/>
  <c r="C65" i="103" l="1"/>
  <c r="D65" i="103" s="1"/>
  <c r="F65" i="103" s="1"/>
  <c r="B66" i="103" s="1"/>
  <c r="C66" i="103" s="1"/>
  <c r="D66" i="103" s="1"/>
  <c r="F66" i="103" s="1"/>
  <c r="B67" i="103" s="1"/>
  <c r="C67" i="103" s="1"/>
  <c r="D67" i="103" s="1"/>
  <c r="F67" i="103" s="1"/>
</calcChain>
</file>

<file path=xl/sharedStrings.xml><?xml version="1.0" encoding="utf-8"?>
<sst xmlns="http://schemas.openxmlformats.org/spreadsheetml/2006/main" count="169" uniqueCount="43">
  <si>
    <t>interest rate</t>
    <phoneticPr fontId="7" type="noConversion"/>
  </si>
  <si>
    <t>PV</t>
    <phoneticPr fontId="7" type="noConversion"/>
  </si>
  <si>
    <t>Section a.</t>
    <phoneticPr fontId="7" type="noConversion"/>
  </si>
  <si>
    <t>Section b.</t>
    <phoneticPr fontId="7" type="noConversion"/>
  </si>
  <si>
    <t>Section c.</t>
    <phoneticPr fontId="7" type="noConversion"/>
  </si>
  <si>
    <t>Section d.</t>
    <phoneticPr fontId="7" type="noConversion"/>
  </si>
  <si>
    <t>diff</t>
    <phoneticPr fontId="7" type="noConversion"/>
  </si>
  <si>
    <t>car cost</t>
    <phoneticPr fontId="7" type="noConversion"/>
  </si>
  <si>
    <t>month</t>
    <phoneticPr fontId="7" type="noConversion"/>
  </si>
  <si>
    <t>buy a box</t>
    <phoneticPr fontId="7" type="noConversion"/>
  </si>
  <si>
    <t>decorate</t>
  </si>
  <si>
    <t>sell year</t>
    <phoneticPr fontId="7" type="noConversion"/>
  </si>
  <si>
    <t>sell price</t>
    <phoneticPr fontId="7" type="noConversion"/>
  </si>
  <si>
    <t>profit</t>
    <phoneticPr fontId="7" type="noConversion"/>
  </si>
  <si>
    <t>return ni percentage</t>
  </si>
  <si>
    <t>interest</t>
    <phoneticPr fontId="7" type="noConversion"/>
  </si>
  <si>
    <t>borrow</t>
    <phoneticPr fontId="7" type="noConversion"/>
  </si>
  <si>
    <t>money</t>
    <phoneticPr fontId="7" type="noConversion"/>
  </si>
  <si>
    <t>monthly interest rate</t>
    <phoneticPr fontId="7" type="noConversion"/>
  </si>
  <si>
    <t>loan</t>
    <phoneticPr fontId="7" type="noConversion"/>
  </si>
  <si>
    <t>interest payment</t>
  </si>
  <si>
    <t>interest payment</t>
    <phoneticPr fontId="7" type="noConversion"/>
  </si>
  <si>
    <t>principal payment</t>
  </si>
  <si>
    <t>principal payment</t>
    <phoneticPr fontId="7" type="noConversion"/>
  </si>
  <si>
    <t>total payment</t>
  </si>
  <si>
    <t>total payment</t>
    <phoneticPr fontId="7" type="noConversion"/>
  </si>
  <si>
    <t>loan balance at begin of month</t>
    <phoneticPr fontId="7" type="noConversion"/>
  </si>
  <si>
    <t>loan balance at end of month</t>
    <phoneticPr fontId="7" type="noConversion"/>
  </si>
  <si>
    <t>0 for last month 10000 for others</t>
    <phoneticPr fontId="7" type="noConversion"/>
  </si>
  <si>
    <t>year</t>
    <phoneticPr fontId="7" type="noConversion"/>
  </si>
  <si>
    <t>loan balance at begin of year</t>
    <phoneticPr fontId="7" type="noConversion"/>
  </si>
  <si>
    <t>loan balance at end of year</t>
    <phoneticPr fontId="7" type="noConversion"/>
  </si>
  <si>
    <t>still 50000</t>
    <phoneticPr fontId="7" type="noConversion"/>
  </si>
  <si>
    <t>payment per month</t>
    <phoneticPr fontId="7" type="noConversion"/>
  </si>
  <si>
    <t>years</t>
    <phoneticPr fontId="7" type="noConversion"/>
  </si>
  <si>
    <t>Section e.</t>
    <phoneticPr fontId="7" type="noConversion"/>
  </si>
  <si>
    <t>payment</t>
    <phoneticPr fontId="7" type="noConversion"/>
  </si>
  <si>
    <t>principal portion</t>
    <phoneticPr fontId="7" type="noConversion"/>
  </si>
  <si>
    <t>interest portion</t>
    <phoneticPr fontId="7" type="noConversion"/>
  </si>
  <si>
    <t>cash</t>
    <phoneticPr fontId="7" type="noConversion"/>
  </si>
  <si>
    <t>months</t>
    <phoneticPr fontId="7" type="noConversion"/>
  </si>
  <si>
    <t>outstanding balance</t>
    <phoneticPr fontId="7" type="noConversion"/>
  </si>
  <si>
    <t>total cost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</si>
</sst>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¥&quot;#,##0.00_);[Red]\(&quot;¥&quot;#,##0.00\)"/>
    <numFmt numFmtId="176" formatCode="_(&quot;$&quot;* #,##0.00_);_(&quot;$&quot;* \(#,##0.00\);_(&quot;$&quot;* &quot;-&quot;??_);_(@_)"/>
    <numFmt numFmtId="179" formatCode="0.000%"/>
    <numFmt numFmtId="188" formatCode="0.00_);[Red]\(0.00\)"/>
    <numFmt numFmtId="203" formatCode="0.00000%"/>
  </numFmts>
  <fonts count="8">
    <font>
      <sz val="10"/>
      <name val="Arial"/>
    </font>
    <font>
      <sz val="10"/>
      <name val="Arial"/>
      <family val="2"/>
    </font>
    <font>
      <sz val="10"/>
      <name val="宋体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2" fillId="0" borderId="0"/>
    <xf numFmtId="176" fontId="3" fillId="0" borderId="0" applyFont="0" applyFill="0" applyBorder="0" applyAlignment="0" applyProtection="0"/>
    <xf numFmtId="0" fontId="4" fillId="4" borderId="0" applyNumberFormat="0" applyBorder="0" applyAlignment="0" applyProtection="0"/>
    <xf numFmtId="0" fontId="5" fillId="2" borderId="1" applyNumberFormat="0" applyAlignment="0" applyProtection="0"/>
    <xf numFmtId="0" fontId="6" fillId="3" borderId="1" applyNumberFormat="0" applyAlignment="0" applyProtection="0"/>
    <xf numFmtId="0" fontId="1" fillId="0" borderId="0"/>
    <xf numFmtId="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0">
    <xf numFmtId="0" fontId="0" fillId="0" borderId="0" xfId="0"/>
    <xf numFmtId="9" fontId="0" fillId="0" borderId="0" xfId="0" applyNumberFormat="1"/>
    <xf numFmtId="3" fontId="0" fillId="0" borderId="0" xfId="0" applyNumberFormat="1"/>
    <xf numFmtId="8" fontId="0" fillId="0" borderId="0" xfId="0" applyNumberFormat="1"/>
    <xf numFmtId="179" fontId="0" fillId="0" borderId="0" xfId="0" applyNumberFormat="1"/>
    <xf numFmtId="0" fontId="1" fillId="0" borderId="0" xfId="0" applyFont="1"/>
    <xf numFmtId="10" fontId="0" fillId="0" borderId="0" xfId="0" applyNumberFormat="1"/>
    <xf numFmtId="0" fontId="0" fillId="0" borderId="0" xfId="0" applyNumberFormat="1"/>
    <xf numFmtId="188" fontId="0" fillId="0" borderId="0" xfId="0" applyNumberFormat="1"/>
    <xf numFmtId="203" fontId="0" fillId="0" borderId="0" xfId="0" applyNumberFormat="1"/>
  </cellXfs>
  <cellStyles count="10">
    <cellStyle name="20% - Accent3 2" xfId="3" xr:uid="{00000000-0005-0000-0000-000000000000}"/>
    <cellStyle name="Calculation 2" xfId="5" xr:uid="{00000000-0005-0000-0000-000001000000}"/>
    <cellStyle name="Comma 2" xfId="7" xr:uid="{00000000-0005-0000-0000-000002000000}"/>
    <cellStyle name="Currency 2" xfId="2" xr:uid="{00000000-0005-0000-0000-000003000000}"/>
    <cellStyle name="Input 2" xfId="4" xr:uid="{00000000-0005-0000-0000-000004000000}"/>
    <cellStyle name="Normal 2" xfId="1" xr:uid="{00000000-0005-0000-0000-000006000000}"/>
    <cellStyle name="Normal 3" xfId="6" xr:uid="{00000000-0005-0000-0000-000007000000}"/>
    <cellStyle name="Normal 3 2" xfId="9" xr:uid="{00000000-0005-0000-0000-000008000000}"/>
    <cellStyle name="Percent 2" xfId="8" xr:uid="{00000000-0005-0000-0000-000009000000}"/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85C19-0135-D940-A1A5-A70D653E54B4}">
  <dimension ref="A1:B20"/>
  <sheetViews>
    <sheetView workbookViewId="0">
      <selection activeCell="D38" sqref="D38"/>
    </sheetView>
  </sheetViews>
  <sheetFormatPr baseColWidth="10" defaultRowHeight="13"/>
  <cols>
    <col min="1" max="1" width="18.1640625" bestFit="1" customWidth="1"/>
  </cols>
  <sheetData>
    <row r="1" spans="1:2">
      <c r="A1" s="5" t="s">
        <v>9</v>
      </c>
      <c r="B1">
        <v>9</v>
      </c>
    </row>
    <row r="2" spans="1:2">
      <c r="A2" t="s">
        <v>10</v>
      </c>
      <c r="B2">
        <v>1</v>
      </c>
    </row>
    <row r="3" spans="1:2">
      <c r="A3" s="5" t="s">
        <v>11</v>
      </c>
      <c r="B3">
        <v>1</v>
      </c>
    </row>
    <row r="4" spans="1:2">
      <c r="A4" s="5" t="s">
        <v>12</v>
      </c>
      <c r="B4">
        <v>11</v>
      </c>
    </row>
    <row r="5" spans="1:2">
      <c r="A5" s="5" t="s">
        <v>17</v>
      </c>
      <c r="B5">
        <v>100</v>
      </c>
    </row>
    <row r="7" spans="1:2">
      <c r="A7" s="5" t="s">
        <v>2</v>
      </c>
    </row>
    <row r="8" spans="1:2">
      <c r="A8" s="5" t="s">
        <v>13</v>
      </c>
      <c r="B8">
        <f>B5/(B1+B2)*B4-B5</f>
        <v>10</v>
      </c>
    </row>
    <row r="9" spans="1:2">
      <c r="A9" t="s">
        <v>14</v>
      </c>
      <c r="B9" s="6">
        <f>B8/B5</f>
        <v>0.1</v>
      </c>
    </row>
    <row r="11" spans="1:2">
      <c r="A11" s="5" t="s">
        <v>3</v>
      </c>
    </row>
    <row r="12" spans="1:2">
      <c r="A12" s="5" t="s">
        <v>15</v>
      </c>
      <c r="B12" s="1">
        <v>0.05</v>
      </c>
    </row>
    <row r="13" spans="1:2">
      <c r="A13" s="5" t="s">
        <v>16</v>
      </c>
      <c r="B13">
        <v>900</v>
      </c>
    </row>
    <row r="14" spans="1:2">
      <c r="A14" s="5" t="s">
        <v>13</v>
      </c>
      <c r="B14">
        <f>(B5+B13)/(B1+B2)*B4-B5-B13*(1+B12)</f>
        <v>55</v>
      </c>
    </row>
    <row r="15" spans="1:2">
      <c r="A15" t="s">
        <v>14</v>
      </c>
      <c r="B15" s="6">
        <f>B14/B5</f>
        <v>0.55000000000000004</v>
      </c>
    </row>
    <row r="17" spans="1:2">
      <c r="A17" s="5" t="s">
        <v>4</v>
      </c>
    </row>
    <row r="18" spans="1:2">
      <c r="A18" s="5" t="s">
        <v>12</v>
      </c>
      <c r="B18">
        <v>8.5</v>
      </c>
    </row>
    <row r="19" spans="1:2">
      <c r="A19" s="5" t="s">
        <v>13</v>
      </c>
      <c r="B19">
        <f>(B13+B5)/(B2+B1)*B18-B5-B13*(1+B12)</f>
        <v>-195</v>
      </c>
    </row>
    <row r="20" spans="1:2">
      <c r="A20" t="s">
        <v>14</v>
      </c>
      <c r="B20" s="6">
        <f>B19/B5</f>
        <v>-1.95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55FB6-56BC-2445-AE62-163838AAE00A}">
  <dimension ref="A1:F32"/>
  <sheetViews>
    <sheetView workbookViewId="0">
      <selection sqref="A1:F33"/>
    </sheetView>
  </sheetViews>
  <sheetFormatPr baseColWidth="10" defaultRowHeight="13"/>
  <cols>
    <col min="1" max="1" width="18.1640625" bestFit="1" customWidth="1"/>
    <col min="2" max="2" width="27.6640625" bestFit="1" customWidth="1"/>
    <col min="3" max="3" width="15" bestFit="1" customWidth="1"/>
    <col min="4" max="4" width="15.83203125" bestFit="1" customWidth="1"/>
    <col min="5" max="5" width="12.5" bestFit="1" customWidth="1"/>
    <col min="6" max="6" width="26.1640625" bestFit="1" customWidth="1"/>
  </cols>
  <sheetData>
    <row r="1" spans="1:6">
      <c r="A1" s="5" t="s">
        <v>18</v>
      </c>
      <c r="B1" s="6">
        <v>5.0000000000000001E-3</v>
      </c>
    </row>
    <row r="2" spans="1:6">
      <c r="A2" s="5" t="s">
        <v>19</v>
      </c>
      <c r="B2">
        <v>10000</v>
      </c>
    </row>
    <row r="4" spans="1:6">
      <c r="A4" s="5" t="s">
        <v>2</v>
      </c>
    </row>
    <row r="5" spans="1:6">
      <c r="A5" s="5" t="s">
        <v>8</v>
      </c>
      <c r="B5" s="5" t="s">
        <v>26</v>
      </c>
      <c r="C5" s="5" t="s">
        <v>21</v>
      </c>
      <c r="D5" s="5" t="s">
        <v>23</v>
      </c>
      <c r="E5" s="5" t="s">
        <v>25</v>
      </c>
      <c r="F5" s="5" t="s">
        <v>27</v>
      </c>
    </row>
    <row r="6" spans="1:6">
      <c r="A6">
        <v>1</v>
      </c>
      <c r="B6">
        <f>B2</f>
        <v>10000</v>
      </c>
      <c r="C6">
        <f>B6*$B$1</f>
        <v>50</v>
      </c>
      <c r="D6">
        <f>0</f>
        <v>0</v>
      </c>
      <c r="E6">
        <f>C6+D6</f>
        <v>50</v>
      </c>
      <c r="F6">
        <f>B6*(1+$B$1)-E6</f>
        <v>9999.9999999999982</v>
      </c>
    </row>
    <row r="7" spans="1:6">
      <c r="A7">
        <v>2</v>
      </c>
      <c r="B7">
        <f>F6</f>
        <v>9999.9999999999982</v>
      </c>
      <c r="C7">
        <f t="shared" ref="C7:C29" si="0">B7*$B$1</f>
        <v>49.999999999999993</v>
      </c>
      <c r="D7">
        <f>0</f>
        <v>0</v>
      </c>
      <c r="E7">
        <f t="shared" ref="E7:E29" si="1">C7+D7</f>
        <v>49.999999999999993</v>
      </c>
      <c r="F7">
        <f t="shared" ref="F7:F29" si="2">B7*(1+$B$1)-E7</f>
        <v>9999.9999999999964</v>
      </c>
    </row>
    <row r="8" spans="1:6">
      <c r="A8">
        <v>3</v>
      </c>
      <c r="B8">
        <f t="shared" ref="B8:B29" si="3">F7</f>
        <v>9999.9999999999964</v>
      </c>
      <c r="C8">
        <f t="shared" si="0"/>
        <v>49.999999999999986</v>
      </c>
      <c r="D8">
        <f>0</f>
        <v>0</v>
      </c>
      <c r="E8">
        <f t="shared" si="1"/>
        <v>49.999999999999986</v>
      </c>
      <c r="F8">
        <f t="shared" si="2"/>
        <v>9999.9999999999945</v>
      </c>
    </row>
    <row r="9" spans="1:6">
      <c r="A9">
        <v>4</v>
      </c>
      <c r="B9">
        <f t="shared" si="3"/>
        <v>9999.9999999999945</v>
      </c>
      <c r="C9">
        <f t="shared" si="0"/>
        <v>49.999999999999972</v>
      </c>
      <c r="D9">
        <f>0</f>
        <v>0</v>
      </c>
      <c r="E9">
        <f t="shared" si="1"/>
        <v>49.999999999999972</v>
      </c>
      <c r="F9">
        <f t="shared" si="2"/>
        <v>9999.9999999999927</v>
      </c>
    </row>
    <row r="10" spans="1:6">
      <c r="A10">
        <v>5</v>
      </c>
      <c r="B10">
        <f t="shared" si="3"/>
        <v>9999.9999999999927</v>
      </c>
      <c r="C10">
        <f t="shared" si="0"/>
        <v>49.999999999999964</v>
      </c>
      <c r="D10">
        <f>0</f>
        <v>0</v>
      </c>
      <c r="E10">
        <f t="shared" si="1"/>
        <v>49.999999999999964</v>
      </c>
      <c r="F10">
        <f t="shared" si="2"/>
        <v>9999.9999999999909</v>
      </c>
    </row>
    <row r="11" spans="1:6">
      <c r="A11">
        <v>6</v>
      </c>
      <c r="B11">
        <f t="shared" si="3"/>
        <v>9999.9999999999909</v>
      </c>
      <c r="C11">
        <f t="shared" si="0"/>
        <v>49.999999999999957</v>
      </c>
      <c r="D11">
        <f>0</f>
        <v>0</v>
      </c>
      <c r="E11">
        <f t="shared" si="1"/>
        <v>49.999999999999957</v>
      </c>
      <c r="F11">
        <f t="shared" si="2"/>
        <v>9999.9999999999891</v>
      </c>
    </row>
    <row r="12" spans="1:6">
      <c r="A12">
        <v>7</v>
      </c>
      <c r="B12">
        <f t="shared" si="3"/>
        <v>9999.9999999999891</v>
      </c>
      <c r="C12">
        <f t="shared" si="0"/>
        <v>49.999999999999943</v>
      </c>
      <c r="D12">
        <f>0</f>
        <v>0</v>
      </c>
      <c r="E12">
        <f t="shared" si="1"/>
        <v>49.999999999999943</v>
      </c>
      <c r="F12">
        <f t="shared" si="2"/>
        <v>9999.9999999999873</v>
      </c>
    </row>
    <row r="13" spans="1:6">
      <c r="A13">
        <v>8</v>
      </c>
      <c r="B13">
        <f t="shared" si="3"/>
        <v>9999.9999999999873</v>
      </c>
      <c r="C13">
        <f t="shared" si="0"/>
        <v>49.999999999999936</v>
      </c>
      <c r="D13">
        <f>0</f>
        <v>0</v>
      </c>
      <c r="E13">
        <f t="shared" si="1"/>
        <v>49.999999999999936</v>
      </c>
      <c r="F13">
        <f t="shared" si="2"/>
        <v>9999.9999999999854</v>
      </c>
    </row>
    <row r="14" spans="1:6">
      <c r="A14">
        <v>9</v>
      </c>
      <c r="B14">
        <f t="shared" si="3"/>
        <v>9999.9999999999854</v>
      </c>
      <c r="C14">
        <f t="shared" si="0"/>
        <v>49.999999999999929</v>
      </c>
      <c r="D14">
        <f>0</f>
        <v>0</v>
      </c>
      <c r="E14">
        <f t="shared" si="1"/>
        <v>49.999999999999929</v>
      </c>
      <c r="F14">
        <f t="shared" si="2"/>
        <v>9999.9999999999836</v>
      </c>
    </row>
    <row r="15" spans="1:6">
      <c r="A15">
        <v>10</v>
      </c>
      <c r="B15">
        <f t="shared" si="3"/>
        <v>9999.9999999999836</v>
      </c>
      <c r="C15">
        <f t="shared" si="0"/>
        <v>49.999999999999922</v>
      </c>
      <c r="D15">
        <f>0</f>
        <v>0</v>
      </c>
      <c r="E15">
        <f t="shared" si="1"/>
        <v>49.999999999999922</v>
      </c>
      <c r="F15">
        <f t="shared" si="2"/>
        <v>9999.9999999999818</v>
      </c>
    </row>
    <row r="16" spans="1:6">
      <c r="A16">
        <v>11</v>
      </c>
      <c r="B16">
        <f t="shared" si="3"/>
        <v>9999.9999999999818</v>
      </c>
      <c r="C16">
        <f t="shared" si="0"/>
        <v>49.999999999999908</v>
      </c>
      <c r="D16">
        <f>0</f>
        <v>0</v>
      </c>
      <c r="E16">
        <f t="shared" si="1"/>
        <v>49.999999999999908</v>
      </c>
      <c r="F16">
        <f t="shared" si="2"/>
        <v>9999.99999999998</v>
      </c>
    </row>
    <row r="17" spans="1:6">
      <c r="A17">
        <v>12</v>
      </c>
      <c r="B17">
        <f t="shared" si="3"/>
        <v>9999.99999999998</v>
      </c>
      <c r="C17">
        <f t="shared" si="0"/>
        <v>49.999999999999901</v>
      </c>
      <c r="D17">
        <f>0</f>
        <v>0</v>
      </c>
      <c r="E17">
        <f t="shared" si="1"/>
        <v>49.999999999999901</v>
      </c>
      <c r="F17">
        <f t="shared" si="2"/>
        <v>9999.9999999999782</v>
      </c>
    </row>
    <row r="18" spans="1:6">
      <c r="A18">
        <v>13</v>
      </c>
      <c r="B18">
        <f t="shared" si="3"/>
        <v>9999.9999999999782</v>
      </c>
      <c r="C18">
        <f t="shared" si="0"/>
        <v>49.999999999999893</v>
      </c>
      <c r="D18">
        <f>0</f>
        <v>0</v>
      </c>
      <c r="E18">
        <f t="shared" si="1"/>
        <v>49.999999999999893</v>
      </c>
      <c r="F18">
        <f t="shared" si="2"/>
        <v>9999.9999999999764</v>
      </c>
    </row>
    <row r="19" spans="1:6">
      <c r="A19">
        <v>14</v>
      </c>
      <c r="B19">
        <f t="shared" si="3"/>
        <v>9999.9999999999764</v>
      </c>
      <c r="C19">
        <f t="shared" si="0"/>
        <v>49.999999999999886</v>
      </c>
      <c r="D19">
        <f>0</f>
        <v>0</v>
      </c>
      <c r="E19">
        <f t="shared" si="1"/>
        <v>49.999999999999886</v>
      </c>
      <c r="F19">
        <f t="shared" si="2"/>
        <v>9999.9999999999745</v>
      </c>
    </row>
    <row r="20" spans="1:6">
      <c r="A20">
        <v>15</v>
      </c>
      <c r="B20">
        <f t="shared" si="3"/>
        <v>9999.9999999999745</v>
      </c>
      <c r="C20">
        <f t="shared" si="0"/>
        <v>49.999999999999872</v>
      </c>
      <c r="D20">
        <f>0</f>
        <v>0</v>
      </c>
      <c r="E20">
        <f t="shared" si="1"/>
        <v>49.999999999999872</v>
      </c>
      <c r="F20">
        <f t="shared" si="2"/>
        <v>9999.9999999999727</v>
      </c>
    </row>
    <row r="21" spans="1:6">
      <c r="A21">
        <v>16</v>
      </c>
      <c r="B21">
        <f t="shared" si="3"/>
        <v>9999.9999999999727</v>
      </c>
      <c r="C21">
        <f t="shared" si="0"/>
        <v>49.999999999999865</v>
      </c>
      <c r="D21">
        <f>0</f>
        <v>0</v>
      </c>
      <c r="E21">
        <f t="shared" si="1"/>
        <v>49.999999999999865</v>
      </c>
      <c r="F21">
        <f t="shared" si="2"/>
        <v>9999.9999999999709</v>
      </c>
    </row>
    <row r="22" spans="1:6">
      <c r="A22">
        <v>17</v>
      </c>
      <c r="B22">
        <f t="shared" si="3"/>
        <v>9999.9999999999709</v>
      </c>
      <c r="C22">
        <f t="shared" si="0"/>
        <v>49.999999999999858</v>
      </c>
      <c r="D22">
        <f>0</f>
        <v>0</v>
      </c>
      <c r="E22">
        <f t="shared" si="1"/>
        <v>49.999999999999858</v>
      </c>
      <c r="F22">
        <f t="shared" si="2"/>
        <v>9999.9999999999691</v>
      </c>
    </row>
    <row r="23" spans="1:6">
      <c r="A23">
        <v>18</v>
      </c>
      <c r="B23">
        <f t="shared" si="3"/>
        <v>9999.9999999999691</v>
      </c>
      <c r="C23">
        <f t="shared" si="0"/>
        <v>49.999999999999844</v>
      </c>
      <c r="D23">
        <f>0</f>
        <v>0</v>
      </c>
      <c r="E23">
        <f t="shared" si="1"/>
        <v>49.999999999999844</v>
      </c>
      <c r="F23">
        <f t="shared" si="2"/>
        <v>9999.9999999999673</v>
      </c>
    </row>
    <row r="24" spans="1:6">
      <c r="A24">
        <v>19</v>
      </c>
      <c r="B24">
        <f t="shared" si="3"/>
        <v>9999.9999999999673</v>
      </c>
      <c r="C24">
        <f t="shared" si="0"/>
        <v>49.999999999999837</v>
      </c>
      <c r="D24">
        <f>0</f>
        <v>0</v>
      </c>
      <c r="E24">
        <f t="shared" si="1"/>
        <v>49.999999999999837</v>
      </c>
      <c r="F24">
        <f t="shared" si="2"/>
        <v>9999.9999999999654</v>
      </c>
    </row>
    <row r="25" spans="1:6">
      <c r="A25">
        <v>20</v>
      </c>
      <c r="B25">
        <f t="shared" si="3"/>
        <v>9999.9999999999654</v>
      </c>
      <c r="C25">
        <f t="shared" si="0"/>
        <v>49.999999999999829</v>
      </c>
      <c r="D25">
        <f>0</f>
        <v>0</v>
      </c>
      <c r="E25">
        <f t="shared" si="1"/>
        <v>49.999999999999829</v>
      </c>
      <c r="F25">
        <f t="shared" si="2"/>
        <v>9999.9999999999636</v>
      </c>
    </row>
    <row r="26" spans="1:6">
      <c r="A26">
        <v>21</v>
      </c>
      <c r="B26">
        <f t="shared" si="3"/>
        <v>9999.9999999999636</v>
      </c>
      <c r="C26">
        <f t="shared" si="0"/>
        <v>49.999999999999822</v>
      </c>
      <c r="D26">
        <f>0</f>
        <v>0</v>
      </c>
      <c r="E26">
        <f t="shared" si="1"/>
        <v>49.999999999999822</v>
      </c>
      <c r="F26">
        <f t="shared" si="2"/>
        <v>9999.9999999999618</v>
      </c>
    </row>
    <row r="27" spans="1:6">
      <c r="A27">
        <v>22</v>
      </c>
      <c r="B27">
        <f t="shared" si="3"/>
        <v>9999.9999999999618</v>
      </c>
      <c r="C27">
        <f t="shared" si="0"/>
        <v>49.999999999999808</v>
      </c>
      <c r="D27">
        <f>0</f>
        <v>0</v>
      </c>
      <c r="E27">
        <f t="shared" si="1"/>
        <v>49.999999999999808</v>
      </c>
      <c r="F27">
        <f t="shared" si="2"/>
        <v>9999.99999999996</v>
      </c>
    </row>
    <row r="28" spans="1:6">
      <c r="A28">
        <v>23</v>
      </c>
      <c r="B28">
        <f t="shared" si="3"/>
        <v>9999.99999999996</v>
      </c>
      <c r="C28">
        <f t="shared" si="0"/>
        <v>49.999999999999801</v>
      </c>
      <c r="D28">
        <f>0</f>
        <v>0</v>
      </c>
      <c r="E28">
        <f t="shared" si="1"/>
        <v>49.999999999999801</v>
      </c>
      <c r="F28">
        <f t="shared" si="2"/>
        <v>9999.9999999999582</v>
      </c>
    </row>
    <row r="29" spans="1:6">
      <c r="A29">
        <v>24</v>
      </c>
      <c r="B29">
        <f t="shared" si="3"/>
        <v>9999.9999999999582</v>
      </c>
      <c r="C29">
        <f t="shared" si="0"/>
        <v>49.999999999999794</v>
      </c>
      <c r="D29">
        <f>B2</f>
        <v>10000</v>
      </c>
      <c r="E29">
        <f t="shared" si="1"/>
        <v>10050</v>
      </c>
      <c r="F29" s="8">
        <f t="shared" si="2"/>
        <v>-4.3655745685100555E-11</v>
      </c>
    </row>
    <row r="31" spans="1:6">
      <c r="A31" s="5" t="s">
        <v>3</v>
      </c>
    </row>
    <row r="32" spans="1:6">
      <c r="A32" s="5" t="s">
        <v>28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C531E-78E4-2B42-ABC9-988473D63C70}">
  <dimension ref="A1:F29"/>
  <sheetViews>
    <sheetView workbookViewId="0">
      <selection sqref="A1:F20"/>
    </sheetView>
  </sheetViews>
  <sheetFormatPr baseColWidth="10" defaultRowHeight="13"/>
  <cols>
    <col min="1" max="1" width="11.1640625" bestFit="1" customWidth="1"/>
    <col min="2" max="2" width="26" bestFit="1" customWidth="1"/>
    <col min="3" max="3" width="15" bestFit="1" customWidth="1"/>
    <col min="4" max="4" width="15.83203125" bestFit="1" customWidth="1"/>
    <col min="5" max="5" width="12.5" bestFit="1" customWidth="1"/>
    <col min="6" max="6" width="24.5" bestFit="1" customWidth="1"/>
  </cols>
  <sheetData>
    <row r="1" spans="1:6">
      <c r="A1" s="5" t="s">
        <v>0</v>
      </c>
      <c r="B1" s="6">
        <v>0.05</v>
      </c>
    </row>
    <row r="2" spans="1:6">
      <c r="A2" s="5" t="s">
        <v>19</v>
      </c>
      <c r="B2">
        <v>50000</v>
      </c>
    </row>
    <row r="4" spans="1:6">
      <c r="A4" s="5" t="s">
        <v>2</v>
      </c>
    </row>
    <row r="5" spans="1:6">
      <c r="A5" s="5" t="s">
        <v>29</v>
      </c>
      <c r="B5" s="5" t="s">
        <v>30</v>
      </c>
      <c r="C5" s="5" t="s">
        <v>21</v>
      </c>
      <c r="D5" s="5" t="s">
        <v>23</v>
      </c>
      <c r="E5" s="5" t="s">
        <v>25</v>
      </c>
      <c r="F5" s="5" t="s">
        <v>31</v>
      </c>
    </row>
    <row r="6" spans="1:6">
      <c r="A6">
        <v>1</v>
      </c>
      <c r="B6">
        <f>B2</f>
        <v>50000</v>
      </c>
      <c r="C6">
        <f>B6*$B$1</f>
        <v>2500</v>
      </c>
      <c r="D6">
        <f>0</f>
        <v>0</v>
      </c>
      <c r="E6">
        <f>C6+D6</f>
        <v>2500</v>
      </c>
      <c r="F6">
        <f>B6*(1+$B$1)-E6</f>
        <v>50000</v>
      </c>
    </row>
    <row r="7" spans="1:6">
      <c r="A7">
        <v>2</v>
      </c>
      <c r="B7">
        <f>F6</f>
        <v>50000</v>
      </c>
      <c r="C7">
        <f t="shared" ref="C7:C29" si="0">B7*$B$1</f>
        <v>2500</v>
      </c>
      <c r="D7">
        <f>0</f>
        <v>0</v>
      </c>
      <c r="E7">
        <f t="shared" ref="E7:E29" si="1">C7+D7</f>
        <v>2500</v>
      </c>
      <c r="F7">
        <f t="shared" ref="F7:F29" si="2">B7*(1+$B$1)-E7</f>
        <v>50000</v>
      </c>
    </row>
    <row r="8" spans="1:6">
      <c r="A8">
        <v>3</v>
      </c>
      <c r="B8">
        <f t="shared" ref="B8:B29" si="3">F7</f>
        <v>50000</v>
      </c>
      <c r="C8">
        <f t="shared" si="0"/>
        <v>2500</v>
      </c>
      <c r="D8">
        <f>0</f>
        <v>0</v>
      </c>
      <c r="E8">
        <f t="shared" si="1"/>
        <v>2500</v>
      </c>
      <c r="F8">
        <f t="shared" si="2"/>
        <v>50000</v>
      </c>
    </row>
    <row r="9" spans="1:6">
      <c r="A9">
        <v>4</v>
      </c>
      <c r="B9">
        <f t="shared" si="3"/>
        <v>50000</v>
      </c>
      <c r="C9">
        <f t="shared" si="0"/>
        <v>2500</v>
      </c>
      <c r="D9">
        <f>0</f>
        <v>0</v>
      </c>
      <c r="E9">
        <f t="shared" si="1"/>
        <v>2500</v>
      </c>
      <c r="F9">
        <f t="shared" si="2"/>
        <v>50000</v>
      </c>
    </row>
    <row r="10" spans="1:6">
      <c r="A10">
        <v>5</v>
      </c>
      <c r="B10">
        <f t="shared" si="3"/>
        <v>50000</v>
      </c>
      <c r="C10">
        <f t="shared" si="0"/>
        <v>2500</v>
      </c>
      <c r="D10">
        <f>0</f>
        <v>0</v>
      </c>
      <c r="E10">
        <f t="shared" si="1"/>
        <v>2500</v>
      </c>
      <c r="F10">
        <f t="shared" si="2"/>
        <v>50000</v>
      </c>
    </row>
    <row r="11" spans="1:6">
      <c r="A11">
        <v>6</v>
      </c>
      <c r="B11">
        <f t="shared" si="3"/>
        <v>50000</v>
      </c>
      <c r="C11">
        <f t="shared" si="0"/>
        <v>2500</v>
      </c>
      <c r="D11">
        <f>0</f>
        <v>0</v>
      </c>
      <c r="E11">
        <f t="shared" si="1"/>
        <v>2500</v>
      </c>
      <c r="F11">
        <f t="shared" si="2"/>
        <v>50000</v>
      </c>
    </row>
    <row r="12" spans="1:6">
      <c r="A12">
        <v>7</v>
      </c>
      <c r="B12">
        <f t="shared" si="3"/>
        <v>50000</v>
      </c>
      <c r="C12">
        <f t="shared" si="0"/>
        <v>2500</v>
      </c>
      <c r="D12">
        <f>0</f>
        <v>0</v>
      </c>
      <c r="E12">
        <f t="shared" si="1"/>
        <v>2500</v>
      </c>
      <c r="F12">
        <f t="shared" si="2"/>
        <v>50000</v>
      </c>
    </row>
    <row r="13" spans="1:6">
      <c r="A13">
        <v>8</v>
      </c>
      <c r="B13">
        <f t="shared" si="3"/>
        <v>50000</v>
      </c>
      <c r="C13">
        <f t="shared" si="0"/>
        <v>2500</v>
      </c>
      <c r="D13">
        <f>0</f>
        <v>0</v>
      </c>
      <c r="E13">
        <f t="shared" si="1"/>
        <v>2500</v>
      </c>
      <c r="F13">
        <f t="shared" si="2"/>
        <v>50000</v>
      </c>
    </row>
    <row r="14" spans="1:6">
      <c r="A14">
        <v>9</v>
      </c>
      <c r="B14">
        <f t="shared" si="3"/>
        <v>50000</v>
      </c>
      <c r="C14">
        <f t="shared" si="0"/>
        <v>2500</v>
      </c>
      <c r="D14">
        <f>0</f>
        <v>0</v>
      </c>
      <c r="E14">
        <f t="shared" si="1"/>
        <v>2500</v>
      </c>
      <c r="F14">
        <f t="shared" si="2"/>
        <v>50000</v>
      </c>
    </row>
    <row r="15" spans="1:6">
      <c r="A15">
        <v>10</v>
      </c>
      <c r="B15">
        <f t="shared" si="3"/>
        <v>50000</v>
      </c>
      <c r="C15">
        <f t="shared" si="0"/>
        <v>2500</v>
      </c>
      <c r="D15">
        <f>0</f>
        <v>0</v>
      </c>
      <c r="E15">
        <f t="shared" si="1"/>
        <v>2500</v>
      </c>
      <c r="F15">
        <f t="shared" si="2"/>
        <v>50000</v>
      </c>
    </row>
    <row r="16" spans="1:6">
      <c r="A16">
        <v>11</v>
      </c>
      <c r="B16">
        <f t="shared" si="3"/>
        <v>50000</v>
      </c>
      <c r="C16">
        <f t="shared" si="0"/>
        <v>2500</v>
      </c>
      <c r="D16">
        <f>0</f>
        <v>0</v>
      </c>
      <c r="E16">
        <f t="shared" si="1"/>
        <v>2500</v>
      </c>
      <c r="F16">
        <f t="shared" si="2"/>
        <v>50000</v>
      </c>
    </row>
    <row r="17" spans="1:6">
      <c r="A17">
        <v>12</v>
      </c>
      <c r="B17">
        <f t="shared" si="3"/>
        <v>50000</v>
      </c>
      <c r="C17">
        <f t="shared" si="0"/>
        <v>2500</v>
      </c>
      <c r="D17">
        <f>0</f>
        <v>0</v>
      </c>
      <c r="E17">
        <f t="shared" si="1"/>
        <v>2500</v>
      </c>
      <c r="F17">
        <f t="shared" si="2"/>
        <v>50000</v>
      </c>
    </row>
    <row r="18" spans="1:6">
      <c r="A18">
        <v>13</v>
      </c>
      <c r="B18">
        <f t="shared" si="3"/>
        <v>50000</v>
      </c>
      <c r="C18">
        <f t="shared" si="0"/>
        <v>2500</v>
      </c>
      <c r="D18">
        <f>0</f>
        <v>0</v>
      </c>
      <c r="E18">
        <f t="shared" si="1"/>
        <v>2500</v>
      </c>
      <c r="F18">
        <f t="shared" si="2"/>
        <v>50000</v>
      </c>
    </row>
    <row r="19" spans="1:6">
      <c r="A19">
        <v>14</v>
      </c>
      <c r="B19">
        <f t="shared" si="3"/>
        <v>50000</v>
      </c>
      <c r="C19">
        <f t="shared" si="0"/>
        <v>2500</v>
      </c>
      <c r="D19">
        <f>0</f>
        <v>0</v>
      </c>
      <c r="E19">
        <f t="shared" si="1"/>
        <v>2500</v>
      </c>
      <c r="F19">
        <f t="shared" si="2"/>
        <v>50000</v>
      </c>
    </row>
    <row r="20" spans="1:6">
      <c r="A20">
        <v>15</v>
      </c>
      <c r="B20">
        <f t="shared" si="3"/>
        <v>50000</v>
      </c>
      <c r="C20">
        <f t="shared" si="0"/>
        <v>2500</v>
      </c>
      <c r="D20">
        <f>B2</f>
        <v>50000</v>
      </c>
      <c r="E20">
        <f t="shared" si="1"/>
        <v>52500</v>
      </c>
      <c r="F20">
        <f t="shared" si="2"/>
        <v>0</v>
      </c>
    </row>
    <row r="22" spans="1:6">
      <c r="A22" s="5" t="s">
        <v>3</v>
      </c>
    </row>
    <row r="23" spans="1:6">
      <c r="A23" s="5" t="s">
        <v>32</v>
      </c>
    </row>
    <row r="29" spans="1:6">
      <c r="F29" s="8"/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9DC0B-646D-9741-87E9-7FCD32B20B18}">
  <dimension ref="A1:F29"/>
  <sheetViews>
    <sheetView workbookViewId="0">
      <selection activeCell="F15" sqref="F15"/>
    </sheetView>
  </sheetViews>
  <sheetFormatPr baseColWidth="10" defaultRowHeight="13"/>
  <cols>
    <col min="1" max="1" width="17.5" bestFit="1" customWidth="1"/>
    <col min="2" max="2" width="7" bestFit="1" customWidth="1"/>
  </cols>
  <sheetData>
    <row r="1" spans="1:6">
      <c r="A1" s="5" t="s">
        <v>0</v>
      </c>
      <c r="B1" s="6">
        <v>0.01</v>
      </c>
    </row>
    <row r="2" spans="1:6">
      <c r="A2" s="5" t="s">
        <v>33</v>
      </c>
      <c r="B2">
        <v>800</v>
      </c>
    </row>
    <row r="4" spans="1:6">
      <c r="A4" s="5" t="s">
        <v>2</v>
      </c>
    </row>
    <row r="5" spans="1:6">
      <c r="A5" s="5">
        <f>B2/B1</f>
        <v>80000</v>
      </c>
      <c r="B5" s="5"/>
      <c r="C5" s="5"/>
      <c r="D5" s="5"/>
      <c r="E5" s="5"/>
      <c r="F5" s="5"/>
    </row>
    <row r="7" spans="1:6">
      <c r="A7" s="5" t="s">
        <v>3</v>
      </c>
    </row>
    <row r="8" spans="1:6">
      <c r="A8" s="5" t="s">
        <v>0</v>
      </c>
      <c r="B8" s="6">
        <v>7.4999999999999997E-3</v>
      </c>
    </row>
    <row r="9" spans="1:6">
      <c r="A9">
        <f>B2/B8</f>
        <v>106666.66666666667</v>
      </c>
    </row>
    <row r="29" spans="6:6">
      <c r="F29" s="8"/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C39B4-DA8C-D941-A5E9-5F34EC052DE0}">
  <dimension ref="A1:F62"/>
  <sheetViews>
    <sheetView workbookViewId="0">
      <selection activeCell="A36" sqref="A36:F60"/>
    </sheetView>
  </sheetViews>
  <sheetFormatPr baseColWidth="10" defaultRowHeight="13"/>
  <cols>
    <col min="1" max="1" width="15" bestFit="1" customWidth="1"/>
    <col min="2" max="2" width="27.6640625" bestFit="1" customWidth="1"/>
    <col min="3" max="3" width="15" bestFit="1" customWidth="1"/>
    <col min="4" max="4" width="15.83203125" bestFit="1" customWidth="1"/>
    <col min="5" max="5" width="12.5" bestFit="1" customWidth="1"/>
    <col min="6" max="6" width="26.1640625" bestFit="1" customWidth="1"/>
  </cols>
  <sheetData>
    <row r="1" spans="1:6">
      <c r="A1" s="5" t="s">
        <v>19</v>
      </c>
      <c r="B1">
        <v>150000</v>
      </c>
    </row>
    <row r="2" spans="1:6">
      <c r="A2" s="5" t="s">
        <v>0</v>
      </c>
      <c r="B2" s="1">
        <v>0.01</v>
      </c>
    </row>
    <row r="4" spans="1:6">
      <c r="A4" s="5" t="s">
        <v>2</v>
      </c>
    </row>
    <row r="5" spans="1:6">
      <c r="A5">
        <f>B1*B2</f>
        <v>1500</v>
      </c>
    </row>
    <row r="7" spans="1:6">
      <c r="A7" s="5" t="s">
        <v>3</v>
      </c>
    </row>
    <row r="8" spans="1:6">
      <c r="A8" s="5" t="s">
        <v>0</v>
      </c>
      <c r="B8" s="6">
        <v>7.4999999999999997E-3</v>
      </c>
    </row>
    <row r="10" spans="1:6">
      <c r="A10" s="5" t="s">
        <v>8</v>
      </c>
      <c r="B10" s="5" t="s">
        <v>26</v>
      </c>
      <c r="C10" s="5" t="s">
        <v>21</v>
      </c>
      <c r="D10" s="5" t="s">
        <v>23</v>
      </c>
      <c r="E10" s="5" t="s">
        <v>25</v>
      </c>
      <c r="F10" s="5" t="s">
        <v>27</v>
      </c>
    </row>
    <row r="11" spans="1:6">
      <c r="A11">
        <v>1</v>
      </c>
      <c r="B11">
        <f>$B$1</f>
        <v>150000</v>
      </c>
      <c r="C11">
        <f>B11*$B$2</f>
        <v>1500</v>
      </c>
      <c r="D11">
        <f>0</f>
        <v>0</v>
      </c>
      <c r="E11">
        <f>C11+D11</f>
        <v>1500</v>
      </c>
      <c r="F11">
        <f>B11*(1+$B$2)-E11</f>
        <v>150000</v>
      </c>
    </row>
    <row r="12" spans="1:6">
      <c r="A12">
        <v>2</v>
      </c>
      <c r="B12">
        <f>F11</f>
        <v>150000</v>
      </c>
      <c r="C12">
        <f t="shared" ref="C12:C34" si="0">B12*$B$2</f>
        <v>1500</v>
      </c>
      <c r="D12">
        <f>0</f>
        <v>0</v>
      </c>
      <c r="E12">
        <f t="shared" ref="E12:E34" si="1">C12+D12</f>
        <v>1500</v>
      </c>
      <c r="F12">
        <f t="shared" ref="F12:F34" si="2">B12*(1+$B$2)-E12</f>
        <v>150000</v>
      </c>
    </row>
    <row r="13" spans="1:6">
      <c r="A13">
        <v>3</v>
      </c>
      <c r="B13">
        <f t="shared" ref="B13:B34" si="3">F12</f>
        <v>150000</v>
      </c>
      <c r="C13">
        <f t="shared" si="0"/>
        <v>1500</v>
      </c>
      <c r="D13">
        <f>0</f>
        <v>0</v>
      </c>
      <c r="E13">
        <f t="shared" si="1"/>
        <v>1500</v>
      </c>
      <c r="F13">
        <f t="shared" si="2"/>
        <v>150000</v>
      </c>
    </row>
    <row r="14" spans="1:6">
      <c r="A14">
        <v>4</v>
      </c>
      <c r="B14">
        <f t="shared" si="3"/>
        <v>150000</v>
      </c>
      <c r="C14">
        <f t="shared" si="0"/>
        <v>1500</v>
      </c>
      <c r="D14">
        <f>0</f>
        <v>0</v>
      </c>
      <c r="E14">
        <f t="shared" si="1"/>
        <v>1500</v>
      </c>
      <c r="F14">
        <f t="shared" si="2"/>
        <v>150000</v>
      </c>
    </row>
    <row r="15" spans="1:6">
      <c r="A15">
        <v>5</v>
      </c>
      <c r="B15">
        <f t="shared" si="3"/>
        <v>150000</v>
      </c>
      <c r="C15">
        <f t="shared" si="0"/>
        <v>1500</v>
      </c>
      <c r="D15">
        <f>0</f>
        <v>0</v>
      </c>
      <c r="E15">
        <f t="shared" si="1"/>
        <v>1500</v>
      </c>
      <c r="F15">
        <f t="shared" si="2"/>
        <v>150000</v>
      </c>
    </row>
    <row r="16" spans="1:6">
      <c r="A16">
        <v>6</v>
      </c>
      <c r="B16">
        <f t="shared" si="3"/>
        <v>150000</v>
      </c>
      <c r="C16">
        <f t="shared" si="0"/>
        <v>1500</v>
      </c>
      <c r="D16">
        <f>0</f>
        <v>0</v>
      </c>
      <c r="E16">
        <f t="shared" si="1"/>
        <v>1500</v>
      </c>
      <c r="F16">
        <f t="shared" si="2"/>
        <v>150000</v>
      </c>
    </row>
    <row r="17" spans="1:6">
      <c r="A17">
        <v>7</v>
      </c>
      <c r="B17">
        <f t="shared" si="3"/>
        <v>150000</v>
      </c>
      <c r="C17">
        <f t="shared" si="0"/>
        <v>1500</v>
      </c>
      <c r="D17">
        <f>0</f>
        <v>0</v>
      </c>
      <c r="E17">
        <f t="shared" si="1"/>
        <v>1500</v>
      </c>
      <c r="F17">
        <f t="shared" si="2"/>
        <v>150000</v>
      </c>
    </row>
    <row r="18" spans="1:6">
      <c r="A18">
        <v>8</v>
      </c>
      <c r="B18">
        <f t="shared" si="3"/>
        <v>150000</v>
      </c>
      <c r="C18">
        <f t="shared" si="0"/>
        <v>1500</v>
      </c>
      <c r="D18">
        <f>0</f>
        <v>0</v>
      </c>
      <c r="E18">
        <f t="shared" si="1"/>
        <v>1500</v>
      </c>
      <c r="F18">
        <f t="shared" si="2"/>
        <v>150000</v>
      </c>
    </row>
    <row r="19" spans="1:6">
      <c r="A19">
        <v>9</v>
      </c>
      <c r="B19">
        <f t="shared" si="3"/>
        <v>150000</v>
      </c>
      <c r="C19">
        <f t="shared" si="0"/>
        <v>1500</v>
      </c>
      <c r="D19">
        <f>0</f>
        <v>0</v>
      </c>
      <c r="E19">
        <f t="shared" si="1"/>
        <v>1500</v>
      </c>
      <c r="F19">
        <f t="shared" si="2"/>
        <v>150000</v>
      </c>
    </row>
    <row r="20" spans="1:6">
      <c r="A20">
        <v>10</v>
      </c>
      <c r="B20">
        <f t="shared" si="3"/>
        <v>150000</v>
      </c>
      <c r="C20">
        <f t="shared" si="0"/>
        <v>1500</v>
      </c>
      <c r="D20">
        <f>0</f>
        <v>0</v>
      </c>
      <c r="E20">
        <f t="shared" si="1"/>
        <v>1500</v>
      </c>
      <c r="F20">
        <f t="shared" si="2"/>
        <v>150000</v>
      </c>
    </row>
    <row r="21" spans="1:6">
      <c r="A21">
        <v>11</v>
      </c>
      <c r="B21">
        <f t="shared" si="3"/>
        <v>150000</v>
      </c>
      <c r="C21">
        <f t="shared" si="0"/>
        <v>1500</v>
      </c>
      <c r="D21">
        <f>0</f>
        <v>0</v>
      </c>
      <c r="E21">
        <f t="shared" si="1"/>
        <v>1500</v>
      </c>
      <c r="F21">
        <f t="shared" si="2"/>
        <v>150000</v>
      </c>
    </row>
    <row r="22" spans="1:6">
      <c r="A22">
        <v>12</v>
      </c>
      <c r="B22">
        <f t="shared" si="3"/>
        <v>150000</v>
      </c>
      <c r="C22">
        <f t="shared" si="0"/>
        <v>1500</v>
      </c>
      <c r="D22">
        <f>0</f>
        <v>0</v>
      </c>
      <c r="E22">
        <f t="shared" si="1"/>
        <v>1500</v>
      </c>
      <c r="F22">
        <f t="shared" si="2"/>
        <v>150000</v>
      </c>
    </row>
    <row r="23" spans="1:6">
      <c r="A23">
        <v>13</v>
      </c>
      <c r="B23">
        <f t="shared" si="3"/>
        <v>150000</v>
      </c>
      <c r="C23">
        <f t="shared" si="0"/>
        <v>1500</v>
      </c>
      <c r="D23">
        <f>0</f>
        <v>0</v>
      </c>
      <c r="E23">
        <f t="shared" si="1"/>
        <v>1500</v>
      </c>
      <c r="F23">
        <f t="shared" si="2"/>
        <v>150000</v>
      </c>
    </row>
    <row r="24" spans="1:6">
      <c r="A24">
        <v>14</v>
      </c>
      <c r="B24">
        <f t="shared" si="3"/>
        <v>150000</v>
      </c>
      <c r="C24">
        <f t="shared" si="0"/>
        <v>1500</v>
      </c>
      <c r="D24">
        <f>0</f>
        <v>0</v>
      </c>
      <c r="E24">
        <f t="shared" si="1"/>
        <v>1500</v>
      </c>
      <c r="F24">
        <f t="shared" si="2"/>
        <v>150000</v>
      </c>
    </row>
    <row r="25" spans="1:6">
      <c r="A25">
        <v>15</v>
      </c>
      <c r="B25">
        <f t="shared" si="3"/>
        <v>150000</v>
      </c>
      <c r="C25">
        <f t="shared" si="0"/>
        <v>1500</v>
      </c>
      <c r="D25">
        <f>0</f>
        <v>0</v>
      </c>
      <c r="E25">
        <f t="shared" si="1"/>
        <v>1500</v>
      </c>
      <c r="F25">
        <f t="shared" si="2"/>
        <v>150000</v>
      </c>
    </row>
    <row r="26" spans="1:6">
      <c r="A26">
        <v>16</v>
      </c>
      <c r="B26">
        <f t="shared" si="3"/>
        <v>150000</v>
      </c>
      <c r="C26">
        <f t="shared" si="0"/>
        <v>1500</v>
      </c>
      <c r="D26">
        <f>0</f>
        <v>0</v>
      </c>
      <c r="E26">
        <f t="shared" si="1"/>
        <v>1500</v>
      </c>
      <c r="F26">
        <f t="shared" si="2"/>
        <v>150000</v>
      </c>
    </row>
    <row r="27" spans="1:6">
      <c r="A27">
        <v>17</v>
      </c>
      <c r="B27">
        <f t="shared" si="3"/>
        <v>150000</v>
      </c>
      <c r="C27">
        <f t="shared" si="0"/>
        <v>1500</v>
      </c>
      <c r="D27">
        <f>0</f>
        <v>0</v>
      </c>
      <c r="E27">
        <f t="shared" si="1"/>
        <v>1500</v>
      </c>
      <c r="F27">
        <f t="shared" si="2"/>
        <v>150000</v>
      </c>
    </row>
    <row r="28" spans="1:6">
      <c r="A28">
        <v>18</v>
      </c>
      <c r="B28">
        <f t="shared" si="3"/>
        <v>150000</v>
      </c>
      <c r="C28">
        <f t="shared" si="0"/>
        <v>1500</v>
      </c>
      <c r="D28">
        <f>0</f>
        <v>0</v>
      </c>
      <c r="E28">
        <f t="shared" si="1"/>
        <v>1500</v>
      </c>
      <c r="F28">
        <f t="shared" si="2"/>
        <v>150000</v>
      </c>
    </row>
    <row r="29" spans="1:6">
      <c r="A29">
        <v>19</v>
      </c>
      <c r="B29">
        <f t="shared" si="3"/>
        <v>150000</v>
      </c>
      <c r="C29">
        <f t="shared" si="0"/>
        <v>1500</v>
      </c>
      <c r="D29">
        <f>0</f>
        <v>0</v>
      </c>
      <c r="E29">
        <f t="shared" si="1"/>
        <v>1500</v>
      </c>
      <c r="F29">
        <f t="shared" si="2"/>
        <v>150000</v>
      </c>
    </row>
    <row r="30" spans="1:6">
      <c r="A30">
        <v>20</v>
      </c>
      <c r="B30">
        <f t="shared" si="3"/>
        <v>150000</v>
      </c>
      <c r="C30">
        <f t="shared" si="0"/>
        <v>1500</v>
      </c>
      <c r="D30">
        <f>0</f>
        <v>0</v>
      </c>
      <c r="E30">
        <f t="shared" si="1"/>
        <v>1500</v>
      </c>
      <c r="F30">
        <f t="shared" si="2"/>
        <v>150000</v>
      </c>
    </row>
    <row r="31" spans="1:6">
      <c r="A31">
        <v>21</v>
      </c>
      <c r="B31">
        <f t="shared" si="3"/>
        <v>150000</v>
      </c>
      <c r="C31">
        <f t="shared" si="0"/>
        <v>1500</v>
      </c>
      <c r="D31">
        <f>0</f>
        <v>0</v>
      </c>
      <c r="E31">
        <f t="shared" si="1"/>
        <v>1500</v>
      </c>
      <c r="F31">
        <f t="shared" si="2"/>
        <v>150000</v>
      </c>
    </row>
    <row r="32" spans="1:6">
      <c r="A32">
        <v>22</v>
      </c>
      <c r="B32">
        <f t="shared" si="3"/>
        <v>150000</v>
      </c>
      <c r="C32">
        <f t="shared" si="0"/>
        <v>1500</v>
      </c>
      <c r="D32">
        <f>0</f>
        <v>0</v>
      </c>
      <c r="E32">
        <f t="shared" si="1"/>
        <v>1500</v>
      </c>
      <c r="F32">
        <f t="shared" si="2"/>
        <v>150000</v>
      </c>
    </row>
    <row r="33" spans="1:6">
      <c r="A33">
        <v>23</v>
      </c>
      <c r="B33">
        <f t="shared" si="3"/>
        <v>150000</v>
      </c>
      <c r="C33">
        <f t="shared" si="0"/>
        <v>1500</v>
      </c>
      <c r="D33">
        <f>0</f>
        <v>0</v>
      </c>
      <c r="E33">
        <f t="shared" si="1"/>
        <v>1500</v>
      </c>
      <c r="F33">
        <f t="shared" si="2"/>
        <v>150000</v>
      </c>
    </row>
    <row r="34" spans="1:6">
      <c r="A34">
        <v>24</v>
      </c>
      <c r="B34">
        <f t="shared" si="3"/>
        <v>150000</v>
      </c>
      <c r="C34">
        <f t="shared" si="0"/>
        <v>1500</v>
      </c>
      <c r="D34">
        <f>$B$1</f>
        <v>150000</v>
      </c>
      <c r="E34">
        <f t="shared" si="1"/>
        <v>151500</v>
      </c>
      <c r="F34">
        <f t="shared" si="2"/>
        <v>0</v>
      </c>
    </row>
    <row r="35" spans="1:6">
      <c r="E35">
        <f>SUM(E11:E34)</f>
        <v>186000</v>
      </c>
    </row>
    <row r="36" spans="1:6">
      <c r="A36" s="5" t="s">
        <v>8</v>
      </c>
      <c r="B36" s="5" t="s">
        <v>26</v>
      </c>
      <c r="C36" s="5" t="s">
        <v>21</v>
      </c>
      <c r="D36" s="5" t="s">
        <v>23</v>
      </c>
      <c r="E36" s="5" t="s">
        <v>25</v>
      </c>
      <c r="F36" s="5" t="s">
        <v>27</v>
      </c>
    </row>
    <row r="37" spans="1:6">
      <c r="A37">
        <v>1</v>
      </c>
      <c r="B37">
        <f>$B$1</f>
        <v>150000</v>
      </c>
      <c r="C37">
        <f>B37*$B$8</f>
        <v>1125</v>
      </c>
      <c r="D37">
        <f>0</f>
        <v>0</v>
      </c>
      <c r="E37">
        <f>C37+D37</f>
        <v>1125</v>
      </c>
      <c r="F37">
        <f>B37*(1+$B$8)-E37</f>
        <v>150000</v>
      </c>
    </row>
    <row r="38" spans="1:6">
      <c r="A38">
        <v>2</v>
      </c>
      <c r="B38">
        <f>F37</f>
        <v>150000</v>
      </c>
      <c r="C38">
        <f t="shared" ref="C38:C60" si="4">B38*$B$8</f>
        <v>1125</v>
      </c>
      <c r="D38">
        <f>0</f>
        <v>0</v>
      </c>
      <c r="E38">
        <f t="shared" ref="E38:E60" si="5">C38+D38</f>
        <v>1125</v>
      </c>
      <c r="F38">
        <f t="shared" ref="F38:F60" si="6">B38*(1+$B$8)-E38</f>
        <v>150000</v>
      </c>
    </row>
    <row r="39" spans="1:6">
      <c r="A39">
        <v>3</v>
      </c>
      <c r="B39">
        <f t="shared" ref="B39:B60" si="7">F38</f>
        <v>150000</v>
      </c>
      <c r="C39">
        <f t="shared" si="4"/>
        <v>1125</v>
      </c>
      <c r="D39">
        <f>0</f>
        <v>0</v>
      </c>
      <c r="E39">
        <f t="shared" si="5"/>
        <v>1125</v>
      </c>
      <c r="F39">
        <f t="shared" si="6"/>
        <v>150000</v>
      </c>
    </row>
    <row r="40" spans="1:6">
      <c r="A40">
        <v>4</v>
      </c>
      <c r="B40">
        <f t="shared" si="7"/>
        <v>150000</v>
      </c>
      <c r="C40">
        <f t="shared" si="4"/>
        <v>1125</v>
      </c>
      <c r="D40">
        <f>0</f>
        <v>0</v>
      </c>
      <c r="E40">
        <f t="shared" si="5"/>
        <v>1125</v>
      </c>
      <c r="F40">
        <f t="shared" si="6"/>
        <v>150000</v>
      </c>
    </row>
    <row r="41" spans="1:6">
      <c r="A41">
        <v>5</v>
      </c>
      <c r="B41">
        <f t="shared" si="7"/>
        <v>150000</v>
      </c>
      <c r="C41">
        <f t="shared" si="4"/>
        <v>1125</v>
      </c>
      <c r="D41">
        <f>0</f>
        <v>0</v>
      </c>
      <c r="E41">
        <f t="shared" si="5"/>
        <v>1125</v>
      </c>
      <c r="F41">
        <f t="shared" si="6"/>
        <v>150000</v>
      </c>
    </row>
    <row r="42" spans="1:6">
      <c r="A42">
        <v>6</v>
      </c>
      <c r="B42">
        <f t="shared" si="7"/>
        <v>150000</v>
      </c>
      <c r="C42">
        <f t="shared" si="4"/>
        <v>1125</v>
      </c>
      <c r="D42">
        <f>0</f>
        <v>0</v>
      </c>
      <c r="E42">
        <f t="shared" si="5"/>
        <v>1125</v>
      </c>
      <c r="F42">
        <f t="shared" si="6"/>
        <v>150000</v>
      </c>
    </row>
    <row r="43" spans="1:6">
      <c r="A43">
        <v>7</v>
      </c>
      <c r="B43">
        <f t="shared" si="7"/>
        <v>150000</v>
      </c>
      <c r="C43">
        <f t="shared" si="4"/>
        <v>1125</v>
      </c>
      <c r="D43">
        <f>0</f>
        <v>0</v>
      </c>
      <c r="E43">
        <f t="shared" si="5"/>
        <v>1125</v>
      </c>
      <c r="F43">
        <f t="shared" si="6"/>
        <v>150000</v>
      </c>
    </row>
    <row r="44" spans="1:6">
      <c r="A44">
        <v>8</v>
      </c>
      <c r="B44">
        <f t="shared" si="7"/>
        <v>150000</v>
      </c>
      <c r="C44">
        <f t="shared" si="4"/>
        <v>1125</v>
      </c>
      <c r="D44">
        <f>0</f>
        <v>0</v>
      </c>
      <c r="E44">
        <f t="shared" si="5"/>
        <v>1125</v>
      </c>
      <c r="F44">
        <f t="shared" si="6"/>
        <v>150000</v>
      </c>
    </row>
    <row r="45" spans="1:6">
      <c r="A45">
        <v>9</v>
      </c>
      <c r="B45">
        <f t="shared" si="7"/>
        <v>150000</v>
      </c>
      <c r="C45">
        <f t="shared" si="4"/>
        <v>1125</v>
      </c>
      <c r="D45">
        <f>0</f>
        <v>0</v>
      </c>
      <c r="E45">
        <f t="shared" si="5"/>
        <v>1125</v>
      </c>
      <c r="F45">
        <f t="shared" si="6"/>
        <v>150000</v>
      </c>
    </row>
    <row r="46" spans="1:6">
      <c r="A46">
        <v>10</v>
      </c>
      <c r="B46">
        <f t="shared" si="7"/>
        <v>150000</v>
      </c>
      <c r="C46">
        <f t="shared" si="4"/>
        <v>1125</v>
      </c>
      <c r="D46">
        <f>0</f>
        <v>0</v>
      </c>
      <c r="E46">
        <f t="shared" si="5"/>
        <v>1125</v>
      </c>
      <c r="F46">
        <f t="shared" si="6"/>
        <v>150000</v>
      </c>
    </row>
    <row r="47" spans="1:6">
      <c r="A47">
        <v>11</v>
      </c>
      <c r="B47">
        <f t="shared" si="7"/>
        <v>150000</v>
      </c>
      <c r="C47">
        <f t="shared" si="4"/>
        <v>1125</v>
      </c>
      <c r="D47">
        <f>0</f>
        <v>0</v>
      </c>
      <c r="E47">
        <f t="shared" si="5"/>
        <v>1125</v>
      </c>
      <c r="F47">
        <f t="shared" si="6"/>
        <v>150000</v>
      </c>
    </row>
    <row r="48" spans="1:6">
      <c r="A48">
        <v>12</v>
      </c>
      <c r="B48">
        <f t="shared" si="7"/>
        <v>150000</v>
      </c>
      <c r="C48">
        <f t="shared" si="4"/>
        <v>1125</v>
      </c>
      <c r="D48">
        <f>0</f>
        <v>0</v>
      </c>
      <c r="E48">
        <f t="shared" si="5"/>
        <v>1125</v>
      </c>
      <c r="F48">
        <f t="shared" si="6"/>
        <v>150000</v>
      </c>
    </row>
    <row r="49" spans="1:6">
      <c r="A49">
        <v>13</v>
      </c>
      <c r="B49">
        <f t="shared" si="7"/>
        <v>150000</v>
      </c>
      <c r="C49">
        <f t="shared" si="4"/>
        <v>1125</v>
      </c>
      <c r="D49">
        <f>0</f>
        <v>0</v>
      </c>
      <c r="E49">
        <f t="shared" si="5"/>
        <v>1125</v>
      </c>
      <c r="F49">
        <f t="shared" si="6"/>
        <v>150000</v>
      </c>
    </row>
    <row r="50" spans="1:6">
      <c r="A50">
        <v>14</v>
      </c>
      <c r="B50">
        <f t="shared" si="7"/>
        <v>150000</v>
      </c>
      <c r="C50">
        <f t="shared" si="4"/>
        <v>1125</v>
      </c>
      <c r="D50">
        <f>0</f>
        <v>0</v>
      </c>
      <c r="E50">
        <f t="shared" si="5"/>
        <v>1125</v>
      </c>
      <c r="F50">
        <f t="shared" si="6"/>
        <v>150000</v>
      </c>
    </row>
    <row r="51" spans="1:6">
      <c r="A51">
        <v>15</v>
      </c>
      <c r="B51">
        <f t="shared" si="7"/>
        <v>150000</v>
      </c>
      <c r="C51">
        <f t="shared" si="4"/>
        <v>1125</v>
      </c>
      <c r="D51">
        <f>0</f>
        <v>0</v>
      </c>
      <c r="E51">
        <f t="shared" si="5"/>
        <v>1125</v>
      </c>
      <c r="F51">
        <f t="shared" si="6"/>
        <v>150000</v>
      </c>
    </row>
    <row r="52" spans="1:6">
      <c r="A52">
        <v>16</v>
      </c>
      <c r="B52">
        <f t="shared" si="7"/>
        <v>150000</v>
      </c>
      <c r="C52">
        <f t="shared" si="4"/>
        <v>1125</v>
      </c>
      <c r="D52">
        <f>0</f>
        <v>0</v>
      </c>
      <c r="E52">
        <f t="shared" si="5"/>
        <v>1125</v>
      </c>
      <c r="F52">
        <f t="shared" si="6"/>
        <v>150000</v>
      </c>
    </row>
    <row r="53" spans="1:6">
      <c r="A53">
        <v>17</v>
      </c>
      <c r="B53">
        <f t="shared" si="7"/>
        <v>150000</v>
      </c>
      <c r="C53">
        <f t="shared" si="4"/>
        <v>1125</v>
      </c>
      <c r="D53">
        <f>0</f>
        <v>0</v>
      </c>
      <c r="E53">
        <f t="shared" si="5"/>
        <v>1125</v>
      </c>
      <c r="F53">
        <f t="shared" si="6"/>
        <v>150000</v>
      </c>
    </row>
    <row r="54" spans="1:6">
      <c r="A54">
        <v>18</v>
      </c>
      <c r="B54">
        <f t="shared" si="7"/>
        <v>150000</v>
      </c>
      <c r="C54">
        <f t="shared" si="4"/>
        <v>1125</v>
      </c>
      <c r="D54">
        <f>0</f>
        <v>0</v>
      </c>
      <c r="E54">
        <f t="shared" si="5"/>
        <v>1125</v>
      </c>
      <c r="F54">
        <f t="shared" si="6"/>
        <v>150000</v>
      </c>
    </row>
    <row r="55" spans="1:6">
      <c r="A55">
        <v>19</v>
      </c>
      <c r="B55">
        <f t="shared" si="7"/>
        <v>150000</v>
      </c>
      <c r="C55">
        <f t="shared" si="4"/>
        <v>1125</v>
      </c>
      <c r="D55">
        <f>0</f>
        <v>0</v>
      </c>
      <c r="E55">
        <f t="shared" si="5"/>
        <v>1125</v>
      </c>
      <c r="F55">
        <f>B55*(1+$B$8)-E55</f>
        <v>150000</v>
      </c>
    </row>
    <row r="56" spans="1:6">
      <c r="A56">
        <v>20</v>
      </c>
      <c r="B56">
        <f t="shared" si="7"/>
        <v>150000</v>
      </c>
      <c r="C56">
        <f t="shared" si="4"/>
        <v>1125</v>
      </c>
      <c r="D56">
        <f>0</f>
        <v>0</v>
      </c>
      <c r="E56">
        <f t="shared" si="5"/>
        <v>1125</v>
      </c>
      <c r="F56">
        <f t="shared" si="6"/>
        <v>150000</v>
      </c>
    </row>
    <row r="57" spans="1:6">
      <c r="A57">
        <v>21</v>
      </c>
      <c r="B57">
        <f t="shared" si="7"/>
        <v>150000</v>
      </c>
      <c r="C57">
        <f t="shared" si="4"/>
        <v>1125</v>
      </c>
      <c r="D57">
        <f>0</f>
        <v>0</v>
      </c>
      <c r="E57">
        <f t="shared" si="5"/>
        <v>1125</v>
      </c>
      <c r="F57">
        <f t="shared" si="6"/>
        <v>150000</v>
      </c>
    </row>
    <row r="58" spans="1:6">
      <c r="A58">
        <v>22</v>
      </c>
      <c r="B58">
        <f t="shared" si="7"/>
        <v>150000</v>
      </c>
      <c r="C58">
        <f t="shared" si="4"/>
        <v>1125</v>
      </c>
      <c r="D58">
        <f>0</f>
        <v>0</v>
      </c>
      <c r="E58">
        <f t="shared" si="5"/>
        <v>1125</v>
      </c>
      <c r="F58">
        <f t="shared" si="6"/>
        <v>150000</v>
      </c>
    </row>
    <row r="59" spans="1:6">
      <c r="A59">
        <v>23</v>
      </c>
      <c r="B59">
        <f t="shared" si="7"/>
        <v>150000</v>
      </c>
      <c r="C59">
        <f t="shared" si="4"/>
        <v>1125</v>
      </c>
      <c r="D59">
        <f>0</f>
        <v>0</v>
      </c>
      <c r="E59">
        <f t="shared" si="5"/>
        <v>1125</v>
      </c>
      <c r="F59">
        <f t="shared" si="6"/>
        <v>150000</v>
      </c>
    </row>
    <row r="60" spans="1:6">
      <c r="A60">
        <v>24</v>
      </c>
      <c r="B60">
        <f t="shared" si="7"/>
        <v>150000</v>
      </c>
      <c r="C60">
        <f t="shared" si="4"/>
        <v>1125</v>
      </c>
      <c r="D60">
        <f>$B$1</f>
        <v>150000</v>
      </c>
      <c r="E60">
        <f t="shared" si="5"/>
        <v>151125</v>
      </c>
      <c r="F60">
        <f t="shared" si="6"/>
        <v>0</v>
      </c>
    </row>
    <row r="61" spans="1:6">
      <c r="E61">
        <f>SUM(E37:E60)+8000</f>
        <v>185000</v>
      </c>
    </row>
    <row r="62" spans="1:6">
      <c r="A62" t="str">
        <f>IF(E61&lt;E35,"should refinance", "should not refinance")</f>
        <v>should refinance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CBC76-7193-E64A-ABFF-5C746CA3DE8B}">
  <dimension ref="A1:F56"/>
  <sheetViews>
    <sheetView workbookViewId="0">
      <selection activeCell="F32" sqref="A12:F32"/>
    </sheetView>
  </sheetViews>
  <sheetFormatPr baseColWidth="10" defaultRowHeight="13"/>
  <cols>
    <col min="1" max="1" width="11.83203125" bestFit="1" customWidth="1"/>
    <col min="2" max="2" width="26" bestFit="1" customWidth="1"/>
    <col min="3" max="3" width="15" bestFit="1" customWidth="1"/>
    <col min="4" max="4" width="15.83203125" bestFit="1" customWidth="1"/>
    <col min="5" max="5" width="12.5" bestFit="1" customWidth="1"/>
    <col min="6" max="6" width="24.5" bestFit="1" customWidth="1"/>
  </cols>
  <sheetData>
    <row r="1" spans="1:6">
      <c r="A1" s="5" t="s">
        <v>19</v>
      </c>
      <c r="B1">
        <v>1000000</v>
      </c>
    </row>
    <row r="2" spans="1:6">
      <c r="A2" s="5" t="s">
        <v>34</v>
      </c>
      <c r="B2">
        <v>20</v>
      </c>
    </row>
    <row r="3" spans="1:6">
      <c r="A3" s="5" t="s">
        <v>0</v>
      </c>
      <c r="B3" s="1">
        <v>0.1</v>
      </c>
    </row>
    <row r="5" spans="1:6">
      <c r="A5" s="5" t="s">
        <v>2</v>
      </c>
    </row>
    <row r="6" spans="1:6">
      <c r="A6" s="3">
        <f>PMT(B3,B2,-B1,0,0)</f>
        <v>117459.62477254579</v>
      </c>
    </row>
    <row r="8" spans="1:6">
      <c r="A8" s="5" t="s">
        <v>3</v>
      </c>
    </row>
    <row r="9" spans="1:6">
      <c r="A9" s="3">
        <f>B1*B3</f>
        <v>100000</v>
      </c>
    </row>
    <row r="11" spans="1:6">
      <c r="A11" s="5" t="s">
        <v>4</v>
      </c>
    </row>
    <row r="12" spans="1:6">
      <c r="A12" s="5" t="s">
        <v>29</v>
      </c>
      <c r="B12" s="5" t="s">
        <v>30</v>
      </c>
      <c r="C12" s="5" t="s">
        <v>21</v>
      </c>
      <c r="D12" s="5" t="s">
        <v>23</v>
      </c>
      <c r="E12" s="5" t="s">
        <v>25</v>
      </c>
      <c r="F12" s="5" t="s">
        <v>31</v>
      </c>
    </row>
    <row r="13" spans="1:6">
      <c r="A13">
        <v>1</v>
      </c>
      <c r="B13">
        <f>$B$1</f>
        <v>1000000</v>
      </c>
      <c r="C13">
        <f>B13*$B$3</f>
        <v>100000</v>
      </c>
      <c r="D13" s="3">
        <f>E13-C13</f>
        <v>17459.624772545794</v>
      </c>
      <c r="E13" s="3">
        <f>$A$6</f>
        <v>117459.62477254579</v>
      </c>
      <c r="F13" s="3">
        <f>B13-D13</f>
        <v>982540.37522745423</v>
      </c>
    </row>
    <row r="14" spans="1:6">
      <c r="A14">
        <v>2</v>
      </c>
      <c r="B14">
        <f>F13</f>
        <v>982540.37522745423</v>
      </c>
      <c r="C14">
        <f t="shared" ref="C14:C32" si="0">B14*$B$3</f>
        <v>98254.037522745435</v>
      </c>
      <c r="D14" s="3">
        <f t="shared" ref="D14:D31" si="1">E14-C14</f>
        <v>19205.587249800359</v>
      </c>
      <c r="E14" s="3">
        <f t="shared" ref="E14:E32" si="2">$A$6</f>
        <v>117459.62477254579</v>
      </c>
      <c r="F14" s="3">
        <f t="shared" ref="F14:F32" si="3">B14-D14</f>
        <v>963334.7879776539</v>
      </c>
    </row>
    <row r="15" spans="1:6">
      <c r="A15">
        <v>3</v>
      </c>
      <c r="B15">
        <f t="shared" ref="B15:B32" si="4">F14</f>
        <v>963334.7879776539</v>
      </c>
      <c r="C15">
        <f t="shared" si="0"/>
        <v>96333.47879776539</v>
      </c>
      <c r="D15" s="3">
        <f t="shared" si="1"/>
        <v>21126.145974780404</v>
      </c>
      <c r="E15" s="3">
        <f t="shared" si="2"/>
        <v>117459.62477254579</v>
      </c>
      <c r="F15" s="3">
        <f t="shared" si="3"/>
        <v>942208.64200287347</v>
      </c>
    </row>
    <row r="16" spans="1:6">
      <c r="A16">
        <v>4</v>
      </c>
      <c r="B16">
        <f t="shared" si="4"/>
        <v>942208.64200287347</v>
      </c>
      <c r="C16">
        <f t="shared" si="0"/>
        <v>94220.864200287353</v>
      </c>
      <c r="D16" s="3">
        <f t="shared" si="1"/>
        <v>23238.760572258441</v>
      </c>
      <c r="E16" s="3">
        <f t="shared" si="2"/>
        <v>117459.62477254579</v>
      </c>
      <c r="F16" s="3">
        <f t="shared" si="3"/>
        <v>918969.88143061497</v>
      </c>
    </row>
    <row r="17" spans="1:6">
      <c r="A17">
        <v>5</v>
      </c>
      <c r="B17">
        <f t="shared" si="4"/>
        <v>918969.88143061497</v>
      </c>
      <c r="C17">
        <f t="shared" si="0"/>
        <v>91896.988143061506</v>
      </c>
      <c r="D17" s="3">
        <f t="shared" si="1"/>
        <v>25562.636629484288</v>
      </c>
      <c r="E17" s="3">
        <f t="shared" si="2"/>
        <v>117459.62477254579</v>
      </c>
      <c r="F17" s="3">
        <f t="shared" si="3"/>
        <v>893407.24480113073</v>
      </c>
    </row>
    <row r="18" spans="1:6">
      <c r="A18">
        <v>6</v>
      </c>
      <c r="B18">
        <f t="shared" si="4"/>
        <v>893407.24480113073</v>
      </c>
      <c r="C18">
        <f t="shared" si="0"/>
        <v>89340.724480113073</v>
      </c>
      <c r="D18" s="3">
        <f t="shared" si="1"/>
        <v>28118.900292432721</v>
      </c>
      <c r="E18" s="3">
        <f t="shared" si="2"/>
        <v>117459.62477254579</v>
      </c>
      <c r="F18" s="3">
        <f t="shared" si="3"/>
        <v>865288.34450869798</v>
      </c>
    </row>
    <row r="19" spans="1:6">
      <c r="A19">
        <v>7</v>
      </c>
      <c r="B19">
        <f t="shared" si="4"/>
        <v>865288.34450869798</v>
      </c>
      <c r="C19">
        <f t="shared" si="0"/>
        <v>86528.834450869806</v>
      </c>
      <c r="D19" s="3">
        <f t="shared" si="1"/>
        <v>30930.790321675988</v>
      </c>
      <c r="E19" s="3">
        <f t="shared" si="2"/>
        <v>117459.62477254579</v>
      </c>
      <c r="F19" s="3">
        <f t="shared" si="3"/>
        <v>834357.55418702203</v>
      </c>
    </row>
    <row r="20" spans="1:6">
      <c r="A20">
        <v>8</v>
      </c>
      <c r="B20">
        <f t="shared" si="4"/>
        <v>834357.55418702203</v>
      </c>
      <c r="C20">
        <f t="shared" si="0"/>
        <v>83435.755418702203</v>
      </c>
      <c r="D20" s="3">
        <f t="shared" si="1"/>
        <v>34023.869353843591</v>
      </c>
      <c r="E20" s="3">
        <f t="shared" si="2"/>
        <v>117459.62477254579</v>
      </c>
      <c r="F20" s="3">
        <f t="shared" si="3"/>
        <v>800333.68483317841</v>
      </c>
    </row>
    <row r="21" spans="1:6">
      <c r="A21">
        <v>9</v>
      </c>
      <c r="B21">
        <f t="shared" si="4"/>
        <v>800333.68483317841</v>
      </c>
      <c r="C21">
        <f t="shared" si="0"/>
        <v>80033.368483317841</v>
      </c>
      <c r="D21" s="3">
        <f t="shared" si="1"/>
        <v>37426.256289227953</v>
      </c>
      <c r="E21" s="3">
        <f t="shared" si="2"/>
        <v>117459.62477254579</v>
      </c>
      <c r="F21" s="3">
        <f t="shared" si="3"/>
        <v>762907.42854395043</v>
      </c>
    </row>
    <row r="22" spans="1:6">
      <c r="A22">
        <v>10</v>
      </c>
      <c r="B22">
        <f t="shared" si="4"/>
        <v>762907.42854395043</v>
      </c>
      <c r="C22">
        <f t="shared" si="0"/>
        <v>76290.742854395052</v>
      </c>
      <c r="D22" s="3">
        <f t="shared" si="1"/>
        <v>41168.881918150742</v>
      </c>
      <c r="E22" s="3">
        <f t="shared" si="2"/>
        <v>117459.62477254579</v>
      </c>
      <c r="F22" s="3">
        <f t="shared" si="3"/>
        <v>721738.54662579973</v>
      </c>
    </row>
    <row r="23" spans="1:6">
      <c r="A23">
        <v>11</v>
      </c>
      <c r="B23">
        <f t="shared" si="4"/>
        <v>721738.54662579973</v>
      </c>
      <c r="C23">
        <f t="shared" si="0"/>
        <v>72173.854662579979</v>
      </c>
      <c r="D23" s="3">
        <f t="shared" si="1"/>
        <v>45285.770109965815</v>
      </c>
      <c r="E23" s="3">
        <f t="shared" si="2"/>
        <v>117459.62477254579</v>
      </c>
      <c r="F23" s="3">
        <f t="shared" si="3"/>
        <v>676452.77651583392</v>
      </c>
    </row>
    <row r="24" spans="1:6">
      <c r="A24">
        <v>12</v>
      </c>
      <c r="B24">
        <f t="shared" si="4"/>
        <v>676452.77651583392</v>
      </c>
      <c r="C24">
        <f t="shared" si="0"/>
        <v>67645.277651583398</v>
      </c>
      <c r="D24" s="3">
        <f t="shared" si="1"/>
        <v>49814.347120962397</v>
      </c>
      <c r="E24" s="3">
        <f t="shared" si="2"/>
        <v>117459.62477254579</v>
      </c>
      <c r="F24" s="3">
        <f t="shared" si="3"/>
        <v>626638.42939487146</v>
      </c>
    </row>
    <row r="25" spans="1:6">
      <c r="A25">
        <v>13</v>
      </c>
      <c r="B25">
        <f t="shared" si="4"/>
        <v>626638.42939487146</v>
      </c>
      <c r="C25">
        <f t="shared" si="0"/>
        <v>62663.842939487149</v>
      </c>
      <c r="D25" s="3">
        <f t="shared" si="1"/>
        <v>54795.781833058645</v>
      </c>
      <c r="E25" s="3">
        <f t="shared" si="2"/>
        <v>117459.62477254579</v>
      </c>
      <c r="F25" s="3">
        <f t="shared" si="3"/>
        <v>571842.64756181277</v>
      </c>
    </row>
    <row r="26" spans="1:6">
      <c r="A26">
        <v>14</v>
      </c>
      <c r="B26">
        <f t="shared" si="4"/>
        <v>571842.64756181277</v>
      </c>
      <c r="C26">
        <f t="shared" si="0"/>
        <v>57184.264756181277</v>
      </c>
      <c r="D26" s="3">
        <f t="shared" si="1"/>
        <v>60275.360016364517</v>
      </c>
      <c r="E26" s="3">
        <f t="shared" si="2"/>
        <v>117459.62477254579</v>
      </c>
      <c r="F26" s="3">
        <f t="shared" si="3"/>
        <v>511567.28754544829</v>
      </c>
    </row>
    <row r="27" spans="1:6">
      <c r="A27">
        <v>15</v>
      </c>
      <c r="B27">
        <f t="shared" si="4"/>
        <v>511567.28754544829</v>
      </c>
      <c r="C27">
        <f t="shared" si="0"/>
        <v>51156.728754544834</v>
      </c>
      <c r="D27" s="3">
        <f t="shared" si="1"/>
        <v>66302.89601800096</v>
      </c>
      <c r="E27" s="3">
        <f t="shared" si="2"/>
        <v>117459.62477254579</v>
      </c>
      <c r="F27" s="3">
        <f t="shared" si="3"/>
        <v>445264.39152744733</v>
      </c>
    </row>
    <row r="28" spans="1:6">
      <c r="A28">
        <v>16</v>
      </c>
      <c r="B28">
        <f t="shared" si="4"/>
        <v>445264.39152744733</v>
      </c>
      <c r="C28">
        <f t="shared" si="0"/>
        <v>44526.439152744737</v>
      </c>
      <c r="D28" s="3">
        <f t="shared" si="1"/>
        <v>72933.18561980105</v>
      </c>
      <c r="E28" s="3">
        <f t="shared" si="2"/>
        <v>117459.62477254579</v>
      </c>
      <c r="F28" s="3">
        <f t="shared" si="3"/>
        <v>372331.20590764628</v>
      </c>
    </row>
    <row r="29" spans="1:6">
      <c r="A29">
        <v>17</v>
      </c>
      <c r="B29">
        <f t="shared" si="4"/>
        <v>372331.20590764628</v>
      </c>
      <c r="C29">
        <f t="shared" si="0"/>
        <v>37233.120590764629</v>
      </c>
      <c r="D29" s="3">
        <f t="shared" si="1"/>
        <v>80226.504181781173</v>
      </c>
      <c r="E29" s="3">
        <f t="shared" si="2"/>
        <v>117459.62477254579</v>
      </c>
      <c r="F29" s="3">
        <f t="shared" si="3"/>
        <v>292104.70172586513</v>
      </c>
    </row>
    <row r="30" spans="1:6">
      <c r="A30">
        <v>18</v>
      </c>
      <c r="B30">
        <f t="shared" si="4"/>
        <v>292104.70172586513</v>
      </c>
      <c r="C30">
        <f t="shared" si="0"/>
        <v>29210.470172586516</v>
      </c>
      <c r="D30" s="3">
        <f t="shared" si="1"/>
        <v>88249.154599959278</v>
      </c>
      <c r="E30" s="3">
        <f t="shared" si="2"/>
        <v>117459.62477254579</v>
      </c>
      <c r="F30" s="3">
        <f t="shared" si="3"/>
        <v>203855.54712590587</v>
      </c>
    </row>
    <row r="31" spans="1:6">
      <c r="A31">
        <v>19</v>
      </c>
      <c r="B31">
        <f t="shared" si="4"/>
        <v>203855.54712590587</v>
      </c>
      <c r="C31">
        <f t="shared" si="0"/>
        <v>20385.554712590587</v>
      </c>
      <c r="D31" s="3">
        <f t="shared" si="1"/>
        <v>97074.070059955207</v>
      </c>
      <c r="E31" s="3">
        <f t="shared" si="2"/>
        <v>117459.62477254579</v>
      </c>
      <c r="F31" s="3">
        <f t="shared" si="3"/>
        <v>106781.47706595066</v>
      </c>
    </row>
    <row r="32" spans="1:6">
      <c r="A32">
        <v>20</v>
      </c>
      <c r="B32">
        <f t="shared" si="4"/>
        <v>106781.47706595066</v>
      </c>
      <c r="C32">
        <f t="shared" si="0"/>
        <v>10678.147706595068</v>
      </c>
      <c r="D32" s="3">
        <f>E32-C32</f>
        <v>106781.47706595072</v>
      </c>
      <c r="E32" s="3">
        <f t="shared" si="2"/>
        <v>117459.62477254579</v>
      </c>
      <c r="F32" s="3">
        <f t="shared" si="3"/>
        <v>0</v>
      </c>
    </row>
    <row r="34" spans="1:6">
      <c r="A34" s="5" t="s">
        <v>5</v>
      </c>
    </row>
    <row r="35" spans="1:6">
      <c r="A35" s="3">
        <f>F20</f>
        <v>800333.68483317841</v>
      </c>
    </row>
    <row r="37" spans="1:6">
      <c r="A37" s="5" t="s">
        <v>35</v>
      </c>
    </row>
    <row r="38" spans="1:6">
      <c r="A38" s="5" t="s">
        <v>0</v>
      </c>
      <c r="B38" s="1">
        <v>0.08</v>
      </c>
    </row>
    <row r="39" spans="1:6">
      <c r="A39" s="5" t="s">
        <v>36</v>
      </c>
      <c r="B39" s="3">
        <f>PMT(B38,12,-B41,0,0)</f>
        <v>106200.29185416168</v>
      </c>
    </row>
    <row r="40" spans="1:6">
      <c r="A40" s="5" t="s">
        <v>29</v>
      </c>
      <c r="B40" s="5" t="s">
        <v>30</v>
      </c>
      <c r="C40" s="5" t="s">
        <v>21</v>
      </c>
      <c r="D40" s="5" t="s">
        <v>23</v>
      </c>
      <c r="E40" s="5" t="s">
        <v>25</v>
      </c>
      <c r="F40" s="5" t="s">
        <v>31</v>
      </c>
    </row>
    <row r="41" spans="1:6">
      <c r="A41">
        <v>9</v>
      </c>
      <c r="B41">
        <f>B21</f>
        <v>800333.68483317841</v>
      </c>
      <c r="C41">
        <f>B41*$B$38</f>
        <v>64026.694786654276</v>
      </c>
      <c r="D41" s="3">
        <f t="shared" ref="D41:D51" si="5">E41-C41</f>
        <v>42173.597067507406</v>
      </c>
      <c r="E41" s="3">
        <f>$B$39</f>
        <v>106200.29185416168</v>
      </c>
      <c r="F41" s="3">
        <f t="shared" ref="F41:F52" si="6">B41-D41</f>
        <v>758160.08776567096</v>
      </c>
    </row>
    <row r="42" spans="1:6">
      <c r="A42">
        <v>10</v>
      </c>
      <c r="B42">
        <f t="shared" ref="B42:B52" si="7">F41</f>
        <v>758160.08776567096</v>
      </c>
      <c r="C42">
        <f t="shared" ref="C42:C53" si="8">B42*$B$38</f>
        <v>60652.807021253677</v>
      </c>
      <c r="D42" s="3">
        <f t="shared" si="5"/>
        <v>45547.484832908005</v>
      </c>
      <c r="E42" s="3">
        <f t="shared" ref="E42:E52" si="9">$B$39</f>
        <v>106200.29185416168</v>
      </c>
      <c r="F42" s="3">
        <f t="shared" si="6"/>
        <v>712612.60293276294</v>
      </c>
    </row>
    <row r="43" spans="1:6">
      <c r="A43">
        <v>11</v>
      </c>
      <c r="B43">
        <f t="shared" si="7"/>
        <v>712612.60293276294</v>
      </c>
      <c r="C43">
        <f t="shared" si="8"/>
        <v>57009.008234621033</v>
      </c>
      <c r="D43" s="3">
        <f t="shared" si="5"/>
        <v>49191.283619540649</v>
      </c>
      <c r="E43" s="3">
        <f t="shared" si="9"/>
        <v>106200.29185416168</v>
      </c>
      <c r="F43" s="3">
        <f t="shared" si="6"/>
        <v>663421.31931322231</v>
      </c>
    </row>
    <row r="44" spans="1:6">
      <c r="A44">
        <v>12</v>
      </c>
      <c r="B44">
        <f t="shared" si="7"/>
        <v>663421.31931322231</v>
      </c>
      <c r="C44">
        <f t="shared" si="8"/>
        <v>53073.705545057783</v>
      </c>
      <c r="D44" s="3">
        <f t="shared" si="5"/>
        <v>53126.586309103899</v>
      </c>
      <c r="E44" s="3">
        <f t="shared" si="9"/>
        <v>106200.29185416168</v>
      </c>
      <c r="F44" s="3">
        <f t="shared" si="6"/>
        <v>610294.73300411843</v>
      </c>
    </row>
    <row r="45" spans="1:6">
      <c r="A45">
        <v>13</v>
      </c>
      <c r="B45">
        <f t="shared" si="7"/>
        <v>610294.73300411843</v>
      </c>
      <c r="C45">
        <f t="shared" si="8"/>
        <v>48823.578640329477</v>
      </c>
      <c r="D45" s="3">
        <f t="shared" si="5"/>
        <v>57376.713213832205</v>
      </c>
      <c r="E45" s="3">
        <f t="shared" si="9"/>
        <v>106200.29185416168</v>
      </c>
      <c r="F45" s="3">
        <f t="shared" si="6"/>
        <v>552918.0197902862</v>
      </c>
    </row>
    <row r="46" spans="1:6">
      <c r="A46">
        <v>14</v>
      </c>
      <c r="B46">
        <f t="shared" si="7"/>
        <v>552918.0197902862</v>
      </c>
      <c r="C46">
        <f t="shared" si="8"/>
        <v>44233.441583222899</v>
      </c>
      <c r="D46" s="3">
        <f t="shared" si="5"/>
        <v>61966.850270938783</v>
      </c>
      <c r="E46" s="3">
        <f t="shared" si="9"/>
        <v>106200.29185416168</v>
      </c>
      <c r="F46" s="3">
        <f t="shared" si="6"/>
        <v>490951.16951934743</v>
      </c>
    </row>
    <row r="47" spans="1:6">
      <c r="A47">
        <v>15</v>
      </c>
      <c r="B47">
        <f t="shared" si="7"/>
        <v>490951.16951934743</v>
      </c>
      <c r="C47">
        <f t="shared" si="8"/>
        <v>39276.093561547794</v>
      </c>
      <c r="D47" s="3">
        <f t="shared" si="5"/>
        <v>66924.198292613888</v>
      </c>
      <c r="E47" s="3">
        <f t="shared" si="9"/>
        <v>106200.29185416168</v>
      </c>
      <c r="F47" s="3">
        <f t="shared" si="6"/>
        <v>424026.97122673353</v>
      </c>
    </row>
    <row r="48" spans="1:6">
      <c r="A48">
        <v>16</v>
      </c>
      <c r="B48">
        <f t="shared" si="7"/>
        <v>424026.97122673353</v>
      </c>
      <c r="C48">
        <f t="shared" si="8"/>
        <v>33922.157698138682</v>
      </c>
      <c r="D48" s="3">
        <f t="shared" si="5"/>
        <v>72278.134156023007</v>
      </c>
      <c r="E48" s="3">
        <f t="shared" si="9"/>
        <v>106200.29185416168</v>
      </c>
      <c r="F48" s="3">
        <f t="shared" si="6"/>
        <v>351748.83707071049</v>
      </c>
    </row>
    <row r="49" spans="1:6">
      <c r="A49">
        <v>17</v>
      </c>
      <c r="B49">
        <f t="shared" si="7"/>
        <v>351748.83707071049</v>
      </c>
      <c r="C49">
        <f t="shared" si="8"/>
        <v>28139.906965656839</v>
      </c>
      <c r="D49" s="3">
        <f t="shared" si="5"/>
        <v>78060.384888504836</v>
      </c>
      <c r="E49" s="3">
        <f t="shared" si="9"/>
        <v>106200.29185416168</v>
      </c>
      <c r="F49" s="3">
        <f t="shared" si="6"/>
        <v>273688.45218220563</v>
      </c>
    </row>
    <row r="50" spans="1:6">
      <c r="A50">
        <v>18</v>
      </c>
      <c r="B50">
        <f t="shared" si="7"/>
        <v>273688.45218220563</v>
      </c>
      <c r="C50">
        <f t="shared" si="8"/>
        <v>21895.07617457645</v>
      </c>
      <c r="D50" s="3">
        <f t="shared" si="5"/>
        <v>84305.215679585235</v>
      </c>
      <c r="E50" s="3">
        <f t="shared" si="9"/>
        <v>106200.29185416168</v>
      </c>
      <c r="F50" s="3">
        <f t="shared" si="6"/>
        <v>189383.23650262039</v>
      </c>
    </row>
    <row r="51" spans="1:6">
      <c r="A51">
        <v>19</v>
      </c>
      <c r="B51">
        <f t="shared" si="7"/>
        <v>189383.23650262039</v>
      </c>
      <c r="C51">
        <f t="shared" si="8"/>
        <v>15150.658920209631</v>
      </c>
      <c r="D51" s="3">
        <f t="shared" si="5"/>
        <v>91049.632933952045</v>
      </c>
      <c r="E51" s="3">
        <f t="shared" si="9"/>
        <v>106200.29185416168</v>
      </c>
      <c r="F51" s="3">
        <f t="shared" si="6"/>
        <v>98333.603568668346</v>
      </c>
    </row>
    <row r="52" spans="1:6">
      <c r="A52">
        <v>20</v>
      </c>
      <c r="B52">
        <f t="shared" si="7"/>
        <v>98333.603568668346</v>
      </c>
      <c r="C52">
        <f t="shared" si="8"/>
        <v>7866.6882854934674</v>
      </c>
      <c r="D52" s="3">
        <f>E52-C52</f>
        <v>98333.603568668215</v>
      </c>
      <c r="E52" s="3">
        <f t="shared" si="9"/>
        <v>106200.29185416168</v>
      </c>
      <c r="F52" s="3">
        <f t="shared" si="6"/>
        <v>1.3096723705530167E-10</v>
      </c>
    </row>
    <row r="54" spans="1:6">
      <c r="A54" s="1">
        <v>0.1</v>
      </c>
      <c r="B54" s="3">
        <f>12*A6</f>
        <v>1409515.4972705496</v>
      </c>
    </row>
    <row r="55" spans="1:6">
      <c r="A55" s="1">
        <v>0.08</v>
      </c>
      <c r="B55" s="3">
        <f>12*B39</f>
        <v>1274403.5022499403</v>
      </c>
    </row>
    <row r="56" spans="1:6">
      <c r="A56" s="5" t="s">
        <v>6</v>
      </c>
      <c r="B56" s="3">
        <f>B54-B55</f>
        <v>135111.99502060935</v>
      </c>
    </row>
  </sheetData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0C709-D58D-A64E-B85F-74D221879E60}">
  <dimension ref="A1:F24"/>
  <sheetViews>
    <sheetView workbookViewId="0">
      <selection activeCell="F17" sqref="A7:F17"/>
    </sheetView>
  </sheetViews>
  <sheetFormatPr baseColWidth="10" defaultRowHeight="13"/>
  <cols>
    <col min="1" max="1" width="14.33203125" bestFit="1" customWidth="1"/>
    <col min="2" max="2" width="26" bestFit="1" customWidth="1"/>
    <col min="3" max="3" width="15" bestFit="1" customWidth="1"/>
    <col min="4" max="4" width="15.83203125" bestFit="1" customWidth="1"/>
    <col min="5" max="5" width="12.5" bestFit="1" customWidth="1"/>
    <col min="6" max="6" width="24.5" bestFit="1" customWidth="1"/>
  </cols>
  <sheetData>
    <row r="1" spans="1:6">
      <c r="A1" s="5" t="s">
        <v>19</v>
      </c>
      <c r="B1" s="2">
        <v>150000</v>
      </c>
    </row>
    <row r="2" spans="1:6">
      <c r="A2" s="5" t="s">
        <v>0</v>
      </c>
      <c r="B2" s="1">
        <v>0.06</v>
      </c>
    </row>
    <row r="3" spans="1:6">
      <c r="A3" s="5" t="s">
        <v>34</v>
      </c>
      <c r="B3" s="7">
        <v>10</v>
      </c>
    </row>
    <row r="5" spans="1:6">
      <c r="A5" s="5" t="s">
        <v>2</v>
      </c>
    </row>
    <row r="6" spans="1:6">
      <c r="A6" s="5" t="s">
        <v>36</v>
      </c>
      <c r="B6" s="3">
        <f>PMT(B2,B3,-B1,0,0)</f>
        <v>20380.193733057578</v>
      </c>
    </row>
    <row r="7" spans="1:6">
      <c r="A7" s="5" t="s">
        <v>29</v>
      </c>
      <c r="B7" s="5" t="s">
        <v>30</v>
      </c>
      <c r="C7" s="5" t="s">
        <v>21</v>
      </c>
      <c r="D7" s="5" t="s">
        <v>23</v>
      </c>
      <c r="E7" s="5" t="s">
        <v>25</v>
      </c>
      <c r="F7" s="5" t="s">
        <v>31</v>
      </c>
    </row>
    <row r="8" spans="1:6">
      <c r="A8">
        <v>1</v>
      </c>
      <c r="B8">
        <f>$B$1</f>
        <v>150000</v>
      </c>
      <c r="C8">
        <f>B8*$B$2</f>
        <v>9000</v>
      </c>
      <c r="D8" s="3">
        <f>E8-C8</f>
        <v>11380.193733057578</v>
      </c>
      <c r="E8" s="3">
        <f>$B$6</f>
        <v>20380.193733057578</v>
      </c>
      <c r="F8" s="3">
        <f>B8-D8</f>
        <v>138619.80626694241</v>
      </c>
    </row>
    <row r="9" spans="1:6">
      <c r="A9">
        <v>2</v>
      </c>
      <c r="B9">
        <f>F8</f>
        <v>138619.80626694241</v>
      </c>
      <c r="C9">
        <f t="shared" ref="C9:C17" si="0">B9*$B$2</f>
        <v>8317.1883760165438</v>
      </c>
      <c r="D9" s="3">
        <f t="shared" ref="D9:D17" si="1">E9-C9</f>
        <v>12063.005357041035</v>
      </c>
      <c r="E9" s="3">
        <f t="shared" ref="E9:E17" si="2">$B$6</f>
        <v>20380.193733057578</v>
      </c>
      <c r="F9" s="3">
        <f t="shared" ref="F9:F17" si="3">B9-D9</f>
        <v>126556.80090990137</v>
      </c>
    </row>
    <row r="10" spans="1:6">
      <c r="A10">
        <v>3</v>
      </c>
      <c r="B10">
        <f t="shared" ref="B10:B17" si="4">F9</f>
        <v>126556.80090990137</v>
      </c>
      <c r="C10">
        <f t="shared" si="0"/>
        <v>7593.4080545940824</v>
      </c>
      <c r="D10" s="3">
        <f t="shared" si="1"/>
        <v>12786.785678463497</v>
      </c>
      <c r="E10" s="3">
        <f t="shared" si="2"/>
        <v>20380.193733057578</v>
      </c>
      <c r="F10" s="3">
        <f t="shared" si="3"/>
        <v>113770.01523143788</v>
      </c>
    </row>
    <row r="11" spans="1:6">
      <c r="A11">
        <v>4</v>
      </c>
      <c r="B11">
        <f t="shared" si="4"/>
        <v>113770.01523143788</v>
      </c>
      <c r="C11">
        <f t="shared" si="0"/>
        <v>6826.2009138862722</v>
      </c>
      <c r="D11" s="3">
        <f t="shared" si="1"/>
        <v>13553.992819171306</v>
      </c>
      <c r="E11" s="3">
        <f t="shared" si="2"/>
        <v>20380.193733057578</v>
      </c>
      <c r="F11" s="3">
        <f t="shared" si="3"/>
        <v>100216.02241226657</v>
      </c>
    </row>
    <row r="12" spans="1:6">
      <c r="A12">
        <v>5</v>
      </c>
      <c r="B12">
        <f t="shared" si="4"/>
        <v>100216.02241226657</v>
      </c>
      <c r="C12">
        <f t="shared" si="0"/>
        <v>6012.9613447359934</v>
      </c>
      <c r="D12" s="3">
        <f t="shared" si="1"/>
        <v>14367.232388321585</v>
      </c>
      <c r="E12" s="3">
        <f t="shared" si="2"/>
        <v>20380.193733057578</v>
      </c>
      <c r="F12" s="3">
        <f t="shared" si="3"/>
        <v>85848.790023944981</v>
      </c>
    </row>
    <row r="13" spans="1:6">
      <c r="A13">
        <v>6</v>
      </c>
      <c r="B13">
        <f t="shared" si="4"/>
        <v>85848.790023944981</v>
      </c>
      <c r="C13">
        <f t="shared" si="0"/>
        <v>5150.9274014366983</v>
      </c>
      <c r="D13" s="3">
        <f t="shared" si="1"/>
        <v>15229.26633162088</v>
      </c>
      <c r="E13" s="3">
        <f t="shared" si="2"/>
        <v>20380.193733057578</v>
      </c>
      <c r="F13" s="3">
        <f t="shared" si="3"/>
        <v>70619.523692324103</v>
      </c>
    </row>
    <row r="14" spans="1:6">
      <c r="A14">
        <v>7</v>
      </c>
      <c r="B14">
        <f t="shared" si="4"/>
        <v>70619.523692324103</v>
      </c>
      <c r="C14">
        <f t="shared" si="0"/>
        <v>4237.1714215394459</v>
      </c>
      <c r="D14" s="3">
        <f t="shared" si="1"/>
        <v>16143.022311518132</v>
      </c>
      <c r="E14" s="3">
        <f t="shared" si="2"/>
        <v>20380.193733057578</v>
      </c>
      <c r="F14" s="3">
        <f t="shared" si="3"/>
        <v>54476.501380805974</v>
      </c>
    </row>
    <row r="15" spans="1:6">
      <c r="A15">
        <v>8</v>
      </c>
      <c r="B15">
        <f t="shared" si="4"/>
        <v>54476.501380805974</v>
      </c>
      <c r="C15">
        <f t="shared" si="0"/>
        <v>3268.5900828483582</v>
      </c>
      <c r="D15" s="3">
        <f t="shared" si="1"/>
        <v>17111.603650209221</v>
      </c>
      <c r="E15" s="3">
        <f t="shared" si="2"/>
        <v>20380.193733057578</v>
      </c>
      <c r="F15" s="3">
        <f t="shared" si="3"/>
        <v>37364.897730596756</v>
      </c>
    </row>
    <row r="16" spans="1:6">
      <c r="A16">
        <v>9</v>
      </c>
      <c r="B16">
        <f t="shared" si="4"/>
        <v>37364.897730596756</v>
      </c>
      <c r="C16">
        <f t="shared" si="0"/>
        <v>2241.8938638358054</v>
      </c>
      <c r="D16" s="3">
        <f t="shared" si="1"/>
        <v>18138.299869221773</v>
      </c>
      <c r="E16" s="3">
        <f t="shared" si="2"/>
        <v>20380.193733057578</v>
      </c>
      <c r="F16" s="3">
        <f t="shared" si="3"/>
        <v>19226.597861374983</v>
      </c>
    </row>
    <row r="17" spans="1:6">
      <c r="A17">
        <v>10</v>
      </c>
      <c r="B17">
        <f t="shared" si="4"/>
        <v>19226.597861374983</v>
      </c>
      <c r="C17">
        <f t="shared" si="0"/>
        <v>1153.5958716824989</v>
      </c>
      <c r="D17" s="3">
        <f t="shared" si="1"/>
        <v>19226.597861375078</v>
      </c>
      <c r="E17" s="3">
        <f t="shared" si="2"/>
        <v>20380.193733057578</v>
      </c>
      <c r="F17" s="3">
        <f t="shared" si="3"/>
        <v>-9.4587448984384537E-11</v>
      </c>
    </row>
    <row r="19" spans="1:6">
      <c r="A19" s="5" t="s">
        <v>3</v>
      </c>
    </row>
    <row r="20" spans="1:6">
      <c r="A20" s="5" t="s">
        <v>37</v>
      </c>
      <c r="B20" s="3">
        <f>PPMT(B2,10,B3,-B1,0,0)</f>
        <v>19226.597861375074</v>
      </c>
    </row>
    <row r="21" spans="1:6">
      <c r="A21" s="5" t="s">
        <v>38</v>
      </c>
      <c r="B21" s="3">
        <f>IPMT(B2,10,B3,-B1,0,0)</f>
        <v>1153.5958716825041</v>
      </c>
    </row>
    <row r="23" spans="1:6">
      <c r="A23" s="5" t="s">
        <v>4</v>
      </c>
    </row>
    <row r="24" spans="1:6">
      <c r="A24" s="3">
        <f>F11</f>
        <v>100216.02241226657</v>
      </c>
    </row>
  </sheetData>
  <phoneticPr fontId="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78C5A-4AE6-2741-905E-74DC88324827}">
  <dimension ref="A1:B11"/>
  <sheetViews>
    <sheetView workbookViewId="0">
      <selection activeCell="B10" sqref="B10"/>
    </sheetView>
  </sheetViews>
  <sheetFormatPr baseColWidth="10" defaultRowHeight="13"/>
  <cols>
    <col min="1" max="1" width="11.83203125" bestFit="1" customWidth="1"/>
  </cols>
  <sheetData>
    <row r="1" spans="1:2">
      <c r="A1" s="5" t="s">
        <v>19</v>
      </c>
      <c r="B1" s="2">
        <v>200000</v>
      </c>
    </row>
    <row r="2" spans="1:2">
      <c r="A2" s="5" t="s">
        <v>0</v>
      </c>
      <c r="B2" s="4">
        <v>7.4999999999999997E-3</v>
      </c>
    </row>
    <row r="3" spans="1:2">
      <c r="A3" s="5" t="s">
        <v>36</v>
      </c>
      <c r="B3" s="7">
        <v>2000</v>
      </c>
    </row>
    <row r="5" spans="1:2">
      <c r="A5" s="5" t="s">
        <v>34</v>
      </c>
      <c r="B5">
        <v>15.460961010753101</v>
      </c>
    </row>
    <row r="7" spans="1:2">
      <c r="A7" s="3">
        <f>PV(B2,B5*12,-B3,0,0)</f>
        <v>199999.99999968114</v>
      </c>
    </row>
    <row r="10" spans="1:2">
      <c r="B10" s="3"/>
    </row>
    <row r="11" spans="1:2">
      <c r="A11" s="3"/>
    </row>
  </sheetData>
  <phoneticPr fontId="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F6BD6-8096-5043-8CCA-E00B3156CCC2}">
  <dimension ref="A1:F71"/>
  <sheetViews>
    <sheetView workbookViewId="0">
      <selection activeCell="E19" sqref="E19"/>
    </sheetView>
  </sheetViews>
  <sheetFormatPr baseColWidth="10" defaultRowHeight="13"/>
  <cols>
    <col min="1" max="1" width="11.1640625" bestFit="1" customWidth="1"/>
    <col min="2" max="2" width="27.6640625" bestFit="1" customWidth="1"/>
    <col min="3" max="3" width="15" bestFit="1" customWidth="1"/>
    <col min="4" max="4" width="15.83203125" bestFit="1" customWidth="1"/>
    <col min="5" max="5" width="12.5" bestFit="1" customWidth="1"/>
    <col min="6" max="6" width="26.1640625" bestFit="1" customWidth="1"/>
  </cols>
  <sheetData>
    <row r="1" spans="1:6">
      <c r="A1" s="5" t="s">
        <v>39</v>
      </c>
      <c r="B1">
        <v>5000</v>
      </c>
    </row>
    <row r="2" spans="1:6">
      <c r="A2" s="5" t="s">
        <v>36</v>
      </c>
      <c r="B2">
        <v>200</v>
      </c>
    </row>
    <row r="3" spans="1:6">
      <c r="A3" s="5" t="s">
        <v>40</v>
      </c>
      <c r="B3">
        <f>5*12</f>
        <v>60</v>
      </c>
    </row>
    <row r="4" spans="1:6">
      <c r="A4" s="5" t="s">
        <v>0</v>
      </c>
      <c r="B4" s="6">
        <v>3.0000000000000001E-3</v>
      </c>
    </row>
    <row r="5" spans="1:6">
      <c r="A5" s="5" t="s">
        <v>7</v>
      </c>
      <c r="B5">
        <v>15966.979022546806</v>
      </c>
    </row>
    <row r="7" spans="1:6">
      <c r="A7" s="5" t="s">
        <v>8</v>
      </c>
      <c r="B7" s="5" t="s">
        <v>26</v>
      </c>
      <c r="C7" s="5" t="s">
        <v>21</v>
      </c>
      <c r="D7" s="5" t="s">
        <v>23</v>
      </c>
      <c r="E7" s="5" t="s">
        <v>25</v>
      </c>
      <c r="F7" s="5" t="s">
        <v>27</v>
      </c>
    </row>
    <row r="8" spans="1:6">
      <c r="A8">
        <v>1</v>
      </c>
      <c r="B8">
        <f>$B$5-B1</f>
        <v>10966.979022546806</v>
      </c>
      <c r="C8">
        <f>B8*$B$4</f>
        <v>32.90093706764042</v>
      </c>
      <c r="D8" s="3">
        <f>E8-C8</f>
        <v>167.09906293235957</v>
      </c>
      <c r="E8" s="3">
        <f>$B$2</f>
        <v>200</v>
      </c>
      <c r="F8" s="3">
        <f>B8-D8</f>
        <v>10799.879959614447</v>
      </c>
    </row>
    <row r="9" spans="1:6">
      <c r="A9">
        <v>2</v>
      </c>
      <c r="B9">
        <f>F8</f>
        <v>10799.879959614447</v>
      </c>
      <c r="C9">
        <f t="shared" ref="C9:C67" si="0">B9*$B$4</f>
        <v>32.399639878843345</v>
      </c>
      <c r="D9" s="3">
        <f t="shared" ref="D9:D67" si="1">E9-C9</f>
        <v>167.60036012115665</v>
      </c>
      <c r="E9" s="3">
        <f t="shared" ref="E9:E67" si="2">$B$2</f>
        <v>200</v>
      </c>
      <c r="F9" s="3">
        <f t="shared" ref="F9:F67" si="3">B9-D9</f>
        <v>10632.279599493291</v>
      </c>
    </row>
    <row r="10" spans="1:6">
      <c r="A10">
        <v>3</v>
      </c>
      <c r="B10">
        <f t="shared" ref="B10:B67" si="4">F9</f>
        <v>10632.279599493291</v>
      </c>
      <c r="C10">
        <f t="shared" si="0"/>
        <v>31.896838798479873</v>
      </c>
      <c r="D10" s="3">
        <f t="shared" si="1"/>
        <v>168.10316120152012</v>
      </c>
      <c r="E10" s="3">
        <f t="shared" si="2"/>
        <v>200</v>
      </c>
      <c r="F10" s="3">
        <f t="shared" si="3"/>
        <v>10464.176438291772</v>
      </c>
    </row>
    <row r="11" spans="1:6">
      <c r="A11">
        <v>4</v>
      </c>
      <c r="B11">
        <f t="shared" si="4"/>
        <v>10464.176438291772</v>
      </c>
      <c r="C11">
        <f t="shared" si="0"/>
        <v>31.392529314875315</v>
      </c>
      <c r="D11" s="3">
        <f t="shared" si="1"/>
        <v>168.6074706851247</v>
      </c>
      <c r="E11" s="3">
        <f t="shared" si="2"/>
        <v>200</v>
      </c>
      <c r="F11" s="3">
        <f t="shared" si="3"/>
        <v>10295.568967606647</v>
      </c>
    </row>
    <row r="12" spans="1:6">
      <c r="A12">
        <v>5</v>
      </c>
      <c r="B12">
        <f t="shared" si="4"/>
        <v>10295.568967606647</v>
      </c>
      <c r="C12">
        <f t="shared" si="0"/>
        <v>30.886706902819942</v>
      </c>
      <c r="D12" s="3">
        <f t="shared" si="1"/>
        <v>169.11329309718005</v>
      </c>
      <c r="E12" s="3">
        <f t="shared" si="2"/>
        <v>200</v>
      </c>
      <c r="F12" s="3">
        <f t="shared" si="3"/>
        <v>10126.455674509467</v>
      </c>
    </row>
    <row r="13" spans="1:6">
      <c r="A13">
        <v>6</v>
      </c>
      <c r="B13">
        <f t="shared" si="4"/>
        <v>10126.455674509467</v>
      </c>
      <c r="C13">
        <f t="shared" si="0"/>
        <v>30.379367023528403</v>
      </c>
      <c r="D13" s="3">
        <f t="shared" si="1"/>
        <v>169.6206329764716</v>
      </c>
      <c r="E13" s="3">
        <f t="shared" si="2"/>
        <v>200</v>
      </c>
      <c r="F13" s="3">
        <f t="shared" si="3"/>
        <v>9956.8350415329951</v>
      </c>
    </row>
    <row r="14" spans="1:6">
      <c r="A14">
        <v>7</v>
      </c>
      <c r="B14">
        <f t="shared" si="4"/>
        <v>9956.8350415329951</v>
      </c>
      <c r="C14">
        <f t="shared" si="0"/>
        <v>29.870505124598985</v>
      </c>
      <c r="D14" s="3">
        <f t="shared" si="1"/>
        <v>170.12949487540101</v>
      </c>
      <c r="E14" s="3">
        <f t="shared" si="2"/>
        <v>200</v>
      </c>
      <c r="F14" s="3">
        <f t="shared" si="3"/>
        <v>9786.7055466575948</v>
      </c>
    </row>
    <row r="15" spans="1:6">
      <c r="A15">
        <v>8</v>
      </c>
      <c r="B15">
        <f t="shared" si="4"/>
        <v>9786.7055466575948</v>
      </c>
      <c r="C15">
        <f t="shared" si="0"/>
        <v>29.360116639972784</v>
      </c>
      <c r="D15" s="3">
        <f t="shared" si="1"/>
        <v>170.63988336002723</v>
      </c>
      <c r="E15" s="3">
        <f t="shared" si="2"/>
        <v>200</v>
      </c>
      <c r="F15" s="3">
        <f t="shared" si="3"/>
        <v>9616.0656632975679</v>
      </c>
    </row>
    <row r="16" spans="1:6">
      <c r="A16">
        <v>9</v>
      </c>
      <c r="B16">
        <f t="shared" si="4"/>
        <v>9616.0656632975679</v>
      </c>
      <c r="C16">
        <f t="shared" si="0"/>
        <v>28.848196989892703</v>
      </c>
      <c r="D16" s="3">
        <f t="shared" si="1"/>
        <v>171.1518030101073</v>
      </c>
      <c r="E16" s="3">
        <f t="shared" si="2"/>
        <v>200</v>
      </c>
      <c r="F16" s="3">
        <f t="shared" si="3"/>
        <v>9444.9138602874609</v>
      </c>
    </row>
    <row r="17" spans="1:6">
      <c r="A17">
        <v>10</v>
      </c>
      <c r="B17">
        <f t="shared" si="4"/>
        <v>9444.9138602874609</v>
      </c>
      <c r="C17">
        <f t="shared" si="0"/>
        <v>28.334741580862385</v>
      </c>
      <c r="D17" s="3">
        <f t="shared" si="1"/>
        <v>171.66525841913761</v>
      </c>
      <c r="E17" s="3">
        <f t="shared" si="2"/>
        <v>200</v>
      </c>
      <c r="F17" s="3">
        <f t="shared" si="3"/>
        <v>9273.248601868323</v>
      </c>
    </row>
    <row r="18" spans="1:6">
      <c r="A18">
        <v>11</v>
      </c>
      <c r="B18">
        <f t="shared" si="4"/>
        <v>9273.248601868323</v>
      </c>
      <c r="C18">
        <f t="shared" si="0"/>
        <v>27.81974580560497</v>
      </c>
      <c r="D18" s="3">
        <f t="shared" si="1"/>
        <v>172.18025419439502</v>
      </c>
      <c r="E18" s="3">
        <f t="shared" si="2"/>
        <v>200</v>
      </c>
      <c r="F18" s="3">
        <f t="shared" si="3"/>
        <v>9101.0683476739287</v>
      </c>
    </row>
    <row r="19" spans="1:6">
      <c r="A19">
        <v>12</v>
      </c>
      <c r="B19">
        <f t="shared" si="4"/>
        <v>9101.0683476739287</v>
      </c>
      <c r="C19">
        <f t="shared" si="0"/>
        <v>27.303205043021787</v>
      </c>
      <c r="D19" s="3">
        <f t="shared" si="1"/>
        <v>172.69679495697821</v>
      </c>
      <c r="E19" s="3">
        <f t="shared" si="2"/>
        <v>200</v>
      </c>
      <c r="F19" s="3">
        <f t="shared" si="3"/>
        <v>8928.3715527169497</v>
      </c>
    </row>
    <row r="20" spans="1:6">
      <c r="A20">
        <v>13</v>
      </c>
      <c r="B20">
        <f t="shared" si="4"/>
        <v>8928.3715527169497</v>
      </c>
      <c r="C20">
        <f t="shared" si="0"/>
        <v>26.785114658150849</v>
      </c>
      <c r="D20" s="3">
        <f t="shared" si="1"/>
        <v>173.21488534184914</v>
      </c>
      <c r="E20" s="3">
        <f t="shared" si="2"/>
        <v>200</v>
      </c>
      <c r="F20" s="3">
        <f t="shared" si="3"/>
        <v>8755.1566673751004</v>
      </c>
    </row>
    <row r="21" spans="1:6">
      <c r="A21">
        <v>14</v>
      </c>
      <c r="B21">
        <f t="shared" si="4"/>
        <v>8755.1566673751004</v>
      </c>
      <c r="C21">
        <f t="shared" si="0"/>
        <v>26.265470002125301</v>
      </c>
      <c r="D21" s="3">
        <f t="shared" si="1"/>
        <v>173.73452999787469</v>
      </c>
      <c r="E21" s="3">
        <f t="shared" si="2"/>
        <v>200</v>
      </c>
      <c r="F21" s="3">
        <f t="shared" si="3"/>
        <v>8581.4221373772252</v>
      </c>
    </row>
    <row r="22" spans="1:6">
      <c r="A22">
        <v>15</v>
      </c>
      <c r="B22">
        <f t="shared" si="4"/>
        <v>8581.4221373772252</v>
      </c>
      <c r="C22">
        <f t="shared" si="0"/>
        <v>25.744266412131676</v>
      </c>
      <c r="D22" s="3">
        <f t="shared" si="1"/>
        <v>174.25573358786832</v>
      </c>
      <c r="E22" s="3">
        <f t="shared" si="2"/>
        <v>200</v>
      </c>
      <c r="F22" s="3">
        <f t="shared" si="3"/>
        <v>8407.166403789357</v>
      </c>
    </row>
    <row r="23" spans="1:6">
      <c r="A23">
        <v>16</v>
      </c>
      <c r="B23">
        <f t="shared" si="4"/>
        <v>8407.166403789357</v>
      </c>
      <c r="C23">
        <f t="shared" si="0"/>
        <v>25.221499211368073</v>
      </c>
      <c r="D23" s="3">
        <f t="shared" si="1"/>
        <v>174.77850078863193</v>
      </c>
      <c r="E23" s="3">
        <f t="shared" si="2"/>
        <v>200</v>
      </c>
      <c r="F23" s="3">
        <f t="shared" si="3"/>
        <v>8232.3879030007247</v>
      </c>
    </row>
    <row r="24" spans="1:6">
      <c r="A24">
        <v>17</v>
      </c>
      <c r="B24">
        <f t="shared" si="4"/>
        <v>8232.3879030007247</v>
      </c>
      <c r="C24">
        <f t="shared" si="0"/>
        <v>24.697163709002176</v>
      </c>
      <c r="D24" s="3">
        <f t="shared" si="1"/>
        <v>175.30283629099782</v>
      </c>
      <c r="E24" s="3">
        <f t="shared" si="2"/>
        <v>200</v>
      </c>
      <c r="F24" s="3">
        <f t="shared" si="3"/>
        <v>8057.0850667097266</v>
      </c>
    </row>
    <row r="25" spans="1:6">
      <c r="A25">
        <v>18</v>
      </c>
      <c r="B25">
        <f t="shared" si="4"/>
        <v>8057.0850667097266</v>
      </c>
      <c r="C25">
        <f t="shared" si="0"/>
        <v>24.171255200129181</v>
      </c>
      <c r="D25" s="3">
        <f t="shared" si="1"/>
        <v>175.82874479987083</v>
      </c>
      <c r="E25" s="3">
        <f t="shared" si="2"/>
        <v>200</v>
      </c>
      <c r="F25" s="3">
        <f t="shared" si="3"/>
        <v>7881.2563219098556</v>
      </c>
    </row>
    <row r="26" spans="1:6">
      <c r="A26">
        <v>19</v>
      </c>
      <c r="B26">
        <f t="shared" si="4"/>
        <v>7881.2563219098556</v>
      </c>
      <c r="C26">
        <f t="shared" si="0"/>
        <v>23.643768965729567</v>
      </c>
      <c r="D26" s="3">
        <f t="shared" si="1"/>
        <v>176.35623103427042</v>
      </c>
      <c r="E26" s="3">
        <f t="shared" si="2"/>
        <v>200</v>
      </c>
      <c r="F26" s="3">
        <f t="shared" si="3"/>
        <v>7704.9000908755852</v>
      </c>
    </row>
    <row r="27" spans="1:6">
      <c r="A27">
        <v>20</v>
      </c>
      <c r="B27">
        <f t="shared" si="4"/>
        <v>7704.9000908755852</v>
      </c>
      <c r="C27">
        <f t="shared" si="0"/>
        <v>23.114700272626756</v>
      </c>
      <c r="D27" s="3">
        <f t="shared" si="1"/>
        <v>176.88529972737325</v>
      </c>
      <c r="E27" s="3">
        <f t="shared" si="2"/>
        <v>200</v>
      </c>
      <c r="F27" s="3">
        <f t="shared" si="3"/>
        <v>7528.0147911482118</v>
      </c>
    </row>
    <row r="28" spans="1:6">
      <c r="A28">
        <v>21</v>
      </c>
      <c r="B28">
        <f t="shared" si="4"/>
        <v>7528.0147911482118</v>
      </c>
      <c r="C28">
        <f t="shared" si="0"/>
        <v>22.584044373444637</v>
      </c>
      <c r="D28" s="3">
        <f t="shared" si="1"/>
        <v>177.41595562655536</v>
      </c>
      <c r="E28" s="3">
        <f t="shared" si="2"/>
        <v>200</v>
      </c>
      <c r="F28" s="3">
        <f t="shared" si="3"/>
        <v>7350.5988355216568</v>
      </c>
    </row>
    <row r="29" spans="1:6">
      <c r="A29">
        <v>22</v>
      </c>
      <c r="B29">
        <f t="shared" si="4"/>
        <v>7350.5988355216568</v>
      </c>
      <c r="C29">
        <f t="shared" si="0"/>
        <v>22.051796506564973</v>
      </c>
      <c r="D29" s="3">
        <f t="shared" si="1"/>
        <v>177.94820349343502</v>
      </c>
      <c r="E29" s="3">
        <f t="shared" si="2"/>
        <v>200</v>
      </c>
      <c r="F29" s="3">
        <f t="shared" si="3"/>
        <v>7172.6506320282215</v>
      </c>
    </row>
    <row r="30" spans="1:6">
      <c r="A30">
        <v>23</v>
      </c>
      <c r="B30">
        <f t="shared" si="4"/>
        <v>7172.6506320282215</v>
      </c>
      <c r="C30">
        <f t="shared" si="0"/>
        <v>21.517951896084664</v>
      </c>
      <c r="D30" s="3">
        <f t="shared" si="1"/>
        <v>178.48204810391533</v>
      </c>
      <c r="E30" s="3">
        <f t="shared" si="2"/>
        <v>200</v>
      </c>
      <c r="F30" s="3">
        <f t="shared" si="3"/>
        <v>6994.1685839243064</v>
      </c>
    </row>
    <row r="31" spans="1:6">
      <c r="A31">
        <v>24</v>
      </c>
      <c r="B31">
        <f t="shared" si="4"/>
        <v>6994.1685839243064</v>
      </c>
      <c r="C31">
        <f t="shared" si="0"/>
        <v>20.982505751772919</v>
      </c>
      <c r="D31" s="3">
        <f t="shared" si="1"/>
        <v>179.01749424822708</v>
      </c>
      <c r="E31" s="3">
        <f t="shared" si="2"/>
        <v>200</v>
      </c>
      <c r="F31" s="3">
        <f t="shared" si="3"/>
        <v>6815.1510896760792</v>
      </c>
    </row>
    <row r="32" spans="1:6">
      <c r="A32">
        <v>25</v>
      </c>
      <c r="B32">
        <f t="shared" si="4"/>
        <v>6815.1510896760792</v>
      </c>
      <c r="C32">
        <f t="shared" si="0"/>
        <v>20.445453269028238</v>
      </c>
      <c r="D32" s="3">
        <f t="shared" si="1"/>
        <v>179.55454673097177</v>
      </c>
      <c r="E32" s="3">
        <f t="shared" si="2"/>
        <v>200</v>
      </c>
      <c r="F32" s="3">
        <f t="shared" si="3"/>
        <v>6635.5965429451071</v>
      </c>
    </row>
    <row r="33" spans="1:6">
      <c r="A33">
        <v>26</v>
      </c>
      <c r="B33">
        <f t="shared" si="4"/>
        <v>6635.5965429451071</v>
      </c>
      <c r="C33">
        <f t="shared" si="0"/>
        <v>19.906789628835323</v>
      </c>
      <c r="D33" s="3">
        <f t="shared" si="1"/>
        <v>180.09321037116467</v>
      </c>
      <c r="E33" s="3">
        <f t="shared" si="2"/>
        <v>200</v>
      </c>
      <c r="F33" s="3">
        <f t="shared" si="3"/>
        <v>6455.5033325739423</v>
      </c>
    </row>
    <row r="34" spans="1:6">
      <c r="A34">
        <v>27</v>
      </c>
      <c r="B34">
        <f t="shared" si="4"/>
        <v>6455.5033325739423</v>
      </c>
      <c r="C34">
        <f t="shared" si="0"/>
        <v>19.366509997721828</v>
      </c>
      <c r="D34" s="3">
        <f t="shared" si="1"/>
        <v>180.63349000227817</v>
      </c>
      <c r="E34" s="3">
        <f t="shared" si="2"/>
        <v>200</v>
      </c>
      <c r="F34" s="3">
        <f t="shared" si="3"/>
        <v>6274.8698425716639</v>
      </c>
    </row>
    <row r="35" spans="1:6">
      <c r="A35">
        <v>28</v>
      </c>
      <c r="B35">
        <f t="shared" si="4"/>
        <v>6274.8698425716639</v>
      </c>
      <c r="C35">
        <f t="shared" si="0"/>
        <v>18.824609527714991</v>
      </c>
      <c r="D35" s="3">
        <f t="shared" si="1"/>
        <v>181.17539047228502</v>
      </c>
      <c r="E35" s="3">
        <f t="shared" si="2"/>
        <v>200</v>
      </c>
      <c r="F35" s="3">
        <f t="shared" si="3"/>
        <v>6093.6944520993784</v>
      </c>
    </row>
    <row r="36" spans="1:6">
      <c r="A36">
        <v>29</v>
      </c>
      <c r="B36">
        <f t="shared" si="4"/>
        <v>6093.6944520993784</v>
      </c>
      <c r="C36">
        <f t="shared" si="0"/>
        <v>18.281083356298137</v>
      </c>
      <c r="D36" s="3">
        <f t="shared" si="1"/>
        <v>181.71891664370187</v>
      </c>
      <c r="E36" s="3">
        <f t="shared" si="2"/>
        <v>200</v>
      </c>
      <c r="F36" s="3">
        <f t="shared" si="3"/>
        <v>5911.9755354556764</v>
      </c>
    </row>
    <row r="37" spans="1:6">
      <c r="A37">
        <v>30</v>
      </c>
      <c r="B37">
        <f t="shared" si="4"/>
        <v>5911.9755354556764</v>
      </c>
      <c r="C37">
        <f t="shared" si="0"/>
        <v>17.73592660636703</v>
      </c>
      <c r="D37" s="3">
        <f t="shared" si="1"/>
        <v>182.26407339363297</v>
      </c>
      <c r="E37" s="3">
        <f t="shared" si="2"/>
        <v>200</v>
      </c>
      <c r="F37" s="3">
        <f t="shared" si="3"/>
        <v>5729.7114620620432</v>
      </c>
    </row>
    <row r="38" spans="1:6">
      <c r="A38">
        <v>31</v>
      </c>
      <c r="B38">
        <f t="shared" si="4"/>
        <v>5729.7114620620432</v>
      </c>
      <c r="C38">
        <f t="shared" si="0"/>
        <v>17.189134386186129</v>
      </c>
      <c r="D38" s="3">
        <f t="shared" si="1"/>
        <v>182.81086561381386</v>
      </c>
      <c r="E38" s="3">
        <f t="shared" si="2"/>
        <v>200</v>
      </c>
      <c r="F38" s="3">
        <f t="shared" si="3"/>
        <v>5546.9005964482294</v>
      </c>
    </row>
    <row r="39" spans="1:6">
      <c r="A39">
        <v>32</v>
      </c>
      <c r="B39">
        <f t="shared" si="4"/>
        <v>5546.9005964482294</v>
      </c>
      <c r="C39">
        <f t="shared" si="0"/>
        <v>16.640701789344689</v>
      </c>
      <c r="D39" s="3">
        <f t="shared" si="1"/>
        <v>183.35929821065531</v>
      </c>
      <c r="E39" s="3">
        <f t="shared" si="2"/>
        <v>200</v>
      </c>
      <c r="F39" s="3">
        <f t="shared" si="3"/>
        <v>5363.5412982375738</v>
      </c>
    </row>
    <row r="40" spans="1:6">
      <c r="A40">
        <v>33</v>
      </c>
      <c r="B40">
        <f t="shared" si="4"/>
        <v>5363.5412982375738</v>
      </c>
      <c r="C40">
        <f t="shared" si="0"/>
        <v>16.090623894712721</v>
      </c>
      <c r="D40" s="3">
        <f t="shared" si="1"/>
        <v>183.90937610528727</v>
      </c>
      <c r="E40" s="3">
        <f t="shared" si="2"/>
        <v>200</v>
      </c>
      <c r="F40" s="3">
        <f t="shared" si="3"/>
        <v>5179.6319221322865</v>
      </c>
    </row>
    <row r="41" spans="1:6">
      <c r="A41">
        <v>34</v>
      </c>
      <c r="B41">
        <f t="shared" si="4"/>
        <v>5179.6319221322865</v>
      </c>
      <c r="C41">
        <f t="shared" si="0"/>
        <v>15.538895766396859</v>
      </c>
      <c r="D41" s="3">
        <f t="shared" si="1"/>
        <v>184.46110423360315</v>
      </c>
      <c r="E41" s="3">
        <f t="shared" si="2"/>
        <v>200</v>
      </c>
      <c r="F41" s="3">
        <f t="shared" si="3"/>
        <v>4995.1708178986837</v>
      </c>
    </row>
    <row r="42" spans="1:6">
      <c r="A42">
        <v>35</v>
      </c>
      <c r="B42">
        <f t="shared" si="4"/>
        <v>4995.1708178986837</v>
      </c>
      <c r="C42">
        <f t="shared" si="0"/>
        <v>14.985512453696051</v>
      </c>
      <c r="D42" s="3">
        <f t="shared" si="1"/>
        <v>185.01448754630394</v>
      </c>
      <c r="E42" s="3">
        <f t="shared" si="2"/>
        <v>200</v>
      </c>
      <c r="F42" s="3">
        <f t="shared" si="3"/>
        <v>4810.1563303523799</v>
      </c>
    </row>
    <row r="43" spans="1:6">
      <c r="A43">
        <v>36</v>
      </c>
      <c r="B43">
        <f t="shared" si="4"/>
        <v>4810.1563303523799</v>
      </c>
      <c r="C43">
        <f t="shared" si="0"/>
        <v>14.43046899105714</v>
      </c>
      <c r="D43" s="3">
        <f t="shared" si="1"/>
        <v>185.56953100894287</v>
      </c>
      <c r="E43" s="3">
        <f t="shared" si="2"/>
        <v>200</v>
      </c>
      <c r="F43" s="3">
        <f t="shared" si="3"/>
        <v>4624.5867993434367</v>
      </c>
    </row>
    <row r="44" spans="1:6">
      <c r="A44">
        <v>37</v>
      </c>
      <c r="B44">
        <f t="shared" si="4"/>
        <v>4624.5867993434367</v>
      </c>
      <c r="C44">
        <f t="shared" si="0"/>
        <v>13.87376039803031</v>
      </c>
      <c r="D44" s="3">
        <f t="shared" si="1"/>
        <v>186.1262396019697</v>
      </c>
      <c r="E44" s="3">
        <f t="shared" si="2"/>
        <v>200</v>
      </c>
      <c r="F44" s="3">
        <f t="shared" si="3"/>
        <v>4438.4605597414666</v>
      </c>
    </row>
    <row r="45" spans="1:6">
      <c r="A45">
        <v>38</v>
      </c>
      <c r="B45">
        <f t="shared" si="4"/>
        <v>4438.4605597414666</v>
      </c>
      <c r="C45">
        <f t="shared" si="0"/>
        <v>13.3153816792244</v>
      </c>
      <c r="D45" s="3">
        <f t="shared" si="1"/>
        <v>186.6846183207756</v>
      </c>
      <c r="E45" s="3">
        <f t="shared" si="2"/>
        <v>200</v>
      </c>
      <c r="F45" s="3">
        <f t="shared" si="3"/>
        <v>4251.7759414206912</v>
      </c>
    </row>
    <row r="46" spans="1:6">
      <c r="A46">
        <v>39</v>
      </c>
      <c r="B46">
        <f t="shared" si="4"/>
        <v>4251.7759414206912</v>
      </c>
      <c r="C46">
        <f t="shared" si="0"/>
        <v>12.755327824262073</v>
      </c>
      <c r="D46" s="3">
        <f t="shared" si="1"/>
        <v>187.24467217573792</v>
      </c>
      <c r="E46" s="3">
        <f t="shared" si="2"/>
        <v>200</v>
      </c>
      <c r="F46" s="3">
        <f t="shared" si="3"/>
        <v>4064.5312692449534</v>
      </c>
    </row>
    <row r="47" spans="1:6">
      <c r="A47">
        <v>40</v>
      </c>
      <c r="B47">
        <f t="shared" si="4"/>
        <v>4064.5312692449534</v>
      </c>
      <c r="C47">
        <f t="shared" si="0"/>
        <v>12.19359380773486</v>
      </c>
      <c r="D47" s="3">
        <f t="shared" si="1"/>
        <v>187.80640619226514</v>
      </c>
      <c r="E47" s="3">
        <f t="shared" si="2"/>
        <v>200</v>
      </c>
      <c r="F47" s="3">
        <f t="shared" si="3"/>
        <v>3876.7248630526883</v>
      </c>
    </row>
    <row r="48" spans="1:6">
      <c r="A48">
        <v>41</v>
      </c>
      <c r="B48">
        <f t="shared" si="4"/>
        <v>3876.7248630526883</v>
      </c>
      <c r="C48">
        <f t="shared" si="0"/>
        <v>11.630174589158065</v>
      </c>
      <c r="D48" s="3">
        <f t="shared" si="1"/>
        <v>188.36982541084194</v>
      </c>
      <c r="E48" s="3">
        <f t="shared" si="2"/>
        <v>200</v>
      </c>
      <c r="F48" s="3">
        <f t="shared" si="3"/>
        <v>3688.3550376418461</v>
      </c>
    </row>
    <row r="49" spans="1:6">
      <c r="A49">
        <v>42</v>
      </c>
      <c r="B49">
        <f t="shared" si="4"/>
        <v>3688.3550376418461</v>
      </c>
      <c r="C49">
        <f t="shared" si="0"/>
        <v>11.065065112925538</v>
      </c>
      <c r="D49" s="3">
        <f t="shared" si="1"/>
        <v>188.93493488707446</v>
      </c>
      <c r="E49" s="3">
        <f t="shared" si="2"/>
        <v>200</v>
      </c>
      <c r="F49" s="3">
        <f t="shared" si="3"/>
        <v>3499.4201027547715</v>
      </c>
    </row>
    <row r="50" spans="1:6">
      <c r="A50">
        <v>43</v>
      </c>
      <c r="B50">
        <f t="shared" si="4"/>
        <v>3499.4201027547715</v>
      </c>
      <c r="C50">
        <f t="shared" si="0"/>
        <v>10.498260308264316</v>
      </c>
      <c r="D50" s="3">
        <f t="shared" si="1"/>
        <v>189.50173969173568</v>
      </c>
      <c r="E50" s="3">
        <f t="shared" si="2"/>
        <v>200</v>
      </c>
      <c r="F50" s="3">
        <f t="shared" si="3"/>
        <v>3309.9183630630359</v>
      </c>
    </row>
    <row r="51" spans="1:6">
      <c r="A51">
        <v>44</v>
      </c>
      <c r="B51">
        <f t="shared" si="4"/>
        <v>3309.9183630630359</v>
      </c>
      <c r="C51">
        <f t="shared" si="0"/>
        <v>9.9297550891891078</v>
      </c>
      <c r="D51" s="3">
        <f t="shared" si="1"/>
        <v>190.07024491081089</v>
      </c>
      <c r="E51" s="3">
        <f t="shared" si="2"/>
        <v>200</v>
      </c>
      <c r="F51" s="3">
        <f t="shared" si="3"/>
        <v>3119.8481181522252</v>
      </c>
    </row>
    <row r="52" spans="1:6">
      <c r="A52">
        <v>45</v>
      </c>
      <c r="B52">
        <f t="shared" si="4"/>
        <v>3119.8481181522252</v>
      </c>
      <c r="C52">
        <f t="shared" si="0"/>
        <v>9.3595443544566752</v>
      </c>
      <c r="D52" s="3">
        <f t="shared" si="1"/>
        <v>190.64045564554331</v>
      </c>
      <c r="E52" s="3">
        <f t="shared" si="2"/>
        <v>200</v>
      </c>
      <c r="F52" s="3">
        <f t="shared" si="3"/>
        <v>2929.207662506682</v>
      </c>
    </row>
    <row r="53" spans="1:6">
      <c r="A53">
        <v>46</v>
      </c>
      <c r="B53">
        <f t="shared" si="4"/>
        <v>2929.207662506682</v>
      </c>
      <c r="C53">
        <f t="shared" si="0"/>
        <v>8.7876229875200469</v>
      </c>
      <c r="D53" s="3">
        <f t="shared" si="1"/>
        <v>191.21237701247995</v>
      </c>
      <c r="E53" s="3">
        <f t="shared" si="2"/>
        <v>200</v>
      </c>
      <c r="F53" s="3">
        <f t="shared" si="3"/>
        <v>2737.9952854942021</v>
      </c>
    </row>
    <row r="54" spans="1:6">
      <c r="A54">
        <v>47</v>
      </c>
      <c r="B54">
        <f t="shared" si="4"/>
        <v>2737.9952854942021</v>
      </c>
      <c r="C54">
        <f t="shared" si="0"/>
        <v>8.2139858564826067</v>
      </c>
      <c r="D54" s="3">
        <f t="shared" si="1"/>
        <v>191.78601414351741</v>
      </c>
      <c r="E54" s="3">
        <f t="shared" si="2"/>
        <v>200</v>
      </c>
      <c r="F54" s="3">
        <f t="shared" si="3"/>
        <v>2546.2092713506845</v>
      </c>
    </row>
    <row r="55" spans="1:6">
      <c r="A55">
        <v>48</v>
      </c>
      <c r="B55">
        <f t="shared" si="4"/>
        <v>2546.2092713506845</v>
      </c>
      <c r="C55">
        <f t="shared" si="0"/>
        <v>7.6386278140520538</v>
      </c>
      <c r="D55" s="3">
        <f t="shared" si="1"/>
        <v>192.36137218594794</v>
      </c>
      <c r="E55" s="3">
        <f t="shared" si="2"/>
        <v>200</v>
      </c>
      <c r="F55" s="3">
        <f t="shared" si="3"/>
        <v>2353.8478991647366</v>
      </c>
    </row>
    <row r="56" spans="1:6">
      <c r="A56">
        <v>49</v>
      </c>
      <c r="B56">
        <f t="shared" si="4"/>
        <v>2353.8478991647366</v>
      </c>
      <c r="C56">
        <f t="shared" si="0"/>
        <v>7.0615436974942103</v>
      </c>
      <c r="D56" s="3">
        <f t="shared" si="1"/>
        <v>192.93845630250578</v>
      </c>
      <c r="E56" s="3">
        <f t="shared" si="2"/>
        <v>200</v>
      </c>
      <c r="F56" s="3">
        <f t="shared" si="3"/>
        <v>2160.9094428622307</v>
      </c>
    </row>
    <row r="57" spans="1:6">
      <c r="A57">
        <v>50</v>
      </c>
      <c r="B57">
        <f t="shared" si="4"/>
        <v>2160.9094428622307</v>
      </c>
      <c r="C57">
        <f t="shared" si="0"/>
        <v>6.4827283285866919</v>
      </c>
      <c r="D57" s="3">
        <f t="shared" si="1"/>
        <v>193.51727167141331</v>
      </c>
      <c r="E57" s="3">
        <f t="shared" si="2"/>
        <v>200</v>
      </c>
      <c r="F57" s="3">
        <f t="shared" si="3"/>
        <v>1967.3921711908174</v>
      </c>
    </row>
    <row r="58" spans="1:6">
      <c r="A58">
        <v>51</v>
      </c>
      <c r="B58">
        <f t="shared" si="4"/>
        <v>1967.3921711908174</v>
      </c>
      <c r="C58">
        <f t="shared" si="0"/>
        <v>5.902176513572452</v>
      </c>
      <c r="D58" s="3">
        <f t="shared" si="1"/>
        <v>194.09782348642756</v>
      </c>
      <c r="E58" s="3">
        <f t="shared" si="2"/>
        <v>200</v>
      </c>
      <c r="F58" s="3">
        <f t="shared" si="3"/>
        <v>1773.2943477043898</v>
      </c>
    </row>
    <row r="59" spans="1:6">
      <c r="A59">
        <v>52</v>
      </c>
      <c r="B59">
        <f t="shared" si="4"/>
        <v>1773.2943477043898</v>
      </c>
      <c r="C59">
        <f t="shared" si="0"/>
        <v>5.3198830431131698</v>
      </c>
      <c r="D59" s="3">
        <f t="shared" si="1"/>
        <v>194.68011695688682</v>
      </c>
      <c r="E59" s="3">
        <f t="shared" si="2"/>
        <v>200</v>
      </c>
      <c r="F59" s="3">
        <f t="shared" si="3"/>
        <v>1578.6142307475029</v>
      </c>
    </row>
    <row r="60" spans="1:6">
      <c r="A60">
        <v>53</v>
      </c>
      <c r="B60">
        <f t="shared" si="4"/>
        <v>1578.6142307475029</v>
      </c>
      <c r="C60">
        <f t="shared" si="0"/>
        <v>4.7358426922425085</v>
      </c>
      <c r="D60" s="3">
        <f t="shared" si="1"/>
        <v>195.2641573077575</v>
      </c>
      <c r="E60" s="3">
        <f t="shared" si="2"/>
        <v>200</v>
      </c>
      <c r="F60" s="3">
        <f t="shared" si="3"/>
        <v>1383.3500734397453</v>
      </c>
    </row>
    <row r="61" spans="1:6">
      <c r="A61">
        <v>54</v>
      </c>
      <c r="B61">
        <f t="shared" si="4"/>
        <v>1383.3500734397453</v>
      </c>
      <c r="C61">
        <f t="shared" si="0"/>
        <v>4.150050220319236</v>
      </c>
      <c r="D61" s="3">
        <f t="shared" si="1"/>
        <v>195.84994977968077</v>
      </c>
      <c r="E61" s="3">
        <f t="shared" si="2"/>
        <v>200</v>
      </c>
      <c r="F61" s="3">
        <f t="shared" si="3"/>
        <v>1187.5001236600644</v>
      </c>
    </row>
    <row r="62" spans="1:6">
      <c r="A62">
        <v>55</v>
      </c>
      <c r="B62">
        <f t="shared" si="4"/>
        <v>1187.5001236600644</v>
      </c>
      <c r="C62">
        <f t="shared" si="0"/>
        <v>3.5625003709801932</v>
      </c>
      <c r="D62" s="3">
        <f t="shared" si="1"/>
        <v>196.43749962901981</v>
      </c>
      <c r="E62" s="3">
        <f t="shared" si="2"/>
        <v>200</v>
      </c>
      <c r="F62" s="3">
        <f t="shared" si="3"/>
        <v>991.06262403104461</v>
      </c>
    </row>
    <row r="63" spans="1:6">
      <c r="A63">
        <v>56</v>
      </c>
      <c r="B63">
        <f t="shared" si="4"/>
        <v>991.06262403104461</v>
      </c>
      <c r="C63">
        <f t="shared" si="0"/>
        <v>2.973187872093134</v>
      </c>
      <c r="D63" s="3">
        <f t="shared" si="1"/>
        <v>197.02681212790688</v>
      </c>
      <c r="E63" s="3">
        <f t="shared" si="2"/>
        <v>200</v>
      </c>
      <c r="F63" s="3">
        <f t="shared" si="3"/>
        <v>794.03581190313776</v>
      </c>
    </row>
    <row r="64" spans="1:6">
      <c r="A64">
        <v>57</v>
      </c>
      <c r="B64">
        <f t="shared" si="4"/>
        <v>794.03581190313776</v>
      </c>
      <c r="C64">
        <f t="shared" si="0"/>
        <v>2.3821074357094134</v>
      </c>
      <c r="D64" s="3">
        <f t="shared" si="1"/>
        <v>197.6178925642906</v>
      </c>
      <c r="E64" s="3">
        <f t="shared" si="2"/>
        <v>200</v>
      </c>
      <c r="F64" s="3">
        <f t="shared" si="3"/>
        <v>596.41791933884713</v>
      </c>
    </row>
    <row r="65" spans="1:6">
      <c r="A65">
        <v>58</v>
      </c>
      <c r="B65">
        <f t="shared" si="4"/>
        <v>596.41791933884713</v>
      </c>
      <c r="C65">
        <f t="shared" si="0"/>
        <v>1.7892537580165415</v>
      </c>
      <c r="D65" s="3">
        <f t="shared" si="1"/>
        <v>198.21074624198346</v>
      </c>
      <c r="E65" s="3">
        <f t="shared" si="2"/>
        <v>200</v>
      </c>
      <c r="F65" s="3">
        <f t="shared" si="3"/>
        <v>398.2071730968637</v>
      </c>
    </row>
    <row r="66" spans="1:6">
      <c r="A66">
        <v>59</v>
      </c>
      <c r="B66">
        <f t="shared" si="4"/>
        <v>398.2071730968637</v>
      </c>
      <c r="C66">
        <f t="shared" si="0"/>
        <v>1.1946215192905911</v>
      </c>
      <c r="D66" s="3">
        <f t="shared" si="1"/>
        <v>198.80537848070941</v>
      </c>
      <c r="E66" s="3">
        <f t="shared" si="2"/>
        <v>200</v>
      </c>
      <c r="F66" s="3">
        <f t="shared" si="3"/>
        <v>199.40179461615429</v>
      </c>
    </row>
    <row r="67" spans="1:6">
      <c r="A67">
        <v>60</v>
      </c>
      <c r="B67">
        <f t="shared" si="4"/>
        <v>199.40179461615429</v>
      </c>
      <c r="C67">
        <f t="shared" si="0"/>
        <v>0.59820538384846289</v>
      </c>
      <c r="D67" s="3">
        <f t="shared" si="1"/>
        <v>199.40179461615153</v>
      </c>
      <c r="E67" s="3">
        <f t="shared" si="2"/>
        <v>200</v>
      </c>
      <c r="F67" s="3">
        <f t="shared" si="3"/>
        <v>2.7569058147491887E-12</v>
      </c>
    </row>
    <row r="71" spans="1:6">
      <c r="E71" s="3"/>
    </row>
  </sheetData>
  <phoneticPr fontId="7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73369-243D-6E49-ADA9-6C4D6C5C7726}">
  <dimension ref="A1:B6"/>
  <sheetViews>
    <sheetView workbookViewId="0">
      <selection activeCell="B7" sqref="B7"/>
    </sheetView>
  </sheetViews>
  <sheetFormatPr baseColWidth="10" defaultRowHeight="13"/>
  <cols>
    <col min="1" max="1" width="11.1640625" bestFit="1" customWidth="1"/>
    <col min="2" max="2" width="14.33203125" bestFit="1" customWidth="1"/>
  </cols>
  <sheetData>
    <row r="1" spans="1:2">
      <c r="A1" s="5" t="s">
        <v>19</v>
      </c>
      <c r="B1">
        <v>10000000</v>
      </c>
    </row>
    <row r="2" spans="1:2">
      <c r="A2" s="5" t="s">
        <v>36</v>
      </c>
      <c r="B2">
        <v>1550000</v>
      </c>
    </row>
    <row r="3" spans="1:2">
      <c r="A3" s="5" t="s">
        <v>0</v>
      </c>
      <c r="B3" s="1">
        <v>0.09</v>
      </c>
    </row>
    <row r="4" spans="1:2">
      <c r="A4" s="5" t="s">
        <v>34</v>
      </c>
      <c r="B4">
        <v>10.084254800601581</v>
      </c>
    </row>
    <row r="6" spans="1:2">
      <c r="A6" s="5" t="s">
        <v>1</v>
      </c>
      <c r="B6" s="3">
        <f>PV(B3,B4,-B2,0,0)</f>
        <v>10000000.00000006</v>
      </c>
    </row>
  </sheetData>
  <phoneticPr fontId="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BDA0A-ED54-9942-9202-2D7041EF4609}">
  <dimension ref="A1:B63"/>
  <sheetViews>
    <sheetView topLeftCell="A22" workbookViewId="0">
      <selection activeCell="E15" sqref="E15"/>
    </sheetView>
  </sheetViews>
  <sheetFormatPr baseColWidth="10" defaultRowHeight="13"/>
  <cols>
    <col min="1" max="1" width="18.5" bestFit="1" customWidth="1"/>
    <col min="2" max="2" width="11.83203125" bestFit="1" customWidth="1"/>
    <col min="6" max="6" width="10.83203125" customWidth="1"/>
  </cols>
  <sheetData>
    <row r="1" spans="1:2">
      <c r="A1" s="5" t="s">
        <v>19</v>
      </c>
      <c r="B1">
        <v>150000</v>
      </c>
    </row>
    <row r="2" spans="1:2">
      <c r="A2" s="5" t="s">
        <v>36</v>
      </c>
      <c r="B2">
        <v>2000</v>
      </c>
    </row>
    <row r="3" spans="1:2">
      <c r="A3" s="5" t="s">
        <v>40</v>
      </c>
      <c r="B3">
        <v>120</v>
      </c>
    </row>
    <row r="5" spans="1:2">
      <c r="A5" s="5" t="s">
        <v>2</v>
      </c>
    </row>
    <row r="6" spans="1:2">
      <c r="A6" s="5" t="s">
        <v>0</v>
      </c>
      <c r="B6" s="9">
        <v>8.5108757211183016E-3</v>
      </c>
    </row>
    <row r="7" spans="1:2">
      <c r="A7" s="5" t="s">
        <v>1</v>
      </c>
      <c r="B7" s="3">
        <f>PV(B6,B3,-B2,0,0)</f>
        <v>150000.00000001717</v>
      </c>
    </row>
    <row r="9" spans="1:2">
      <c r="A9" s="5" t="s">
        <v>3</v>
      </c>
    </row>
    <row r="10" spans="1:2">
      <c r="A10" s="5" t="s">
        <v>23</v>
      </c>
      <c r="B10" s="3">
        <f>PPMT(B6,10,B3,B1,0,0)</f>
        <v>-780.70138873931137</v>
      </c>
    </row>
    <row r="11" spans="1:2">
      <c r="A11" s="5" t="s">
        <v>21</v>
      </c>
      <c r="B11" s="3">
        <f>IPMT(B6,10,B3,B1,0,0)</f>
        <v>-1219.298611260461</v>
      </c>
    </row>
    <row r="13" spans="1:2">
      <c r="A13" s="5" t="s">
        <v>4</v>
      </c>
    </row>
    <row r="14" spans="1:2">
      <c r="A14" s="5" t="s">
        <v>8</v>
      </c>
    </row>
    <row r="15" spans="1:2">
      <c r="A15">
        <v>1</v>
      </c>
      <c r="B15" s="3">
        <f>PPMT($B$6,A15,$B$3,$B$1,0,0)</f>
        <v>-723.36864183202704</v>
      </c>
    </row>
    <row r="16" spans="1:2">
      <c r="A16">
        <v>2</v>
      </c>
      <c r="B16" s="3">
        <f t="shared" ref="B16:B62" si="0">PPMT($B$6,A16,$B$3,$B$1,0,0)</f>
        <v>-729.52514244321355</v>
      </c>
    </row>
    <row r="17" spans="1:2">
      <c r="A17">
        <v>3</v>
      </c>
      <c r="B17" s="3">
        <f t="shared" si="0"/>
        <v>-735.73404026597882</v>
      </c>
    </row>
    <row r="18" spans="1:2">
      <c r="A18">
        <v>4</v>
      </c>
      <c r="B18" s="3">
        <f t="shared" si="0"/>
        <v>-741.99578124647894</v>
      </c>
    </row>
    <row r="19" spans="1:2">
      <c r="A19">
        <v>5</v>
      </c>
      <c r="B19" s="3">
        <f t="shared" si="0"/>
        <v>-748.31081512626167</v>
      </c>
    </row>
    <row r="20" spans="1:2">
      <c r="A20">
        <v>6</v>
      </c>
      <c r="B20" s="3">
        <f t="shared" si="0"/>
        <v>-754.67959547456996</v>
      </c>
    </row>
    <row r="21" spans="1:2">
      <c r="A21">
        <v>7</v>
      </c>
      <c r="B21" s="3">
        <f t="shared" si="0"/>
        <v>-761.1025797209179</v>
      </c>
    </row>
    <row r="22" spans="1:2">
      <c r="A22">
        <v>8</v>
      </c>
      <c r="B22" s="3">
        <f t="shared" si="0"/>
        <v>-767.58022918794518</v>
      </c>
    </row>
    <row r="23" spans="1:2">
      <c r="A23">
        <v>9</v>
      </c>
      <c r="B23" s="3">
        <f t="shared" si="0"/>
        <v>-774.11300912455135</v>
      </c>
    </row>
    <row r="24" spans="1:2">
      <c r="A24">
        <v>10</v>
      </c>
      <c r="B24" s="3">
        <f t="shared" si="0"/>
        <v>-780.70138873931137</v>
      </c>
    </row>
    <row r="25" spans="1:2">
      <c r="A25">
        <v>11</v>
      </c>
      <c r="B25" s="3">
        <f t="shared" si="0"/>
        <v>-787.34584123417596</v>
      </c>
    </row>
    <row r="26" spans="1:2">
      <c r="A26">
        <v>12</v>
      </c>
      <c r="B26" s="3">
        <f t="shared" si="0"/>
        <v>-794.04684383845949</v>
      </c>
    </row>
    <row r="27" spans="1:2">
      <c r="A27">
        <v>13</v>
      </c>
      <c r="B27" s="3">
        <f t="shared" si="0"/>
        <v>-800.80487784311481</v>
      </c>
    </row>
    <row r="28" spans="1:2">
      <c r="A28">
        <v>14</v>
      </c>
      <c r="B28" s="3">
        <f t="shared" si="0"/>
        <v>-807.62042863530291</v>
      </c>
    </row>
    <row r="29" spans="1:2">
      <c r="A29">
        <v>15</v>
      </c>
      <c r="B29" s="3">
        <f t="shared" si="0"/>
        <v>-814.49398573325425</v>
      </c>
    </row>
    <row r="30" spans="1:2">
      <c r="A30">
        <v>16</v>
      </c>
      <c r="B30" s="3">
        <f t="shared" si="0"/>
        <v>-821.42604282142827</v>
      </c>
    </row>
    <row r="31" spans="1:2">
      <c r="A31">
        <v>17</v>
      </c>
      <c r="B31" s="3">
        <f t="shared" si="0"/>
        <v>-828.41709778597146</v>
      </c>
    </row>
    <row r="32" spans="1:2">
      <c r="A32">
        <v>18</v>
      </c>
      <c r="B32" s="3">
        <f t="shared" si="0"/>
        <v>-835.46765275047744</v>
      </c>
    </row>
    <row r="33" spans="1:2">
      <c r="A33">
        <v>19</v>
      </c>
      <c r="B33" s="3">
        <f t="shared" si="0"/>
        <v>-842.57821411205111</v>
      </c>
    </row>
    <row r="34" spans="1:2">
      <c r="A34">
        <v>20</v>
      </c>
      <c r="B34" s="3">
        <f t="shared" si="0"/>
        <v>-849.74929257768065</v>
      </c>
    </row>
    <row r="35" spans="1:2">
      <c r="A35">
        <v>21</v>
      </c>
      <c r="B35" s="3">
        <f t="shared" si="0"/>
        <v>-856.9814032009175</v>
      </c>
    </row>
    <row r="36" spans="1:2">
      <c r="A36">
        <v>22</v>
      </c>
      <c r="B36" s="3">
        <f t="shared" si="0"/>
        <v>-864.27506541886999</v>
      </c>
    </row>
    <row r="37" spans="1:2">
      <c r="A37">
        <v>23</v>
      </c>
      <c r="B37" s="3">
        <f t="shared" si="0"/>
        <v>-871.63080308951146</v>
      </c>
    </row>
    <row r="38" spans="1:2">
      <c r="A38">
        <v>24</v>
      </c>
      <c r="B38" s="3">
        <f t="shared" si="0"/>
        <v>-879.04914452930484</v>
      </c>
    </row>
    <row r="39" spans="1:2">
      <c r="A39">
        <v>25</v>
      </c>
      <c r="B39" s="3">
        <f t="shared" si="0"/>
        <v>-886.53062255114924</v>
      </c>
    </row>
    <row r="40" spans="1:2">
      <c r="A40">
        <v>26</v>
      </c>
      <c r="B40" s="3">
        <f t="shared" si="0"/>
        <v>-894.0757745026475</v>
      </c>
    </row>
    <row r="41" spans="1:2">
      <c r="A41">
        <v>27</v>
      </c>
      <c r="B41" s="3">
        <f t="shared" si="0"/>
        <v>-901.68514230470203</v>
      </c>
    </row>
    <row r="42" spans="1:2">
      <c r="A42">
        <v>28</v>
      </c>
      <c r="B42" s="3">
        <f t="shared" si="0"/>
        <v>-909.35927249043641</v>
      </c>
    </row>
    <row r="43" spans="1:2">
      <c r="A43">
        <v>29</v>
      </c>
      <c r="B43" s="3">
        <f t="shared" si="0"/>
        <v>-917.09871624444895</v>
      </c>
    </row>
    <row r="44" spans="1:2">
      <c r="A44">
        <v>30</v>
      </c>
      <c r="B44" s="3">
        <f t="shared" si="0"/>
        <v>-924.90402944240259</v>
      </c>
    </row>
    <row r="45" spans="1:2">
      <c r="A45">
        <v>31</v>
      </c>
      <c r="B45" s="3">
        <f t="shared" si="0"/>
        <v>-932.77577269094843</v>
      </c>
    </row>
    <row r="46" spans="1:2">
      <c r="A46">
        <v>32</v>
      </c>
      <c r="B46" s="3">
        <f t="shared" si="0"/>
        <v>-940.71451136799124</v>
      </c>
    </row>
    <row r="47" spans="1:2">
      <c r="A47">
        <v>33</v>
      </c>
      <c r="B47" s="3">
        <f t="shared" si="0"/>
        <v>-948.72081566329666</v>
      </c>
    </row>
    <row r="48" spans="1:2">
      <c r="A48">
        <v>34</v>
      </c>
      <c r="B48" s="3">
        <f t="shared" si="0"/>
        <v>-956.79526061944512</v>
      </c>
    </row>
    <row r="49" spans="1:2">
      <c r="A49">
        <v>35</v>
      </c>
      <c r="B49" s="3">
        <f t="shared" si="0"/>
        <v>-964.93842617313226</v>
      </c>
    </row>
    <row r="50" spans="1:2">
      <c r="A50">
        <v>36</v>
      </c>
      <c r="B50" s="3">
        <f t="shared" si="0"/>
        <v>-973.15089719682328</v>
      </c>
    </row>
    <row r="51" spans="1:2">
      <c r="A51">
        <v>37</v>
      </c>
      <c r="B51" s="3">
        <f t="shared" si="0"/>
        <v>-981.43326354076009</v>
      </c>
    </row>
    <row r="52" spans="1:2">
      <c r="A52">
        <v>38</v>
      </c>
      <c r="B52" s="3">
        <f t="shared" si="0"/>
        <v>-989.78612007532695</v>
      </c>
    </row>
    <row r="53" spans="1:2">
      <c r="A53">
        <v>39</v>
      </c>
      <c r="B53" s="3">
        <f t="shared" si="0"/>
        <v>-998.21006673377588</v>
      </c>
    </row>
    <row r="54" spans="1:2">
      <c r="A54">
        <v>40</v>
      </c>
      <c r="B54" s="3">
        <f t="shared" si="0"/>
        <v>-1006.7057085553164</v>
      </c>
    </row>
    <row r="55" spans="1:2">
      <c r="A55">
        <v>41</v>
      </c>
      <c r="B55" s="3">
        <f t="shared" si="0"/>
        <v>-1015.273655728571</v>
      </c>
    </row>
    <row r="56" spans="1:2">
      <c r="A56">
        <v>42</v>
      </c>
      <c r="B56" s="3">
        <f t="shared" si="0"/>
        <v>-1023.9145236354025</v>
      </c>
    </row>
    <row r="57" spans="1:2">
      <c r="A57">
        <v>43</v>
      </c>
      <c r="B57" s="3">
        <f t="shared" si="0"/>
        <v>-1032.6289328951111</v>
      </c>
    </row>
    <row r="58" spans="1:2">
      <c r="A58">
        <v>44</v>
      </c>
      <c r="B58" s="3">
        <f t="shared" si="0"/>
        <v>-1041.4175094090126</v>
      </c>
    </row>
    <row r="59" spans="1:2">
      <c r="A59">
        <v>45</v>
      </c>
      <c r="B59" s="3">
        <f t="shared" si="0"/>
        <v>-1050.2808844053895</v>
      </c>
    </row>
    <row r="60" spans="1:2">
      <c r="A60">
        <v>46</v>
      </c>
      <c r="B60" s="3">
        <f t="shared" si="0"/>
        <v>-1059.2196944848299</v>
      </c>
    </row>
    <row r="61" spans="1:2">
      <c r="A61">
        <v>47</v>
      </c>
      <c r="B61" s="3">
        <f t="shared" si="0"/>
        <v>-1068.2345816659511</v>
      </c>
    </row>
    <row r="62" spans="1:2">
      <c r="A62">
        <v>48</v>
      </c>
      <c r="B62" s="3">
        <f t="shared" si="0"/>
        <v>-1077.3261934315108</v>
      </c>
    </row>
    <row r="63" spans="1:2">
      <c r="A63" s="5" t="s">
        <v>41</v>
      </c>
      <c r="B63" s="3">
        <f>SUM(B15:B62)+B1</f>
        <v>107333.82170745987</v>
      </c>
    </row>
  </sheetData>
  <phoneticPr fontId="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A2415-AD43-B243-9388-2A3B5F7BDF4E}">
  <dimension ref="A1:F20"/>
  <sheetViews>
    <sheetView workbookViewId="0">
      <selection activeCell="F14" sqref="A9:F14"/>
    </sheetView>
  </sheetViews>
  <sheetFormatPr baseColWidth="10" defaultRowHeight="13"/>
  <cols>
    <col min="1" max="1" width="11.5" bestFit="1" customWidth="1"/>
    <col min="2" max="2" width="26" bestFit="1" customWidth="1"/>
    <col min="3" max="3" width="15" bestFit="1" customWidth="1"/>
    <col min="4" max="4" width="15.83203125" bestFit="1" customWidth="1"/>
    <col min="5" max="5" width="12.5" bestFit="1" customWidth="1"/>
    <col min="6" max="6" width="24.5" bestFit="1" customWidth="1"/>
  </cols>
  <sheetData>
    <row r="1" spans="1:6">
      <c r="A1" s="5" t="s">
        <v>19</v>
      </c>
      <c r="B1">
        <v>150000</v>
      </c>
    </row>
    <row r="2" spans="1:6">
      <c r="A2" s="5" t="s">
        <v>0</v>
      </c>
      <c r="B2" s="1">
        <v>0.1</v>
      </c>
    </row>
    <row r="3" spans="1:6">
      <c r="A3" s="5" t="s">
        <v>34</v>
      </c>
      <c r="B3">
        <v>5</v>
      </c>
    </row>
    <row r="5" spans="1:6">
      <c r="A5" s="5" t="s">
        <v>2</v>
      </c>
    </row>
    <row r="6" spans="1:6">
      <c r="A6" s="3">
        <f>PMT(B2,B3,B1,0,0)</f>
        <v>-39569.62211921181</v>
      </c>
    </row>
    <row r="8" spans="1:6">
      <c r="A8" s="5" t="s">
        <v>3</v>
      </c>
    </row>
    <row r="9" spans="1:6">
      <c r="A9" s="5" t="s">
        <v>29</v>
      </c>
      <c r="B9" s="5" t="s">
        <v>30</v>
      </c>
      <c r="C9" s="5" t="s">
        <v>20</v>
      </c>
      <c r="D9" s="5" t="s">
        <v>22</v>
      </c>
      <c r="E9" s="5" t="s">
        <v>24</v>
      </c>
      <c r="F9" s="5" t="s">
        <v>31</v>
      </c>
    </row>
    <row r="10" spans="1:6">
      <c r="A10">
        <v>1</v>
      </c>
      <c r="B10">
        <f>B1</f>
        <v>150000</v>
      </c>
      <c r="C10">
        <f>B10*$B$2</f>
        <v>15000</v>
      </c>
      <c r="D10" s="3">
        <f>E10-C10</f>
        <v>24569.62211921181</v>
      </c>
      <c r="E10" s="3">
        <f>-$A$6</f>
        <v>39569.62211921181</v>
      </c>
      <c r="F10" s="3">
        <f>B10-D10</f>
        <v>125430.37788078819</v>
      </c>
    </row>
    <row r="11" spans="1:6">
      <c r="A11">
        <v>2</v>
      </c>
      <c r="B11">
        <f>F10</f>
        <v>125430.37788078819</v>
      </c>
      <c r="C11">
        <f t="shared" ref="C11:C14" si="0">B11*$B$2</f>
        <v>12543.03778807882</v>
      </c>
      <c r="D11" s="3">
        <f t="shared" ref="D11:D14" si="1">E11-C11</f>
        <v>27026.584331132988</v>
      </c>
      <c r="E11" s="3">
        <f t="shared" ref="E11:E14" si="2">-$A$6</f>
        <v>39569.62211921181</v>
      </c>
      <c r="F11" s="3">
        <f t="shared" ref="F11:F14" si="3">B11-D11</f>
        <v>98403.793549655209</v>
      </c>
    </row>
    <row r="12" spans="1:6">
      <c r="A12">
        <v>3</v>
      </c>
      <c r="B12">
        <f t="shared" ref="B12:B14" si="4">F11</f>
        <v>98403.793549655209</v>
      </c>
      <c r="C12">
        <f t="shared" si="0"/>
        <v>9840.379354965522</v>
      </c>
      <c r="D12" s="3">
        <f t="shared" si="1"/>
        <v>29729.242764246286</v>
      </c>
      <c r="E12" s="3">
        <f t="shared" si="2"/>
        <v>39569.62211921181</v>
      </c>
      <c r="F12" s="3">
        <f t="shared" si="3"/>
        <v>68674.550785408923</v>
      </c>
    </row>
    <row r="13" spans="1:6">
      <c r="A13">
        <v>4</v>
      </c>
      <c r="B13">
        <f t="shared" si="4"/>
        <v>68674.550785408923</v>
      </c>
      <c r="C13">
        <f t="shared" si="0"/>
        <v>6867.4550785408928</v>
      </c>
      <c r="D13" s="3">
        <f t="shared" si="1"/>
        <v>32702.167040670916</v>
      </c>
      <c r="E13" s="3">
        <f t="shared" si="2"/>
        <v>39569.62211921181</v>
      </c>
      <c r="F13" s="3">
        <f t="shared" si="3"/>
        <v>35972.383744738006</v>
      </c>
    </row>
    <row r="14" spans="1:6">
      <c r="A14">
        <v>5</v>
      </c>
      <c r="B14">
        <f t="shared" si="4"/>
        <v>35972.383744738006</v>
      </c>
      <c r="C14">
        <f t="shared" si="0"/>
        <v>3597.2383744738008</v>
      </c>
      <c r="D14" s="3">
        <f t="shared" si="1"/>
        <v>35972.383744738006</v>
      </c>
      <c r="E14" s="3">
        <f t="shared" si="2"/>
        <v>39569.62211921181</v>
      </c>
      <c r="F14" s="3">
        <f t="shared" si="3"/>
        <v>0</v>
      </c>
    </row>
    <row r="16" spans="1:6">
      <c r="A16" s="5" t="s">
        <v>4</v>
      </c>
    </row>
    <row r="17" spans="1:1">
      <c r="A17" s="3">
        <f>F12</f>
        <v>68674.550785408923</v>
      </c>
    </row>
    <row r="19" spans="1:1">
      <c r="A19" s="5" t="s">
        <v>5</v>
      </c>
    </row>
    <row r="20" spans="1:1">
      <c r="A20" s="3">
        <f>D13</f>
        <v>32702.167040670916</v>
      </c>
    </row>
  </sheetData>
  <phoneticPr fontId="7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D4D76-A1E9-2C42-9633-1D11CE01F71E}">
  <dimension ref="A1:B315"/>
  <sheetViews>
    <sheetView topLeftCell="A161" workbookViewId="0">
      <selection activeCell="B201" sqref="B201"/>
    </sheetView>
  </sheetViews>
  <sheetFormatPr baseColWidth="10" defaultRowHeight="13"/>
  <cols>
    <col min="2" max="2" width="12.33203125" bestFit="1" customWidth="1"/>
  </cols>
  <sheetData>
    <row r="1" spans="1:2">
      <c r="A1" s="5" t="s">
        <v>42</v>
      </c>
      <c r="B1">
        <v>300000</v>
      </c>
    </row>
    <row r="2" spans="1:2">
      <c r="A2" s="5" t="s">
        <v>39</v>
      </c>
      <c r="B2">
        <f>B1*20%</f>
        <v>60000</v>
      </c>
    </row>
    <row r="3" spans="1:2">
      <c r="A3" s="5" t="s">
        <v>19</v>
      </c>
      <c r="B3">
        <f>B1-B2</f>
        <v>240000</v>
      </c>
    </row>
    <row r="4" spans="1:2">
      <c r="A4" s="5" t="s">
        <v>0</v>
      </c>
      <c r="B4" s="1">
        <v>0.01</v>
      </c>
    </row>
    <row r="5" spans="1:2">
      <c r="A5" s="5" t="s">
        <v>40</v>
      </c>
      <c r="B5">
        <f>12*20</f>
        <v>240</v>
      </c>
    </row>
    <row r="7" spans="1:2">
      <c r="A7" s="5" t="s">
        <v>2</v>
      </c>
    </row>
    <row r="8" spans="1:2">
      <c r="A8" s="5" t="s">
        <v>36</v>
      </c>
      <c r="B8" s="3">
        <f>PMT(B4,B5,B3,0,0)</f>
        <v>-2642.6067205670638</v>
      </c>
    </row>
    <row r="10" spans="1:2">
      <c r="A10" s="5" t="s">
        <v>3</v>
      </c>
    </row>
    <row r="11" spans="1:2">
      <c r="A11" s="5" t="s">
        <v>8</v>
      </c>
    </row>
    <row r="12" spans="1:2">
      <c r="A12">
        <v>1</v>
      </c>
      <c r="B12" s="3">
        <f>PPMT($B$4,A12,$B$5,$B$3,0,0)</f>
        <v>-242.60672056706386</v>
      </c>
    </row>
    <row r="13" spans="1:2">
      <c r="A13">
        <v>2</v>
      </c>
      <c r="B13" s="3">
        <f t="shared" ref="B13:B71" si="0">PPMT($B$4,A13,$B$5,$B$3,0,0)</f>
        <v>-245.03278777273445</v>
      </c>
    </row>
    <row r="14" spans="1:2">
      <c r="A14">
        <v>3</v>
      </c>
      <c r="B14" s="3">
        <f t="shared" si="0"/>
        <v>-247.48311565046174</v>
      </c>
    </row>
    <row r="15" spans="1:2">
      <c r="A15">
        <v>4</v>
      </c>
      <c r="B15" s="3">
        <f t="shared" si="0"/>
        <v>-249.95794680696645</v>
      </c>
    </row>
    <row r="16" spans="1:2">
      <c r="A16">
        <v>5</v>
      </c>
      <c r="B16" s="3">
        <f t="shared" si="0"/>
        <v>-252.45752627503603</v>
      </c>
    </row>
    <row r="17" spans="1:2">
      <c r="A17">
        <v>6</v>
      </c>
      <c r="B17" s="3">
        <f t="shared" si="0"/>
        <v>-254.98210153778643</v>
      </c>
    </row>
    <row r="18" spans="1:2">
      <c r="A18">
        <v>7</v>
      </c>
      <c r="B18" s="3">
        <f t="shared" si="0"/>
        <v>-257.53192255316424</v>
      </c>
    </row>
    <row r="19" spans="1:2">
      <c r="A19">
        <v>8</v>
      </c>
      <c r="B19" s="3">
        <f t="shared" si="0"/>
        <v>-260.10724177869599</v>
      </c>
    </row>
    <row r="20" spans="1:2">
      <c r="A20">
        <v>9</v>
      </c>
      <c r="B20" s="3">
        <f t="shared" si="0"/>
        <v>-262.70831419648289</v>
      </c>
    </row>
    <row r="21" spans="1:2">
      <c r="A21">
        <v>10</v>
      </c>
      <c r="B21" s="3">
        <f t="shared" si="0"/>
        <v>-265.33539733844776</v>
      </c>
    </row>
    <row r="22" spans="1:2">
      <c r="A22">
        <v>11</v>
      </c>
      <c r="B22" s="3">
        <f t="shared" si="0"/>
        <v>-267.98875131183217</v>
      </c>
    </row>
    <row r="23" spans="1:2">
      <c r="A23">
        <v>12</v>
      </c>
      <c r="B23" s="3">
        <f t="shared" si="0"/>
        <v>-270.66863882495056</v>
      </c>
    </row>
    <row r="24" spans="1:2">
      <c r="A24">
        <v>13</v>
      </c>
      <c r="B24" s="3">
        <f t="shared" si="0"/>
        <v>-273.37532521320003</v>
      </c>
    </row>
    <row r="25" spans="1:2">
      <c r="A25">
        <v>14</v>
      </c>
      <c r="B25" s="3">
        <f t="shared" si="0"/>
        <v>-276.10907846533212</v>
      </c>
    </row>
    <row r="26" spans="1:2">
      <c r="A26">
        <v>15</v>
      </c>
      <c r="B26" s="3">
        <f t="shared" si="0"/>
        <v>-278.87016924998534</v>
      </c>
    </row>
    <row r="27" spans="1:2">
      <c r="A27">
        <v>16</v>
      </c>
      <c r="B27" s="3">
        <f t="shared" si="0"/>
        <v>-281.65887094248529</v>
      </c>
    </row>
    <row r="28" spans="1:2">
      <c r="A28">
        <v>17</v>
      </c>
      <c r="B28" s="3">
        <f t="shared" si="0"/>
        <v>-284.47545965191006</v>
      </c>
    </row>
    <row r="29" spans="1:2">
      <c r="A29">
        <v>18</v>
      </c>
      <c r="B29" s="3">
        <f t="shared" si="0"/>
        <v>-287.32021424842912</v>
      </c>
    </row>
    <row r="30" spans="1:2">
      <c r="A30">
        <v>19</v>
      </c>
      <c r="B30" s="3">
        <f t="shared" si="0"/>
        <v>-290.19341639091351</v>
      </c>
    </row>
    <row r="31" spans="1:2">
      <c r="A31">
        <v>20</v>
      </c>
      <c r="B31" s="3">
        <f t="shared" si="0"/>
        <v>-293.09535055482257</v>
      </c>
    </row>
    <row r="32" spans="1:2">
      <c r="A32">
        <v>21</v>
      </c>
      <c r="B32" s="3">
        <f t="shared" si="0"/>
        <v>-296.02630406037082</v>
      </c>
    </row>
    <row r="33" spans="1:2">
      <c r="A33">
        <v>22</v>
      </c>
      <c r="B33" s="3">
        <f t="shared" si="0"/>
        <v>-298.98656710097447</v>
      </c>
    </row>
    <row r="34" spans="1:2">
      <c r="A34">
        <v>23</v>
      </c>
      <c r="B34" s="3">
        <f t="shared" si="0"/>
        <v>-301.97643277198432</v>
      </c>
    </row>
    <row r="35" spans="1:2">
      <c r="A35">
        <v>24</v>
      </c>
      <c r="B35" s="3">
        <f t="shared" si="0"/>
        <v>-304.99619709970409</v>
      </c>
    </row>
    <row r="36" spans="1:2">
      <c r="A36">
        <v>25</v>
      </c>
      <c r="B36" s="3">
        <f t="shared" si="0"/>
        <v>-308.04615907070121</v>
      </c>
    </row>
    <row r="37" spans="1:2">
      <c r="A37">
        <v>26</v>
      </c>
      <c r="B37" s="3">
        <f t="shared" si="0"/>
        <v>-311.12662066140814</v>
      </c>
    </row>
    <row r="38" spans="1:2">
      <c r="A38">
        <v>27</v>
      </c>
      <c r="B38" s="3">
        <f t="shared" si="0"/>
        <v>-314.23788686802231</v>
      </c>
    </row>
    <row r="39" spans="1:2">
      <c r="A39">
        <v>28</v>
      </c>
      <c r="B39" s="3">
        <f t="shared" si="0"/>
        <v>-317.38026573670248</v>
      </c>
    </row>
    <row r="40" spans="1:2">
      <c r="A40">
        <v>29</v>
      </c>
      <c r="B40" s="3">
        <f t="shared" si="0"/>
        <v>-320.55406839406959</v>
      </c>
    </row>
    <row r="41" spans="1:2">
      <c r="A41">
        <v>30</v>
      </c>
      <c r="B41" s="3">
        <f t="shared" si="0"/>
        <v>-323.75960907801021</v>
      </c>
    </row>
    <row r="42" spans="1:2">
      <c r="A42">
        <v>31</v>
      </c>
      <c r="B42" s="3">
        <f t="shared" si="0"/>
        <v>-326.9972051687904</v>
      </c>
    </row>
    <row r="43" spans="1:2">
      <c r="A43">
        <v>32</v>
      </c>
      <c r="B43" s="3">
        <f t="shared" si="0"/>
        <v>-330.26717722047817</v>
      </c>
    </row>
    <row r="44" spans="1:2">
      <c r="A44">
        <v>33</v>
      </c>
      <c r="B44" s="3">
        <f t="shared" si="0"/>
        <v>-333.56984899268292</v>
      </c>
    </row>
    <row r="45" spans="1:2">
      <c r="A45">
        <v>34</v>
      </c>
      <c r="B45" s="3">
        <f t="shared" si="0"/>
        <v>-336.90554748260985</v>
      </c>
    </row>
    <row r="46" spans="1:2">
      <c r="A46">
        <v>35</v>
      </c>
      <c r="B46" s="3">
        <f t="shared" si="0"/>
        <v>-340.27460295743589</v>
      </c>
    </row>
    <row r="47" spans="1:2">
      <c r="A47">
        <v>36</v>
      </c>
      <c r="B47" s="3">
        <f t="shared" si="0"/>
        <v>-343.67734898701025</v>
      </c>
    </row>
    <row r="48" spans="1:2">
      <c r="A48">
        <v>37</v>
      </c>
      <c r="B48" s="3">
        <f t="shared" si="0"/>
        <v>-347.11412247688037</v>
      </c>
    </row>
    <row r="49" spans="1:2">
      <c r="A49">
        <v>38</v>
      </c>
      <c r="B49" s="3">
        <f t="shared" si="0"/>
        <v>-350.58526370164924</v>
      </c>
    </row>
    <row r="50" spans="1:2">
      <c r="A50">
        <v>39</v>
      </c>
      <c r="B50" s="3">
        <f t="shared" si="0"/>
        <v>-354.0911163386657</v>
      </c>
    </row>
    <row r="51" spans="1:2">
      <c r="A51">
        <v>40</v>
      </c>
      <c r="B51" s="3">
        <f t="shared" si="0"/>
        <v>-357.63202750205238</v>
      </c>
    </row>
    <row r="52" spans="1:2">
      <c r="A52">
        <v>41</v>
      </c>
      <c r="B52" s="3">
        <f t="shared" si="0"/>
        <v>-361.20834777707279</v>
      </c>
    </row>
    <row r="53" spans="1:2">
      <c r="A53">
        <v>42</v>
      </c>
      <c r="B53" s="3">
        <f t="shared" si="0"/>
        <v>-364.82043125484358</v>
      </c>
    </row>
    <row r="54" spans="1:2">
      <c r="A54">
        <v>43</v>
      </c>
      <c r="B54" s="3">
        <f t="shared" si="0"/>
        <v>-368.46863556739203</v>
      </c>
    </row>
    <row r="55" spans="1:2">
      <c r="A55">
        <v>44</v>
      </c>
      <c r="B55" s="3">
        <f t="shared" si="0"/>
        <v>-372.15332192306596</v>
      </c>
    </row>
    <row r="56" spans="1:2">
      <c r="A56">
        <v>45</v>
      </c>
      <c r="B56" s="3">
        <f t="shared" si="0"/>
        <v>-375.87485514229661</v>
      </c>
    </row>
    <row r="57" spans="1:2">
      <c r="A57">
        <v>46</v>
      </c>
      <c r="B57" s="3">
        <f t="shared" si="0"/>
        <v>-379.63360369371958</v>
      </c>
    </row>
    <row r="58" spans="1:2">
      <c r="A58">
        <v>47</v>
      </c>
      <c r="B58" s="3">
        <f t="shared" si="0"/>
        <v>-383.42993973065677</v>
      </c>
    </row>
    <row r="59" spans="1:2">
      <c r="A59">
        <v>48</v>
      </c>
      <c r="B59" s="3">
        <f t="shared" si="0"/>
        <v>-387.26423912796338</v>
      </c>
    </row>
    <row r="60" spans="1:2">
      <c r="A60">
        <v>49</v>
      </c>
      <c r="B60" s="3">
        <f t="shared" si="0"/>
        <v>-391.13688151924299</v>
      </c>
    </row>
    <row r="61" spans="1:2">
      <c r="A61">
        <v>50</v>
      </c>
      <c r="B61" s="3">
        <f t="shared" si="0"/>
        <v>-395.04825033443535</v>
      </c>
    </row>
    <row r="62" spans="1:2">
      <c r="A62">
        <v>51</v>
      </c>
      <c r="B62" s="3">
        <f t="shared" si="0"/>
        <v>-398.99873283777976</v>
      </c>
    </row>
    <row r="63" spans="1:2">
      <c r="A63">
        <v>52</v>
      </c>
      <c r="B63" s="3">
        <f t="shared" si="0"/>
        <v>-402.98872016615758</v>
      </c>
    </row>
    <row r="64" spans="1:2">
      <c r="A64">
        <v>53</v>
      </c>
      <c r="B64" s="3">
        <f t="shared" si="0"/>
        <v>-407.01860736781913</v>
      </c>
    </row>
    <row r="65" spans="1:2">
      <c r="A65">
        <v>54</v>
      </c>
      <c r="B65" s="3">
        <f t="shared" si="0"/>
        <v>-411.08879344149733</v>
      </c>
    </row>
    <row r="66" spans="1:2">
      <c r="A66">
        <v>55</v>
      </c>
      <c r="B66" s="3">
        <f t="shared" si="0"/>
        <v>-415.19968137591235</v>
      </c>
    </row>
    <row r="67" spans="1:2">
      <c r="A67">
        <v>56</v>
      </c>
      <c r="B67" s="3">
        <f t="shared" si="0"/>
        <v>-419.35167818967147</v>
      </c>
    </row>
    <row r="68" spans="1:2">
      <c r="A68">
        <v>57</v>
      </c>
      <c r="B68" s="3">
        <f t="shared" si="0"/>
        <v>-423.54519497156821</v>
      </c>
    </row>
    <row r="69" spans="1:2">
      <c r="A69">
        <v>58</v>
      </c>
      <c r="B69" s="3">
        <f t="shared" si="0"/>
        <v>-427.78064692128379</v>
      </c>
    </row>
    <row r="70" spans="1:2">
      <c r="A70">
        <v>59</v>
      </c>
      <c r="B70" s="3">
        <f t="shared" si="0"/>
        <v>-432.0584533904966</v>
      </c>
    </row>
    <row r="71" spans="1:2">
      <c r="A71">
        <v>60</v>
      </c>
      <c r="B71" s="3">
        <f t="shared" si="0"/>
        <v>-436.37903792440159</v>
      </c>
    </row>
    <row r="72" spans="1:2">
      <c r="B72" s="3">
        <f>B3+SUM(B12:B71)</f>
        <v>220186.38922634182</v>
      </c>
    </row>
    <row r="74" spans="1:2">
      <c r="A74" s="5" t="s">
        <v>4</v>
      </c>
    </row>
    <row r="75" spans="1:2">
      <c r="A75">
        <v>1</v>
      </c>
      <c r="B75" s="3">
        <f>PPMT($B$4,A75,$B$5,$B$3,0,0)</f>
        <v>-242.60672056706386</v>
      </c>
    </row>
    <row r="76" spans="1:2">
      <c r="A76">
        <v>2</v>
      </c>
      <c r="B76" s="3">
        <f t="shared" ref="B76:B139" si="1">PPMT($B$4,A76,$B$5,$B$3,0,0)</f>
        <v>-245.03278777273445</v>
      </c>
    </row>
    <row r="77" spans="1:2">
      <c r="A77">
        <v>3</v>
      </c>
      <c r="B77" s="3">
        <f t="shared" si="1"/>
        <v>-247.48311565046174</v>
      </c>
    </row>
    <row r="78" spans="1:2">
      <c r="A78">
        <v>4</v>
      </c>
      <c r="B78" s="3">
        <f t="shared" si="1"/>
        <v>-249.95794680696645</v>
      </c>
    </row>
    <row r="79" spans="1:2">
      <c r="A79">
        <v>5</v>
      </c>
      <c r="B79" s="3">
        <f t="shared" si="1"/>
        <v>-252.45752627503603</v>
      </c>
    </row>
    <row r="80" spans="1:2">
      <c r="A80">
        <v>6</v>
      </c>
      <c r="B80" s="3">
        <f t="shared" si="1"/>
        <v>-254.98210153778643</v>
      </c>
    </row>
    <row r="81" spans="1:2">
      <c r="A81">
        <v>7</v>
      </c>
      <c r="B81" s="3">
        <f t="shared" si="1"/>
        <v>-257.53192255316424</v>
      </c>
    </row>
    <row r="82" spans="1:2">
      <c r="A82">
        <v>8</v>
      </c>
      <c r="B82" s="3">
        <f t="shared" si="1"/>
        <v>-260.10724177869599</v>
      </c>
    </row>
    <row r="83" spans="1:2">
      <c r="A83">
        <v>9</v>
      </c>
      <c r="B83" s="3">
        <f t="shared" si="1"/>
        <v>-262.70831419648289</v>
      </c>
    </row>
    <row r="84" spans="1:2">
      <c r="A84">
        <v>10</v>
      </c>
      <c r="B84" s="3">
        <f t="shared" si="1"/>
        <v>-265.33539733844776</v>
      </c>
    </row>
    <row r="85" spans="1:2">
      <c r="A85">
        <v>11</v>
      </c>
      <c r="B85" s="3">
        <f t="shared" si="1"/>
        <v>-267.98875131183217</v>
      </c>
    </row>
    <row r="86" spans="1:2">
      <c r="A86">
        <v>12</v>
      </c>
      <c r="B86" s="3">
        <f t="shared" si="1"/>
        <v>-270.66863882495056</v>
      </c>
    </row>
    <row r="87" spans="1:2">
      <c r="A87">
        <v>13</v>
      </c>
      <c r="B87" s="3">
        <f t="shared" si="1"/>
        <v>-273.37532521320003</v>
      </c>
    </row>
    <row r="88" spans="1:2">
      <c r="A88">
        <v>14</v>
      </c>
      <c r="B88" s="3">
        <f t="shared" si="1"/>
        <v>-276.10907846533212</v>
      </c>
    </row>
    <row r="89" spans="1:2">
      <c r="A89">
        <v>15</v>
      </c>
      <c r="B89" s="3">
        <f t="shared" si="1"/>
        <v>-278.87016924998534</v>
      </c>
    </row>
    <row r="90" spans="1:2">
      <c r="A90">
        <v>16</v>
      </c>
      <c r="B90" s="3">
        <f t="shared" si="1"/>
        <v>-281.65887094248529</v>
      </c>
    </row>
    <row r="91" spans="1:2">
      <c r="A91">
        <v>17</v>
      </c>
      <c r="B91" s="3">
        <f t="shared" si="1"/>
        <v>-284.47545965191006</v>
      </c>
    </row>
    <row r="92" spans="1:2">
      <c r="A92">
        <v>18</v>
      </c>
      <c r="B92" s="3">
        <f t="shared" si="1"/>
        <v>-287.32021424842912</v>
      </c>
    </row>
    <row r="93" spans="1:2">
      <c r="A93">
        <v>19</v>
      </c>
      <c r="B93" s="3">
        <f t="shared" si="1"/>
        <v>-290.19341639091351</v>
      </c>
    </row>
    <row r="94" spans="1:2">
      <c r="A94">
        <v>20</v>
      </c>
      <c r="B94" s="3">
        <f t="shared" si="1"/>
        <v>-293.09535055482257</v>
      </c>
    </row>
    <row r="95" spans="1:2">
      <c r="A95">
        <v>21</v>
      </c>
      <c r="B95" s="3">
        <f t="shared" si="1"/>
        <v>-296.02630406037082</v>
      </c>
    </row>
    <row r="96" spans="1:2">
      <c r="A96">
        <v>22</v>
      </c>
      <c r="B96" s="3">
        <f t="shared" si="1"/>
        <v>-298.98656710097447</v>
      </c>
    </row>
    <row r="97" spans="1:2">
      <c r="A97">
        <v>23</v>
      </c>
      <c r="B97" s="3">
        <f t="shared" si="1"/>
        <v>-301.97643277198432</v>
      </c>
    </row>
    <row r="98" spans="1:2">
      <c r="A98">
        <v>24</v>
      </c>
      <c r="B98" s="3">
        <f t="shared" si="1"/>
        <v>-304.99619709970409</v>
      </c>
    </row>
    <row r="99" spans="1:2">
      <c r="A99">
        <v>25</v>
      </c>
      <c r="B99" s="3">
        <f t="shared" si="1"/>
        <v>-308.04615907070121</v>
      </c>
    </row>
    <row r="100" spans="1:2">
      <c r="A100">
        <v>26</v>
      </c>
      <c r="B100" s="3">
        <f t="shared" si="1"/>
        <v>-311.12662066140814</v>
      </c>
    </row>
    <row r="101" spans="1:2">
      <c r="A101">
        <v>27</v>
      </c>
      <c r="B101" s="3">
        <f t="shared" si="1"/>
        <v>-314.23788686802231</v>
      </c>
    </row>
    <row r="102" spans="1:2">
      <c r="A102">
        <v>28</v>
      </c>
      <c r="B102" s="3">
        <f t="shared" si="1"/>
        <v>-317.38026573670248</v>
      </c>
    </row>
    <row r="103" spans="1:2">
      <c r="A103">
        <v>29</v>
      </c>
      <c r="B103" s="3">
        <f t="shared" si="1"/>
        <v>-320.55406839406959</v>
      </c>
    </row>
    <row r="104" spans="1:2">
      <c r="A104">
        <v>30</v>
      </c>
      <c r="B104" s="3">
        <f t="shared" si="1"/>
        <v>-323.75960907801021</v>
      </c>
    </row>
    <row r="105" spans="1:2">
      <c r="A105">
        <v>31</v>
      </c>
      <c r="B105" s="3">
        <f t="shared" si="1"/>
        <v>-326.9972051687904</v>
      </c>
    </row>
    <row r="106" spans="1:2">
      <c r="A106">
        <v>32</v>
      </c>
      <c r="B106" s="3">
        <f t="shared" si="1"/>
        <v>-330.26717722047817</v>
      </c>
    </row>
    <row r="107" spans="1:2">
      <c r="A107">
        <v>33</v>
      </c>
      <c r="B107" s="3">
        <f t="shared" si="1"/>
        <v>-333.56984899268292</v>
      </c>
    </row>
    <row r="108" spans="1:2">
      <c r="A108">
        <v>34</v>
      </c>
      <c r="B108" s="3">
        <f t="shared" si="1"/>
        <v>-336.90554748260985</v>
      </c>
    </row>
    <row r="109" spans="1:2">
      <c r="A109">
        <v>35</v>
      </c>
      <c r="B109" s="3">
        <f t="shared" si="1"/>
        <v>-340.27460295743589</v>
      </c>
    </row>
    <row r="110" spans="1:2">
      <c r="A110">
        <v>36</v>
      </c>
      <c r="B110" s="3">
        <f t="shared" si="1"/>
        <v>-343.67734898701025</v>
      </c>
    </row>
    <row r="111" spans="1:2">
      <c r="A111">
        <v>37</v>
      </c>
      <c r="B111" s="3">
        <f t="shared" si="1"/>
        <v>-347.11412247688037</v>
      </c>
    </row>
    <row r="112" spans="1:2">
      <c r="A112">
        <v>38</v>
      </c>
      <c r="B112" s="3">
        <f t="shared" si="1"/>
        <v>-350.58526370164924</v>
      </c>
    </row>
    <row r="113" spans="1:2">
      <c r="A113">
        <v>39</v>
      </c>
      <c r="B113" s="3">
        <f t="shared" si="1"/>
        <v>-354.0911163386657</v>
      </c>
    </row>
    <row r="114" spans="1:2">
      <c r="A114">
        <v>40</v>
      </c>
      <c r="B114" s="3">
        <f t="shared" si="1"/>
        <v>-357.63202750205238</v>
      </c>
    </row>
    <row r="115" spans="1:2">
      <c r="A115">
        <v>41</v>
      </c>
      <c r="B115" s="3">
        <f t="shared" si="1"/>
        <v>-361.20834777707279</v>
      </c>
    </row>
    <row r="116" spans="1:2">
      <c r="A116">
        <v>42</v>
      </c>
      <c r="B116" s="3">
        <f t="shared" si="1"/>
        <v>-364.82043125484358</v>
      </c>
    </row>
    <row r="117" spans="1:2">
      <c r="A117">
        <v>43</v>
      </c>
      <c r="B117" s="3">
        <f t="shared" si="1"/>
        <v>-368.46863556739203</v>
      </c>
    </row>
    <row r="118" spans="1:2">
      <c r="A118">
        <v>44</v>
      </c>
      <c r="B118" s="3">
        <f t="shared" si="1"/>
        <v>-372.15332192306596</v>
      </c>
    </row>
    <row r="119" spans="1:2">
      <c r="A119">
        <v>45</v>
      </c>
      <c r="B119" s="3">
        <f t="shared" si="1"/>
        <v>-375.87485514229661</v>
      </c>
    </row>
    <row r="120" spans="1:2">
      <c r="A120">
        <v>46</v>
      </c>
      <c r="B120" s="3">
        <f t="shared" si="1"/>
        <v>-379.63360369371958</v>
      </c>
    </row>
    <row r="121" spans="1:2">
      <c r="A121">
        <v>47</v>
      </c>
      <c r="B121" s="3">
        <f t="shared" si="1"/>
        <v>-383.42993973065677</v>
      </c>
    </row>
    <row r="122" spans="1:2">
      <c r="A122">
        <v>48</v>
      </c>
      <c r="B122" s="3">
        <f t="shared" si="1"/>
        <v>-387.26423912796338</v>
      </c>
    </row>
    <row r="123" spans="1:2">
      <c r="A123">
        <v>49</v>
      </c>
      <c r="B123" s="3">
        <f t="shared" si="1"/>
        <v>-391.13688151924299</v>
      </c>
    </row>
    <row r="124" spans="1:2">
      <c r="A124">
        <v>50</v>
      </c>
      <c r="B124" s="3">
        <f t="shared" si="1"/>
        <v>-395.04825033443535</v>
      </c>
    </row>
    <row r="125" spans="1:2">
      <c r="A125">
        <v>51</v>
      </c>
      <c r="B125" s="3">
        <f t="shared" si="1"/>
        <v>-398.99873283777976</v>
      </c>
    </row>
    <row r="126" spans="1:2">
      <c r="A126">
        <v>52</v>
      </c>
      <c r="B126" s="3">
        <f t="shared" si="1"/>
        <v>-402.98872016615758</v>
      </c>
    </row>
    <row r="127" spans="1:2">
      <c r="A127">
        <v>53</v>
      </c>
      <c r="B127" s="3">
        <f t="shared" si="1"/>
        <v>-407.01860736781913</v>
      </c>
    </row>
    <row r="128" spans="1:2">
      <c r="A128">
        <v>54</v>
      </c>
      <c r="B128" s="3">
        <f t="shared" si="1"/>
        <v>-411.08879344149733</v>
      </c>
    </row>
    <row r="129" spans="1:2">
      <c r="A129">
        <v>55</v>
      </c>
      <c r="B129" s="3">
        <f t="shared" si="1"/>
        <v>-415.19968137591235</v>
      </c>
    </row>
    <row r="130" spans="1:2">
      <c r="A130">
        <v>56</v>
      </c>
      <c r="B130" s="3">
        <f t="shared" si="1"/>
        <v>-419.35167818967147</v>
      </c>
    </row>
    <row r="131" spans="1:2">
      <c r="A131">
        <v>57</v>
      </c>
      <c r="B131" s="3">
        <f t="shared" si="1"/>
        <v>-423.54519497156821</v>
      </c>
    </row>
    <row r="132" spans="1:2">
      <c r="A132">
        <v>58</v>
      </c>
      <c r="B132" s="3">
        <f t="shared" si="1"/>
        <v>-427.78064692128379</v>
      </c>
    </row>
    <row r="133" spans="1:2">
      <c r="A133">
        <v>59</v>
      </c>
      <c r="B133" s="3">
        <f t="shared" si="1"/>
        <v>-432.0584533904966</v>
      </c>
    </row>
    <row r="134" spans="1:2">
      <c r="A134">
        <v>60</v>
      </c>
      <c r="B134" s="3">
        <f t="shared" si="1"/>
        <v>-436.37903792440159</v>
      </c>
    </row>
    <row r="135" spans="1:2">
      <c r="A135">
        <v>61</v>
      </c>
      <c r="B135" s="3">
        <f t="shared" si="1"/>
        <v>-440.74282830364558</v>
      </c>
    </row>
    <row r="136" spans="1:2">
      <c r="A136">
        <v>62</v>
      </c>
      <c r="B136" s="3">
        <f t="shared" si="1"/>
        <v>-445.15025658668208</v>
      </c>
    </row>
    <row r="137" spans="1:2">
      <c r="A137">
        <v>63</v>
      </c>
      <c r="B137" s="3">
        <f t="shared" si="1"/>
        <v>-449.60175915254899</v>
      </c>
    </row>
    <row r="138" spans="1:2">
      <c r="A138">
        <v>64</v>
      </c>
      <c r="B138" s="3">
        <f t="shared" si="1"/>
        <v>-454.09777674407445</v>
      </c>
    </row>
    <row r="139" spans="1:2">
      <c r="A139">
        <v>65</v>
      </c>
      <c r="B139" s="3">
        <f t="shared" si="1"/>
        <v>-458.63875451151517</v>
      </c>
    </row>
    <row r="140" spans="1:2">
      <c r="A140">
        <v>66</v>
      </c>
      <c r="B140" s="3">
        <f t="shared" ref="B140:B194" si="2">PPMT($B$4,A140,$B$5,$B$3,0,0)</f>
        <v>-463.22514205663032</v>
      </c>
    </row>
    <row r="141" spans="1:2">
      <c r="A141">
        <v>67</v>
      </c>
      <c r="B141" s="3">
        <f t="shared" si="2"/>
        <v>-467.85739347719669</v>
      </c>
    </row>
    <row r="142" spans="1:2">
      <c r="A142">
        <v>68</v>
      </c>
      <c r="B142" s="3">
        <f t="shared" si="2"/>
        <v>-472.53596741196861</v>
      </c>
    </row>
    <row r="143" spans="1:2">
      <c r="A143">
        <v>69</v>
      </c>
      <c r="B143" s="3">
        <f t="shared" si="2"/>
        <v>-477.26132708608839</v>
      </c>
    </row>
    <row r="144" spans="1:2">
      <c r="A144">
        <v>70</v>
      </c>
      <c r="B144" s="3">
        <f t="shared" si="2"/>
        <v>-482.03394035694919</v>
      </c>
    </row>
    <row r="145" spans="1:2">
      <c r="A145">
        <v>71</v>
      </c>
      <c r="B145" s="3">
        <f t="shared" si="2"/>
        <v>-486.85427976051869</v>
      </c>
    </row>
    <row r="146" spans="1:2">
      <c r="A146">
        <v>72</v>
      </c>
      <c r="B146" s="3">
        <f t="shared" si="2"/>
        <v>-491.72282255812388</v>
      </c>
    </row>
    <row r="147" spans="1:2">
      <c r="A147">
        <v>73</v>
      </c>
      <c r="B147" s="3">
        <f t="shared" si="2"/>
        <v>-496.64005078370502</v>
      </c>
    </row>
    <row r="148" spans="1:2">
      <c r="A148">
        <v>74</v>
      </c>
      <c r="B148" s="3">
        <f t="shared" si="2"/>
        <v>-501.6064512915421</v>
      </c>
    </row>
    <row r="149" spans="1:2">
      <c r="A149">
        <v>75</v>
      </c>
      <c r="B149" s="3">
        <f t="shared" si="2"/>
        <v>-506.62251580445752</v>
      </c>
    </row>
    <row r="150" spans="1:2">
      <c r="A150">
        <v>76</v>
      </c>
      <c r="B150" s="3">
        <f t="shared" si="2"/>
        <v>-511.68874096250215</v>
      </c>
    </row>
    <row r="151" spans="1:2">
      <c r="A151">
        <v>77</v>
      </c>
      <c r="B151" s="3">
        <f t="shared" si="2"/>
        <v>-516.80562837212722</v>
      </c>
    </row>
    <row r="152" spans="1:2">
      <c r="A152">
        <v>78</v>
      </c>
      <c r="B152" s="3">
        <f t="shared" si="2"/>
        <v>-521.97368465584839</v>
      </c>
    </row>
    <row r="153" spans="1:2">
      <c r="A153">
        <v>79</v>
      </c>
      <c r="B153" s="3">
        <f t="shared" si="2"/>
        <v>-527.19342150240698</v>
      </c>
    </row>
    <row r="154" spans="1:2">
      <c r="A154">
        <v>80</v>
      </c>
      <c r="B154" s="3">
        <f t="shared" si="2"/>
        <v>-532.46535571743095</v>
      </c>
    </row>
    <row r="155" spans="1:2">
      <c r="A155">
        <v>81</v>
      </c>
      <c r="B155" s="3">
        <f t="shared" si="2"/>
        <v>-537.79000927460538</v>
      </c>
    </row>
    <row r="156" spans="1:2">
      <c r="A156">
        <v>82</v>
      </c>
      <c r="B156" s="3">
        <f t="shared" si="2"/>
        <v>-543.1679093673514</v>
      </c>
    </row>
    <row r="157" spans="1:2">
      <c r="A157">
        <v>83</v>
      </c>
      <c r="B157" s="3">
        <f t="shared" si="2"/>
        <v>-548.59958846102495</v>
      </c>
    </row>
    <row r="158" spans="1:2">
      <c r="A158">
        <v>84</v>
      </c>
      <c r="B158" s="3">
        <f t="shared" si="2"/>
        <v>-554.0855843456352</v>
      </c>
    </row>
    <row r="159" spans="1:2">
      <c r="A159">
        <v>85</v>
      </c>
      <c r="B159" s="3">
        <f t="shared" si="2"/>
        <v>-559.62644018909157</v>
      </c>
    </row>
    <row r="160" spans="1:2">
      <c r="A160">
        <v>86</v>
      </c>
      <c r="B160" s="3">
        <f t="shared" si="2"/>
        <v>-565.22270459098252</v>
      </c>
    </row>
    <row r="161" spans="1:2">
      <c r="A161">
        <v>87</v>
      </c>
      <c r="B161" s="3">
        <f t="shared" si="2"/>
        <v>-570.87493163689226</v>
      </c>
    </row>
    <row r="162" spans="1:2">
      <c r="A162">
        <v>88</v>
      </c>
      <c r="B162" s="3">
        <f t="shared" si="2"/>
        <v>-576.58368095326125</v>
      </c>
    </row>
    <row r="163" spans="1:2">
      <c r="A163">
        <v>89</v>
      </c>
      <c r="B163" s="3">
        <f t="shared" si="2"/>
        <v>-582.34951776279377</v>
      </c>
    </row>
    <row r="164" spans="1:2">
      <c r="A164">
        <v>90</v>
      </c>
      <c r="B164" s="3">
        <f t="shared" si="2"/>
        <v>-588.1730129404217</v>
      </c>
    </row>
    <row r="165" spans="1:2">
      <c r="A165">
        <v>91</v>
      </c>
      <c r="B165" s="3">
        <f t="shared" si="2"/>
        <v>-594.05474306982592</v>
      </c>
    </row>
    <row r="166" spans="1:2">
      <c r="A166">
        <v>92</v>
      </c>
      <c r="B166" s="3">
        <f t="shared" si="2"/>
        <v>-599.99529050052411</v>
      </c>
    </row>
    <row r="167" spans="1:2">
      <c r="A167">
        <v>93</v>
      </c>
      <c r="B167" s="3">
        <f t="shared" si="2"/>
        <v>-605.99524340552944</v>
      </c>
    </row>
    <row r="168" spans="1:2">
      <c r="A168">
        <v>94</v>
      </c>
      <c r="B168" s="3">
        <f t="shared" si="2"/>
        <v>-612.0551958395846</v>
      </c>
    </row>
    <row r="169" spans="1:2">
      <c r="A169">
        <v>95</v>
      </c>
      <c r="B169" s="3">
        <f t="shared" si="2"/>
        <v>-618.17574779798065</v>
      </c>
    </row>
    <row r="170" spans="1:2">
      <c r="A170">
        <v>96</v>
      </c>
      <c r="B170" s="3">
        <f t="shared" si="2"/>
        <v>-624.35750527596042</v>
      </c>
    </row>
    <row r="171" spans="1:2">
      <c r="A171">
        <v>97</v>
      </c>
      <c r="B171" s="3">
        <f t="shared" si="2"/>
        <v>-630.60108032871995</v>
      </c>
    </row>
    <row r="172" spans="1:2">
      <c r="A172">
        <v>98</v>
      </c>
      <c r="B172" s="3">
        <f t="shared" si="2"/>
        <v>-636.90709113200717</v>
      </c>
    </row>
    <row r="173" spans="1:2">
      <c r="A173">
        <v>99</v>
      </c>
      <c r="B173" s="3">
        <f t="shared" si="2"/>
        <v>-643.2761620433273</v>
      </c>
    </row>
    <row r="174" spans="1:2">
      <c r="A174">
        <v>100</v>
      </c>
      <c r="B174" s="3">
        <f t="shared" si="2"/>
        <v>-649.70892366376052</v>
      </c>
    </row>
    <row r="175" spans="1:2">
      <c r="A175">
        <v>101</v>
      </c>
      <c r="B175" s="3">
        <f t="shared" si="2"/>
        <v>-656.20601290039826</v>
      </c>
    </row>
    <row r="176" spans="1:2">
      <c r="A176">
        <v>102</v>
      </c>
      <c r="B176" s="3">
        <f t="shared" si="2"/>
        <v>-662.76807302940222</v>
      </c>
    </row>
    <row r="177" spans="1:2">
      <c r="A177">
        <v>103</v>
      </c>
      <c r="B177" s="3">
        <f t="shared" si="2"/>
        <v>-669.39575375969605</v>
      </c>
    </row>
    <row r="178" spans="1:2">
      <c r="A178">
        <v>104</v>
      </c>
      <c r="B178" s="3">
        <f t="shared" si="2"/>
        <v>-676.08971129729332</v>
      </c>
    </row>
    <row r="179" spans="1:2">
      <c r="A179">
        <v>105</v>
      </c>
      <c r="B179" s="3">
        <f t="shared" si="2"/>
        <v>-682.85060841026586</v>
      </c>
    </row>
    <row r="180" spans="1:2">
      <c r="A180">
        <v>106</v>
      </c>
      <c r="B180" s="3">
        <f t="shared" si="2"/>
        <v>-689.67911449436872</v>
      </c>
    </row>
    <row r="181" spans="1:2">
      <c r="A181">
        <v>107</v>
      </c>
      <c r="B181" s="3">
        <f t="shared" si="2"/>
        <v>-696.57590563931228</v>
      </c>
    </row>
    <row r="182" spans="1:2">
      <c r="A182">
        <v>108</v>
      </c>
      <c r="B182" s="3">
        <f t="shared" si="2"/>
        <v>-703.54166469570544</v>
      </c>
    </row>
    <row r="183" spans="1:2">
      <c r="A183">
        <v>109</v>
      </c>
      <c r="B183" s="3">
        <f t="shared" si="2"/>
        <v>-710.57708134266261</v>
      </c>
    </row>
    <row r="184" spans="1:2">
      <c r="A184">
        <v>110</v>
      </c>
      <c r="B184" s="3">
        <f t="shared" si="2"/>
        <v>-717.6828521560891</v>
      </c>
    </row>
    <row r="185" spans="1:2">
      <c r="A185">
        <v>111</v>
      </c>
      <c r="B185" s="3">
        <f t="shared" si="2"/>
        <v>-724.85968067765009</v>
      </c>
    </row>
    <row r="186" spans="1:2">
      <c r="A186">
        <v>112</v>
      </c>
      <c r="B186" s="3">
        <f t="shared" si="2"/>
        <v>-732.10827748442648</v>
      </c>
    </row>
    <row r="187" spans="1:2">
      <c r="A187">
        <v>113</v>
      </c>
      <c r="B187" s="3">
        <f t="shared" si="2"/>
        <v>-739.42936025927088</v>
      </c>
    </row>
    <row r="188" spans="1:2">
      <c r="A188">
        <v>114</v>
      </c>
      <c r="B188" s="3">
        <f t="shared" si="2"/>
        <v>-746.82365386186359</v>
      </c>
    </row>
    <row r="189" spans="1:2">
      <c r="A189">
        <v>115</v>
      </c>
      <c r="B189" s="3">
        <f t="shared" si="2"/>
        <v>-754.2918904004822</v>
      </c>
    </row>
    <row r="190" spans="1:2">
      <c r="A190">
        <v>116</v>
      </c>
      <c r="B190" s="3">
        <f t="shared" si="2"/>
        <v>-761.83480930448695</v>
      </c>
    </row>
    <row r="191" spans="1:2">
      <c r="A191">
        <v>117</v>
      </c>
      <c r="B191" s="3">
        <f t="shared" si="2"/>
        <v>-769.45315739753187</v>
      </c>
    </row>
    <row r="192" spans="1:2">
      <c r="A192">
        <v>118</v>
      </c>
      <c r="B192" s="3">
        <f t="shared" si="2"/>
        <v>-777.14768897150736</v>
      </c>
    </row>
    <row r="193" spans="1:2">
      <c r="A193">
        <v>119</v>
      </c>
      <c r="B193" s="3">
        <f t="shared" si="2"/>
        <v>-784.91916586122227</v>
      </c>
    </row>
    <row r="194" spans="1:2">
      <c r="A194">
        <v>120</v>
      </c>
      <c r="B194" s="3">
        <f t="shared" si="2"/>
        <v>-792.76835751983458</v>
      </c>
    </row>
    <row r="195" spans="1:2">
      <c r="B195" s="3">
        <f>$B$3+SUM(B75:B194)</f>
        <v>184191.06794720309</v>
      </c>
    </row>
    <row r="196" spans="1:2">
      <c r="B196" s="3"/>
    </row>
    <row r="197" spans="1:2">
      <c r="A197" s="5" t="s">
        <v>36</v>
      </c>
      <c r="B197" s="3">
        <f>PMT(A199,120,B195,0,0)</f>
        <v>-2516.4245634312688</v>
      </c>
    </row>
    <row r="198" spans="1:2">
      <c r="A198" s="1">
        <v>0.01</v>
      </c>
      <c r="B198" s="3">
        <f>B8*120</f>
        <v>-317112.80646804767</v>
      </c>
    </row>
    <row r="199" spans="1:2">
      <c r="A199" s="6">
        <v>8.9999999999999993E-3</v>
      </c>
      <c r="B199" s="3">
        <f>B197*120</f>
        <v>-301970.94761175226</v>
      </c>
    </row>
    <row r="200" spans="1:2">
      <c r="A200" s="5" t="s">
        <v>6</v>
      </c>
      <c r="B200" s="3">
        <f>B198-B199</f>
        <v>-15141.85885629541</v>
      </c>
    </row>
    <row r="201" spans="1:2">
      <c r="B201" s="3"/>
    </row>
    <row r="202" spans="1:2">
      <c r="B202" s="3"/>
    </row>
    <row r="203" spans="1:2">
      <c r="B203" s="3"/>
    </row>
    <row r="204" spans="1:2">
      <c r="B204" s="3"/>
    </row>
    <row r="205" spans="1:2">
      <c r="B205" s="3"/>
    </row>
    <row r="206" spans="1:2">
      <c r="B206" s="3"/>
    </row>
    <row r="207" spans="1:2">
      <c r="B207" s="3"/>
    </row>
    <row r="208" spans="1:2">
      <c r="B208" s="3"/>
    </row>
    <row r="209" spans="2:2">
      <c r="B209" s="3"/>
    </row>
    <row r="210" spans="2:2">
      <c r="B210" s="3"/>
    </row>
    <row r="211" spans="2:2">
      <c r="B211" s="3"/>
    </row>
    <row r="212" spans="2:2">
      <c r="B212" s="3"/>
    </row>
    <row r="213" spans="2:2">
      <c r="B213" s="3"/>
    </row>
    <row r="214" spans="2:2">
      <c r="B214" s="3"/>
    </row>
    <row r="215" spans="2:2">
      <c r="B215" s="3"/>
    </row>
    <row r="216" spans="2:2">
      <c r="B216" s="3"/>
    </row>
    <row r="217" spans="2:2">
      <c r="B217" s="3"/>
    </row>
    <row r="218" spans="2:2">
      <c r="B218" s="3"/>
    </row>
    <row r="219" spans="2:2">
      <c r="B219" s="3"/>
    </row>
    <row r="220" spans="2:2">
      <c r="B220" s="3"/>
    </row>
    <row r="221" spans="2:2">
      <c r="B221" s="3"/>
    </row>
    <row r="222" spans="2:2">
      <c r="B222" s="3"/>
    </row>
    <row r="223" spans="2:2">
      <c r="B223" s="3"/>
    </row>
    <row r="224" spans="2:2">
      <c r="B224" s="3"/>
    </row>
    <row r="225" spans="2:2">
      <c r="B225" s="3"/>
    </row>
    <row r="226" spans="2:2">
      <c r="B226" s="3"/>
    </row>
    <row r="227" spans="2:2">
      <c r="B227" s="3"/>
    </row>
    <row r="228" spans="2:2">
      <c r="B228" s="3"/>
    </row>
    <row r="229" spans="2:2">
      <c r="B229" s="3"/>
    </row>
    <row r="230" spans="2:2">
      <c r="B230" s="3"/>
    </row>
    <row r="231" spans="2:2">
      <c r="B231" s="3"/>
    </row>
    <row r="232" spans="2:2">
      <c r="B232" s="3"/>
    </row>
    <row r="233" spans="2:2">
      <c r="B233" s="3"/>
    </row>
    <row r="234" spans="2:2">
      <c r="B234" s="3"/>
    </row>
    <row r="235" spans="2:2">
      <c r="B235" s="3"/>
    </row>
    <row r="236" spans="2:2">
      <c r="B236" s="3"/>
    </row>
    <row r="237" spans="2:2">
      <c r="B237" s="3"/>
    </row>
    <row r="238" spans="2:2">
      <c r="B238" s="3"/>
    </row>
    <row r="239" spans="2:2">
      <c r="B239" s="3"/>
    </row>
    <row r="240" spans="2:2">
      <c r="B240" s="3"/>
    </row>
    <row r="241" spans="2:2">
      <c r="B241" s="3"/>
    </row>
    <row r="242" spans="2:2">
      <c r="B242" s="3"/>
    </row>
    <row r="243" spans="2:2">
      <c r="B243" s="3"/>
    </row>
    <row r="244" spans="2:2">
      <c r="B244" s="3"/>
    </row>
    <row r="245" spans="2:2">
      <c r="B245" s="3"/>
    </row>
    <row r="246" spans="2:2">
      <c r="B246" s="3"/>
    </row>
    <row r="247" spans="2:2">
      <c r="B247" s="3"/>
    </row>
    <row r="248" spans="2:2">
      <c r="B248" s="3"/>
    </row>
    <row r="249" spans="2:2">
      <c r="B249" s="3"/>
    </row>
    <row r="250" spans="2:2">
      <c r="B250" s="3"/>
    </row>
    <row r="251" spans="2:2">
      <c r="B251" s="3"/>
    </row>
    <row r="252" spans="2:2">
      <c r="B252" s="3"/>
    </row>
    <row r="253" spans="2:2">
      <c r="B253" s="3"/>
    </row>
    <row r="254" spans="2:2">
      <c r="B254" s="3"/>
    </row>
    <row r="255" spans="2:2">
      <c r="B255" s="3"/>
    </row>
    <row r="256" spans="2:2">
      <c r="B256" s="3"/>
    </row>
    <row r="257" spans="2:2">
      <c r="B257" s="3"/>
    </row>
    <row r="258" spans="2:2">
      <c r="B258" s="3"/>
    </row>
    <row r="259" spans="2:2">
      <c r="B259" s="3"/>
    </row>
    <row r="260" spans="2:2">
      <c r="B260" s="3"/>
    </row>
    <row r="261" spans="2:2">
      <c r="B261" s="3"/>
    </row>
    <row r="262" spans="2:2">
      <c r="B262" s="3"/>
    </row>
    <row r="263" spans="2:2">
      <c r="B263" s="3"/>
    </row>
    <row r="264" spans="2:2">
      <c r="B264" s="3"/>
    </row>
    <row r="265" spans="2:2">
      <c r="B265" s="3"/>
    </row>
    <row r="266" spans="2:2">
      <c r="B266" s="3"/>
    </row>
    <row r="267" spans="2:2">
      <c r="B267" s="3"/>
    </row>
    <row r="268" spans="2:2">
      <c r="B268" s="3"/>
    </row>
    <row r="269" spans="2:2">
      <c r="B269" s="3"/>
    </row>
    <row r="270" spans="2:2">
      <c r="B270" s="3"/>
    </row>
    <row r="271" spans="2:2">
      <c r="B271" s="3"/>
    </row>
    <row r="272" spans="2:2">
      <c r="B272" s="3"/>
    </row>
    <row r="273" spans="2:2">
      <c r="B273" s="3"/>
    </row>
    <row r="274" spans="2:2">
      <c r="B274" s="3"/>
    </row>
    <row r="275" spans="2:2">
      <c r="B275" s="3"/>
    </row>
    <row r="276" spans="2:2">
      <c r="B276" s="3"/>
    </row>
    <row r="277" spans="2:2">
      <c r="B277" s="3"/>
    </row>
    <row r="278" spans="2:2">
      <c r="B278" s="3"/>
    </row>
    <row r="279" spans="2:2">
      <c r="B279" s="3"/>
    </row>
    <row r="280" spans="2:2">
      <c r="B280" s="3"/>
    </row>
    <row r="281" spans="2:2">
      <c r="B281" s="3"/>
    </row>
    <row r="282" spans="2:2">
      <c r="B282" s="3"/>
    </row>
    <row r="283" spans="2:2">
      <c r="B283" s="3"/>
    </row>
    <row r="284" spans="2:2">
      <c r="B284" s="3"/>
    </row>
    <row r="285" spans="2:2">
      <c r="B285" s="3"/>
    </row>
    <row r="286" spans="2:2">
      <c r="B286" s="3"/>
    </row>
    <row r="287" spans="2:2">
      <c r="B287" s="3"/>
    </row>
    <row r="288" spans="2:2">
      <c r="B288" s="3"/>
    </row>
    <row r="289" spans="2:2">
      <c r="B289" s="3"/>
    </row>
    <row r="290" spans="2:2">
      <c r="B290" s="3"/>
    </row>
    <row r="291" spans="2:2">
      <c r="B291" s="3"/>
    </row>
    <row r="292" spans="2:2">
      <c r="B292" s="3"/>
    </row>
    <row r="293" spans="2:2">
      <c r="B293" s="3"/>
    </row>
    <row r="294" spans="2:2">
      <c r="B294" s="3"/>
    </row>
    <row r="295" spans="2:2">
      <c r="B295" s="3"/>
    </row>
    <row r="296" spans="2:2">
      <c r="B296" s="3"/>
    </row>
    <row r="297" spans="2:2">
      <c r="B297" s="3"/>
    </row>
    <row r="298" spans="2:2">
      <c r="B298" s="3"/>
    </row>
    <row r="299" spans="2:2">
      <c r="B299" s="3"/>
    </row>
    <row r="300" spans="2:2">
      <c r="B300" s="3"/>
    </row>
    <row r="301" spans="2:2">
      <c r="B301" s="3"/>
    </row>
    <row r="302" spans="2:2">
      <c r="B302" s="3"/>
    </row>
    <row r="303" spans="2:2">
      <c r="B303" s="3"/>
    </row>
    <row r="304" spans="2:2">
      <c r="B304" s="3"/>
    </row>
    <row r="305" spans="2:2">
      <c r="B305" s="3"/>
    </row>
    <row r="306" spans="2:2">
      <c r="B306" s="3"/>
    </row>
    <row r="307" spans="2:2">
      <c r="B307" s="3"/>
    </row>
    <row r="308" spans="2:2">
      <c r="B308" s="3"/>
    </row>
    <row r="309" spans="2:2">
      <c r="B309" s="3"/>
    </row>
    <row r="310" spans="2:2">
      <c r="B310" s="3"/>
    </row>
    <row r="311" spans="2:2">
      <c r="B311" s="3"/>
    </row>
    <row r="312" spans="2:2">
      <c r="B312" s="3"/>
    </row>
    <row r="313" spans="2:2">
      <c r="B313" s="3"/>
    </row>
    <row r="314" spans="2:2">
      <c r="B314" s="3"/>
    </row>
    <row r="315" spans="2:2">
      <c r="B315" s="3"/>
    </row>
  </sheetData>
  <phoneticPr fontId="7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07A3B-3159-2E4E-A2C6-2084134BA33A}">
  <dimension ref="A1:F18"/>
  <sheetViews>
    <sheetView tabSelected="1" workbookViewId="0">
      <selection activeCell="A19" sqref="A19"/>
    </sheetView>
  </sheetViews>
  <sheetFormatPr baseColWidth="10" defaultRowHeight="13"/>
  <cols>
    <col min="1" max="1" width="15.83203125" bestFit="1" customWidth="1"/>
    <col min="2" max="2" width="26" bestFit="1" customWidth="1"/>
    <col min="3" max="3" width="15" bestFit="1" customWidth="1"/>
    <col min="4" max="4" width="15.83203125" bestFit="1" customWidth="1"/>
    <col min="5" max="5" width="12.5" bestFit="1" customWidth="1"/>
    <col min="6" max="6" width="24.5" customWidth="1"/>
  </cols>
  <sheetData>
    <row r="1" spans="1:6">
      <c r="A1" s="5" t="s">
        <v>19</v>
      </c>
      <c r="B1">
        <v>100000</v>
      </c>
    </row>
    <row r="2" spans="1:6">
      <c r="A2" s="5" t="s">
        <v>34</v>
      </c>
      <c r="B2">
        <v>5</v>
      </c>
    </row>
    <row r="3" spans="1:6">
      <c r="A3" s="5" t="s">
        <v>0</v>
      </c>
      <c r="B3" s="1">
        <v>0.06</v>
      </c>
    </row>
    <row r="4" spans="1:6">
      <c r="A4" s="5" t="s">
        <v>23</v>
      </c>
      <c r="B4" s="7">
        <f>B1/B2</f>
        <v>20000</v>
      </c>
    </row>
    <row r="6" spans="1:6">
      <c r="A6" s="5" t="s">
        <v>2</v>
      </c>
    </row>
    <row r="7" spans="1:6">
      <c r="A7" s="3">
        <f>F13</f>
        <v>40000</v>
      </c>
    </row>
    <row r="9" spans="1:6">
      <c r="A9" s="5" t="s">
        <v>3</v>
      </c>
    </row>
    <row r="10" spans="1:6">
      <c r="A10" s="5" t="s">
        <v>29</v>
      </c>
      <c r="B10" s="5" t="s">
        <v>30</v>
      </c>
      <c r="C10" s="5" t="s">
        <v>20</v>
      </c>
      <c r="D10" s="5" t="s">
        <v>22</v>
      </c>
      <c r="E10" s="5" t="s">
        <v>24</v>
      </c>
      <c r="F10" s="5" t="s">
        <v>31</v>
      </c>
    </row>
    <row r="11" spans="1:6">
      <c r="A11">
        <v>1</v>
      </c>
      <c r="B11">
        <f>B1</f>
        <v>100000</v>
      </c>
      <c r="C11">
        <f>B11*$B$3</f>
        <v>6000</v>
      </c>
      <c r="D11" s="3">
        <f>$B$4</f>
        <v>20000</v>
      </c>
      <c r="E11" s="3">
        <f>D11+C11</f>
        <v>26000</v>
      </c>
      <c r="F11" s="3">
        <f>B11-D11</f>
        <v>80000</v>
      </c>
    </row>
    <row r="12" spans="1:6">
      <c r="A12">
        <v>2</v>
      </c>
      <c r="B12">
        <f>F11</f>
        <v>80000</v>
      </c>
      <c r="C12">
        <f t="shared" ref="C12:C15" si="0">B12*$B$3</f>
        <v>4800</v>
      </c>
      <c r="D12" s="3">
        <f t="shared" ref="D12:D15" si="1">$B$4</f>
        <v>20000</v>
      </c>
      <c r="E12" s="3">
        <f t="shared" ref="E12:E15" si="2">D12+C12</f>
        <v>24800</v>
      </c>
      <c r="F12" s="3">
        <f t="shared" ref="F12:F15" si="3">B12-D12</f>
        <v>60000</v>
      </c>
    </row>
    <row r="13" spans="1:6">
      <c r="A13">
        <v>3</v>
      </c>
      <c r="B13">
        <f t="shared" ref="B13:B15" si="4">F12</f>
        <v>60000</v>
      </c>
      <c r="C13">
        <f t="shared" si="0"/>
        <v>3600</v>
      </c>
      <c r="D13" s="3">
        <f t="shared" si="1"/>
        <v>20000</v>
      </c>
      <c r="E13" s="3">
        <f t="shared" si="2"/>
        <v>23600</v>
      </c>
      <c r="F13" s="3">
        <f t="shared" si="3"/>
        <v>40000</v>
      </c>
    </row>
    <row r="14" spans="1:6">
      <c r="A14">
        <v>4</v>
      </c>
      <c r="B14">
        <f t="shared" si="4"/>
        <v>40000</v>
      </c>
      <c r="C14">
        <f t="shared" si="0"/>
        <v>2400</v>
      </c>
      <c r="D14" s="3">
        <f t="shared" si="1"/>
        <v>20000</v>
      </c>
      <c r="E14" s="3">
        <f t="shared" si="2"/>
        <v>22400</v>
      </c>
      <c r="F14" s="3">
        <f t="shared" si="3"/>
        <v>20000</v>
      </c>
    </row>
    <row r="15" spans="1:6">
      <c r="A15">
        <v>5</v>
      </c>
      <c r="B15">
        <f t="shared" si="4"/>
        <v>20000</v>
      </c>
      <c r="C15">
        <f t="shared" si="0"/>
        <v>1200</v>
      </c>
      <c r="D15" s="3">
        <f t="shared" si="1"/>
        <v>20000</v>
      </c>
      <c r="E15" s="3">
        <f t="shared" si="2"/>
        <v>21200</v>
      </c>
      <c r="F15" s="3">
        <f t="shared" si="3"/>
        <v>0</v>
      </c>
    </row>
    <row r="17" spans="1:1">
      <c r="A17" s="5" t="s">
        <v>4</v>
      </c>
    </row>
    <row r="18" spans="1:1">
      <c r="A18">
        <f>C14</f>
        <v>2400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Exercise 1 Template</vt:lpstr>
      <vt:lpstr>Exercise 2 Template</vt:lpstr>
      <vt:lpstr>Exercise 3 Template</vt:lpstr>
      <vt:lpstr>Exercise 4 Template</vt:lpstr>
      <vt:lpstr>Exercise 5 Template</vt:lpstr>
      <vt:lpstr>Exercise 6 Template</vt:lpstr>
      <vt:lpstr>Exercise 7 Template</vt:lpstr>
      <vt:lpstr>Exercise 8 Template</vt:lpstr>
      <vt:lpstr>Exercise 9 Template</vt:lpstr>
      <vt:lpstr>Exercise 10 Template</vt:lpstr>
      <vt:lpstr>Exercise 11 Template</vt:lpstr>
      <vt:lpstr>Exercise 12 Template</vt:lpstr>
      <vt:lpstr>Exercise 13 Template</vt:lpstr>
      <vt:lpstr>Exercise 14 Template</vt:lpstr>
    </vt:vector>
  </TitlesOfParts>
  <Company>The Wharton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dcterms:created xsi:type="dcterms:W3CDTF">2006-01-08T17:57:28Z</dcterms:created>
  <dcterms:modified xsi:type="dcterms:W3CDTF">2023-10-18T16:10:30Z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PFE3_Ch03_student materials.xlsm</vt:lpwstr>
  </property>
</Properties>
</file>