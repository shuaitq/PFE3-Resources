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08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ianqiang/workspace/PFE3-Resources/Student Resources/Exercise Answers/"/>
    </mc:Choice>
  </mc:AlternateContent>
  <xr:revisionPtr revIDLastSave="0" documentId="13_ncr:1_{613344D0-81FA-A54D-8884-00DE97CCEB9B}" xr6:coauthVersionLast="47" xr6:coauthVersionMax="47" xr10:uidLastSave="{00000000-0000-0000-0000-000000000000}"/>
  <bookViews>
    <workbookView xWindow="4200" yWindow="500" windowWidth="29400" windowHeight="19060" tabRatio="818" firstSheet="15" activeTab="21" xr2:uid="{00000000-000D-0000-FFFF-FFFF00000000}"/>
  </bookViews>
  <sheets>
    <sheet name="EoC Exercise 1 Template" sheetId="73" r:id="rId1"/>
    <sheet name="EoC Exercise 2 Template" sheetId="74" r:id="rId2"/>
    <sheet name="EoC Exercise 3 Template" sheetId="81" r:id="rId3"/>
    <sheet name="EoC Exercise 4 Template" sheetId="82" r:id="rId4"/>
    <sheet name="EoC Exercise 5 Template" sheetId="83" r:id="rId5"/>
    <sheet name="EoC Exercise 6 Template" sheetId="84" r:id="rId6"/>
    <sheet name="EoC Exercise 7 Template" sheetId="75" r:id="rId7"/>
    <sheet name="EoC Exercise 8 Template" sheetId="85" r:id="rId8"/>
    <sheet name="EoC Exercise 9 Template" sheetId="76" r:id="rId9"/>
    <sheet name="EoC Exercise 10 Template" sheetId="86" r:id="rId10"/>
    <sheet name="EoC Exercise 11 Template" sheetId="77" r:id="rId11"/>
    <sheet name="EoC Exercise 12 Template" sheetId="87" r:id="rId12"/>
    <sheet name="EoC Exercise 13 Template" sheetId="78" r:id="rId13"/>
    <sheet name="EoC Exercise 14 Template" sheetId="88" r:id="rId14"/>
    <sheet name="EoC Exercise 15 Template" sheetId="89" r:id="rId15"/>
    <sheet name="EoC Exercise 16 Template" sheetId="79" r:id="rId16"/>
    <sheet name="EoC Exercise 17 Template" sheetId="90" r:id="rId17"/>
    <sheet name="EoC Exercise 18 Template" sheetId="80" r:id="rId18"/>
    <sheet name="EoC Exercise 19 Template" sheetId="91" r:id="rId19"/>
    <sheet name="EoC Exercise 20 Template" sheetId="92" r:id="rId20"/>
    <sheet name="EoC Exercise 21 Template" sheetId="93" r:id="rId21"/>
    <sheet name="EoC Exercise 22 Template" sheetId="94" r:id="rId22"/>
  </sheets>
  <functionGroups builtInGroupCount="19"/>
  <definedNames>
    <definedName name="solver_adj" localSheetId="7" hidden="1">'EoC Exercise 8 Template'!$B$18</definedName>
    <definedName name="solver_cvg" localSheetId="7" hidden="1">0.0001</definedName>
    <definedName name="solver_drv" localSheetId="7" hidden="1">1</definedName>
    <definedName name="solver_eng" localSheetId="7" hidden="1">1</definedName>
    <definedName name="solver_itr" localSheetId="7" hidden="1">2147483647</definedName>
    <definedName name="solver_lin" localSheetId="7" hidden="1">2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1</definedName>
    <definedName name="solver_nod" localSheetId="7" hidden="1">2147483647</definedName>
    <definedName name="solver_num" localSheetId="7" hidden="1">0</definedName>
    <definedName name="solver_opt" localSheetId="7" hidden="1">'EoC Exercise 8 Template'!$B$24</definedName>
    <definedName name="solver_pre" localSheetId="7" hidden="1">0.000001</definedName>
    <definedName name="solver_rbv" localSheetId="7" hidden="1">1</definedName>
    <definedName name="solver_rlx" localSheetId="7" hidden="1">2</definedName>
    <definedName name="solver_rsd" localSheetId="7" hidden="1">0</definedName>
    <definedName name="solver_scl" localSheetId="7" hidden="1">1</definedName>
    <definedName name="solver_sho" localSheetId="7" hidden="1">2</definedName>
    <definedName name="solver_ssz" localSheetId="7" hidden="1">100</definedName>
    <definedName name="solver_tim" localSheetId="7" hidden="1">2147483647</definedName>
    <definedName name="solver_tol" localSheetId="7" hidden="1">0.01</definedName>
    <definedName name="solver_typ" localSheetId="7" hidden="1">3</definedName>
    <definedName name="solver_val" localSheetId="7" hidden="1">0</definedName>
    <definedName name="solver_ver" localSheetId="7" hidden="1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94" l="1"/>
  <c r="E12" i="94"/>
  <c r="E13" i="94"/>
  <c r="E14" i="94"/>
  <c r="E10" i="94"/>
  <c r="D14" i="94"/>
  <c r="D13" i="94"/>
  <c r="D12" i="94"/>
  <c r="D11" i="94"/>
  <c r="D10" i="94"/>
  <c r="B13" i="94"/>
  <c r="B14" i="94"/>
  <c r="B12" i="94"/>
  <c r="B11" i="94"/>
  <c r="B10" i="94"/>
  <c r="C13" i="94"/>
  <c r="C10" i="94"/>
  <c r="C12" i="94"/>
  <c r="C11" i="94"/>
  <c r="C14" i="94"/>
  <c r="D13" i="93"/>
  <c r="C14" i="93"/>
  <c r="D14" i="93"/>
  <c r="A20" i="93" s="1"/>
  <c r="E14" i="93"/>
  <c r="F14" i="93"/>
  <c r="B14" i="93"/>
  <c r="C13" i="93"/>
  <c r="E13" i="93"/>
  <c r="F13" i="93"/>
  <c r="B13" i="93"/>
  <c r="C12" i="93"/>
  <c r="D12" i="93"/>
  <c r="E12" i="93"/>
  <c r="F12" i="93"/>
  <c r="B12" i="93"/>
  <c r="C11" i="93"/>
  <c r="D11" i="93"/>
  <c r="E11" i="93"/>
  <c r="F11" i="93"/>
  <c r="B11" i="93"/>
  <c r="F10" i="93"/>
  <c r="E10" i="93"/>
  <c r="D10" i="93"/>
  <c r="C10" i="93"/>
  <c r="B10" i="93"/>
  <c r="B69" i="92"/>
  <c r="B70" i="92"/>
  <c r="B68" i="92"/>
  <c r="H3" i="91"/>
  <c r="H4" i="91"/>
  <c r="H5" i="91"/>
  <c r="H2" i="91"/>
  <c r="F3" i="91"/>
  <c r="F4" i="91"/>
  <c r="F5" i="91"/>
  <c r="B8" i="91" s="1"/>
  <c r="F2" i="91"/>
  <c r="H20" i="80"/>
  <c r="B43" i="80"/>
  <c r="B44" i="80" s="1"/>
  <c r="G20" i="80" s="1"/>
  <c r="C44" i="80"/>
  <c r="C43" i="80"/>
  <c r="C42" i="80"/>
  <c r="C19" i="80"/>
  <c r="C20" i="80"/>
  <c r="B16" i="80"/>
  <c r="B19" i="80"/>
  <c r="C34" i="90"/>
  <c r="B34" i="90"/>
  <c r="C13" i="90"/>
  <c r="C14" i="90" s="1"/>
  <c r="C15" i="90" s="1"/>
  <c r="C16" i="90" s="1"/>
  <c r="C17" i="90" s="1"/>
  <c r="C18" i="90" s="1"/>
  <c r="C19" i="90" s="1"/>
  <c r="C20" i="90" s="1"/>
  <c r="C21" i="90" s="1"/>
  <c r="C22" i="90" s="1"/>
  <c r="C23" i="90" s="1"/>
  <c r="C24" i="90" s="1"/>
  <c r="C25" i="90" s="1"/>
  <c r="C26" i="90" s="1"/>
  <c r="C27" i="90" s="1"/>
  <c r="C28" i="90" s="1"/>
  <c r="C29" i="90" s="1"/>
  <c r="C30" i="90" s="1"/>
  <c r="C31" i="90" s="1"/>
  <c r="C32" i="90" s="1"/>
  <c r="B6" i="90"/>
  <c r="B33" i="90"/>
  <c r="C9" i="90"/>
  <c r="B9" i="90"/>
  <c r="C16" i="79"/>
  <c r="C17" i="79" s="1"/>
  <c r="B19" i="79"/>
  <c r="B16" i="79"/>
  <c r="B20" i="79"/>
  <c r="C12" i="79"/>
  <c r="B12" i="79"/>
  <c r="B7" i="88"/>
  <c r="B6" i="88"/>
  <c r="F3" i="88"/>
  <c r="F2" i="88"/>
  <c r="C25" i="78"/>
  <c r="B25" i="78"/>
  <c r="C24" i="78"/>
  <c r="B24" i="78"/>
  <c r="C7" i="78"/>
  <c r="B7" i="78"/>
  <c r="C4" i="78"/>
  <c r="B4" i="78"/>
  <c r="F3" i="78"/>
  <c r="F2" i="78"/>
  <c r="E3" i="78"/>
  <c r="E2" i="78"/>
  <c r="D3" i="78"/>
  <c r="D2" i="78"/>
  <c r="B5" i="87"/>
  <c r="D16" i="77"/>
  <c r="D15" i="77"/>
  <c r="B12" i="77"/>
  <c r="B13" i="77"/>
  <c r="B14" i="77"/>
  <c r="B15" i="77"/>
  <c r="B16" i="77"/>
  <c r="B17" i="77"/>
  <c r="B18" i="77"/>
  <c r="B19" i="77"/>
  <c r="B20" i="77"/>
  <c r="B21" i="77"/>
  <c r="B22" i="77"/>
  <c r="B23" i="77"/>
  <c r="B24" i="77"/>
  <c r="B25" i="77"/>
  <c r="B26" i="77"/>
  <c r="B27" i="77"/>
  <c r="B28" i="77"/>
  <c r="B29" i="77"/>
  <c r="B30" i="77"/>
  <c r="B31" i="77"/>
  <c r="B11" i="77"/>
  <c r="C5" i="77"/>
  <c r="D5" i="77"/>
  <c r="B5" i="77"/>
  <c r="B6" i="86"/>
  <c r="B8" i="76"/>
  <c r="B7" i="76"/>
  <c r="B6" i="76"/>
  <c r="B24" i="85"/>
  <c r="B29" i="85"/>
  <c r="B30" i="85" s="1"/>
  <c r="B31" i="85" s="1"/>
  <c r="B33" i="85" s="1"/>
  <c r="B28" i="85"/>
  <c r="B27" i="85"/>
  <c r="B13" i="85"/>
  <c r="B12" i="85"/>
  <c r="B11" i="85"/>
  <c r="B10" i="85"/>
  <c r="B9" i="85"/>
  <c r="B20" i="85"/>
  <c r="B19" i="85"/>
  <c r="B21" i="85"/>
  <c r="B17" i="85"/>
  <c r="C13" i="75"/>
  <c r="B23" i="75"/>
  <c r="D6" i="75"/>
  <c r="D7" i="75"/>
  <c r="D8" i="75"/>
  <c r="D9" i="75"/>
  <c r="D10" i="75"/>
  <c r="D5" i="75"/>
  <c r="C14" i="75"/>
  <c r="B14" i="75"/>
  <c r="B13" i="84"/>
  <c r="B12" i="84"/>
  <c r="C7" i="84"/>
  <c r="B7" i="84"/>
  <c r="C6" i="84"/>
  <c r="B6" i="84"/>
  <c r="B9" i="83"/>
  <c r="E4" i="84"/>
  <c r="E5" i="84"/>
  <c r="E3" i="84"/>
  <c r="D4" i="84"/>
  <c r="E10" i="84" s="1"/>
  <c r="D5" i="84"/>
  <c r="F10" i="84" s="1"/>
  <c r="D3" i="84"/>
  <c r="D10" i="84" s="1"/>
  <c r="B5" i="83"/>
  <c r="B8" i="82"/>
  <c r="B6" i="82"/>
  <c r="B6" i="81"/>
  <c r="B8" i="74"/>
  <c r="B7" i="74"/>
  <c r="B6" i="74"/>
  <c r="B7" i="73"/>
  <c r="B6" i="73"/>
  <c r="B5" i="73"/>
  <c r="B12" i="80"/>
  <c r="B11" i="79"/>
  <c r="C8" i="79"/>
  <c r="C9" i="79" s="1"/>
  <c r="C10" i="79" s="1"/>
  <c r="C11" i="79" s="1"/>
  <c r="B8" i="79"/>
  <c r="A6" i="75"/>
  <c r="A7" i="75" s="1"/>
  <c r="A8" i="75" s="1"/>
  <c r="A9" i="75" s="1"/>
  <c r="A10" i="75" s="1"/>
  <c r="C12" i="80"/>
  <c r="G2" i="91" l="1"/>
  <c r="G5" i="91"/>
  <c r="G4" i="91"/>
  <c r="G3" i="91"/>
  <c r="C21" i="80"/>
  <c r="C22" i="80" s="1"/>
  <c r="C23" i="80" s="1"/>
  <c r="C24" i="80" s="1"/>
  <c r="C25" i="80" s="1"/>
  <c r="C26" i="80" s="1"/>
  <c r="C27" i="80" s="1"/>
  <c r="C28" i="80" s="1"/>
  <c r="C29" i="80" s="1"/>
  <c r="C30" i="80" s="1"/>
  <c r="C31" i="80" s="1"/>
  <c r="C32" i="80" s="1"/>
  <c r="C33" i="80" s="1"/>
  <c r="C34" i="80" s="1"/>
  <c r="C35" i="80" s="1"/>
  <c r="C36" i="80" s="1"/>
  <c r="C37" i="80" s="1"/>
  <c r="C38" i="80" s="1"/>
  <c r="C39" i="80" s="1"/>
  <c r="C40" i="80" s="1"/>
  <c r="C41" i="80" s="1"/>
  <c r="C10" i="90"/>
  <c r="C11" i="90" s="1"/>
  <c r="C12" i="90" s="1"/>
  <c r="C18" i="79"/>
  <c r="C19" i="79" s="1"/>
  <c r="D4" i="78"/>
  <c r="B22" i="85"/>
  <c r="B23" i="85" s="1"/>
  <c r="B13" i="75"/>
  <c r="C20" i="79" l="1"/>
  <c r="D20" i="79" s="1"/>
</calcChain>
</file>

<file path=xl/sharedStrings.xml><?xml version="1.0" encoding="utf-8"?>
<sst xmlns="http://schemas.openxmlformats.org/spreadsheetml/2006/main" count="271" uniqueCount="175">
  <si>
    <t>Project</t>
  </si>
  <si>
    <t>A</t>
  </si>
  <si>
    <t>B</t>
  </si>
  <si>
    <t>NPV</t>
  </si>
  <si>
    <t>IRR</t>
  </si>
  <si>
    <t>Year</t>
  </si>
  <si>
    <t>Discount rate, r</t>
  </si>
  <si>
    <t>Discount rate</t>
  </si>
  <si>
    <t>Project A</t>
  </si>
  <si>
    <t>Project B</t>
  </si>
  <si>
    <t>Cash flow</t>
  </si>
  <si>
    <t>Time</t>
  </si>
  <si>
    <t>[Note: Cash-flows start one year from today]</t>
  </si>
  <si>
    <t>NPV, r=6%</t>
  </si>
  <si>
    <t>NPV, r=4%</t>
  </si>
  <si>
    <t>PV of future cash flows</t>
  </si>
  <si>
    <t>NPV of project</t>
  </si>
  <si>
    <t>IRR of project</t>
  </si>
  <si>
    <t>Undertake?</t>
  </si>
  <si>
    <t>Section a.</t>
  </si>
  <si>
    <t xml:space="preserve">NPV </t>
  </si>
  <si>
    <t>IRR(1)</t>
  </si>
  <si>
    <t>IRR(2)</t>
  </si>
  <si>
    <t>Cost of capital, r</t>
  </si>
  <si>
    <t>Accept/reject?</t>
  </si>
  <si>
    <t>Part d:  to decide on a range of cost of capital to accept/reject, make a table of NPV for different r</t>
  </si>
  <si>
    <t>Investment</t>
  </si>
  <si>
    <t>Annual perpetual cash flow</t>
  </si>
  <si>
    <t>LEASE VERSUS PURCHASE WITH RESIDUAL VALUE</t>
  </si>
  <si>
    <t>Asset cost</t>
  </si>
  <si>
    <t>Annual lease payment</t>
  </si>
  <si>
    <t>&lt;-- Value of asset at end year 3</t>
  </si>
  <si>
    <t>Bank rate</t>
  </si>
  <si>
    <t>Purchase 
cash flow</t>
  </si>
  <si>
    <t>Lease
cash flow</t>
  </si>
  <si>
    <t>AUTO LEASE VERSUS PURCHASE</t>
  </si>
  <si>
    <t>MSRP</t>
  </si>
  <si>
    <t>&lt;-- Manufacturer's suggested retail price</t>
  </si>
  <si>
    <t>Capitalized cost</t>
  </si>
  <si>
    <t>&lt;-- Negotiated price, the actual price you pay for the car</t>
  </si>
  <si>
    <t>Destination charge</t>
  </si>
  <si>
    <t>&lt;-- Paid both by the lessee and the buyer</t>
  </si>
  <si>
    <t>Acquisition fee</t>
  </si>
  <si>
    <t>&lt;-- Paid only by the lessee</t>
  </si>
  <si>
    <t>Security deposit</t>
  </si>
  <si>
    <t>&lt;-- refunded at end of lease</t>
  </si>
  <si>
    <t>Monthly payment</t>
  </si>
  <si>
    <t>&lt;-- Dealer's lease offer</t>
  </si>
  <si>
    <t>Residual value after 2 years as % of MSRP</t>
  </si>
  <si>
    <t>Bank loan cost (annual)</t>
  </si>
  <si>
    <t>no</t>
    <phoneticPr fontId="13" type="noConversion"/>
  </si>
  <si>
    <t>interest rate</t>
    <phoneticPr fontId="13" type="noConversion"/>
  </si>
  <si>
    <t>asset cost</t>
    <phoneticPr fontId="13" type="noConversion"/>
  </si>
  <si>
    <t>lease payment times</t>
    <phoneticPr fontId="13" type="noConversion"/>
  </si>
  <si>
    <t>lease payment</t>
    <phoneticPr fontId="13" type="noConversion"/>
  </si>
  <si>
    <t>PV</t>
    <phoneticPr fontId="13" type="noConversion"/>
  </si>
  <si>
    <t>lease or buy</t>
    <phoneticPr fontId="13" type="noConversion"/>
  </si>
  <si>
    <t>lease</t>
    <phoneticPr fontId="13" type="noConversion"/>
  </si>
  <si>
    <t>lease or purchase</t>
    <phoneticPr fontId="13" type="noConversion"/>
  </si>
  <si>
    <t>largest lease payment</t>
    <phoneticPr fontId="13" type="noConversion"/>
  </si>
  <si>
    <t xml:space="preserve">marketing campaign cost </t>
  </si>
  <si>
    <t>discount rate</t>
    <phoneticPr fontId="13" type="noConversion"/>
  </si>
  <si>
    <t xml:space="preserve">additional annual cash flows </t>
    <phoneticPr fontId="13" type="noConversion"/>
  </si>
  <si>
    <t>additional annual cash flows PV</t>
    <phoneticPr fontId="13" type="noConversion"/>
  </si>
  <si>
    <t>should it undertake?</t>
    <phoneticPr fontId="13" type="noConversion"/>
  </si>
  <si>
    <t>should</t>
    <phoneticPr fontId="13" type="noConversion"/>
  </si>
  <si>
    <t>explain</t>
    <phoneticPr fontId="13" type="noConversion"/>
  </si>
  <si>
    <t>1500000 &gt; 1000000</t>
    <phoneticPr fontId="13" type="noConversion"/>
  </si>
  <si>
    <t>IRR</t>
    <phoneticPr fontId="13" type="noConversion"/>
  </si>
  <si>
    <t>Project</t>
    <phoneticPr fontId="13" type="noConversion"/>
  </si>
  <si>
    <t>A</t>
    <phoneticPr fontId="13" type="noConversion"/>
  </si>
  <si>
    <t>B</t>
    <phoneticPr fontId="13" type="noConversion"/>
  </si>
  <si>
    <t>C</t>
    <phoneticPr fontId="13" type="noConversion"/>
  </si>
  <si>
    <t>Cash Flow Today</t>
    <phoneticPr fontId="13" type="noConversion"/>
  </si>
  <si>
    <t>Cash Flow Next Year</t>
    <phoneticPr fontId="13" type="noConversion"/>
  </si>
  <si>
    <t>NPV</t>
    <phoneticPr fontId="13" type="noConversion"/>
  </si>
  <si>
    <t>choose only one project</t>
    <phoneticPr fontId="13" type="noConversion"/>
  </si>
  <si>
    <t>NPV r=5%</t>
    <phoneticPr fontId="13" type="noConversion"/>
  </si>
  <si>
    <t>choose when r=5%</t>
    <phoneticPr fontId="13" type="noConversion"/>
  </si>
  <si>
    <t>A - B</t>
    <phoneticPr fontId="13" type="noConversion"/>
  </si>
  <si>
    <t>A - C</t>
    <phoneticPr fontId="13" type="noConversion"/>
  </si>
  <si>
    <t>IRR of A - B</t>
    <phoneticPr fontId="13" type="noConversion"/>
  </si>
  <si>
    <t>IRR of A - C</t>
    <phoneticPr fontId="13" type="noConversion"/>
  </si>
  <si>
    <t>invest in Project A range</t>
    <phoneticPr fontId="13" type="noConversion"/>
  </si>
  <si>
    <t>0%-10%</t>
    <phoneticPr fontId="13" type="noConversion"/>
  </si>
  <si>
    <t>Section a.</t>
    <phoneticPr fontId="13" type="noConversion"/>
  </si>
  <si>
    <t>rank the two projects</t>
    <phoneticPr fontId="13" type="noConversion"/>
  </si>
  <si>
    <t>A &gt; B</t>
    <phoneticPr fontId="13" type="noConversion"/>
  </si>
  <si>
    <t>Section b.</t>
    <phoneticPr fontId="13" type="noConversion"/>
  </si>
  <si>
    <t>rank by IRR</t>
    <phoneticPr fontId="13" type="noConversion"/>
  </si>
  <si>
    <t>B &gt; A</t>
    <phoneticPr fontId="13" type="noConversion"/>
  </si>
  <si>
    <t>Section c.</t>
    <phoneticPr fontId="13" type="noConversion"/>
  </si>
  <si>
    <t>crossover rate</t>
    <phoneticPr fontId="13" type="noConversion"/>
  </si>
  <si>
    <t>Section d.</t>
    <phoneticPr fontId="13" type="noConversion"/>
  </si>
  <si>
    <t>because to make more money in PV</t>
    <phoneticPr fontId="13" type="noConversion"/>
  </si>
  <si>
    <t>current condition rented out</t>
    <phoneticPr fontId="13" type="noConversion"/>
  </si>
  <si>
    <t>renovation take time</t>
    <phoneticPr fontId="13" type="noConversion"/>
  </si>
  <si>
    <t>renovation cost today</t>
    <phoneticPr fontId="13" type="noConversion"/>
  </si>
  <si>
    <t>renovation additional cost per month</t>
    <phoneticPr fontId="13" type="noConversion"/>
  </si>
  <si>
    <t>after renovation rented out</t>
    <phoneticPr fontId="13" type="noConversion"/>
  </si>
  <si>
    <t>cost of capital</t>
    <phoneticPr fontId="13" type="noConversion"/>
  </si>
  <si>
    <t>NPV in current condition</t>
    <phoneticPr fontId="13" type="noConversion"/>
  </si>
  <si>
    <t>renovation cost NPV</t>
    <phoneticPr fontId="13" type="noConversion"/>
  </si>
  <si>
    <t>NPV after renovation a year ago</t>
    <phoneticPr fontId="13" type="noConversion"/>
  </si>
  <si>
    <t>NPV after renovation now</t>
    <phoneticPr fontId="13" type="noConversion"/>
  </si>
  <si>
    <t>total NPV after renovation</t>
    <phoneticPr fontId="13" type="noConversion"/>
  </si>
  <si>
    <t>should renovation</t>
    <phoneticPr fontId="13" type="noConversion"/>
  </si>
  <si>
    <t>yearly cost of capital</t>
    <phoneticPr fontId="13" type="noConversion"/>
  </si>
  <si>
    <t>monthly cost of capital</t>
    <phoneticPr fontId="13" type="noConversion"/>
  </si>
  <si>
    <t>diff</t>
    <phoneticPr fontId="13" type="noConversion"/>
  </si>
  <si>
    <t>MIRR</t>
    <phoneticPr fontId="13" type="noConversion"/>
  </si>
  <si>
    <t>reject</t>
    <phoneticPr fontId="13" type="noConversion"/>
  </si>
  <si>
    <t>accept</t>
    <phoneticPr fontId="13" type="noConversion"/>
  </si>
  <si>
    <t>range</t>
    <phoneticPr fontId="13" type="noConversion"/>
  </si>
  <si>
    <t>reinvestment or financing rate</t>
  </si>
  <si>
    <t>cost of capital</t>
  </si>
  <si>
    <t>A over B</t>
    <phoneticPr fontId="13" type="noConversion"/>
  </si>
  <si>
    <t>B over A</t>
    <phoneticPr fontId="13" type="noConversion"/>
  </si>
  <si>
    <t>reject all</t>
    <phoneticPr fontId="13" type="noConversion"/>
  </si>
  <si>
    <t>&gt;=13.33%</t>
    <phoneticPr fontId="13" type="noConversion"/>
  </si>
  <si>
    <t>Year 0</t>
    <phoneticPr fontId="13" type="noConversion"/>
  </si>
  <si>
    <t>Year 1</t>
    <phoneticPr fontId="13" type="noConversion"/>
  </si>
  <si>
    <t>Year 2</t>
  </si>
  <si>
    <t>Year 3</t>
  </si>
  <si>
    <t>Project A</t>
    <phoneticPr fontId="13" type="noConversion"/>
  </si>
  <si>
    <t>Project B</t>
    <phoneticPr fontId="13" type="noConversion"/>
  </si>
  <si>
    <t>Project A NPV</t>
    <phoneticPr fontId="13" type="noConversion"/>
  </si>
  <si>
    <t>Project B NPV</t>
    <phoneticPr fontId="13" type="noConversion"/>
  </si>
  <si>
    <t>An investor who requires a%0 rate of return wil be indifferent regarding the choice of project.</t>
  </si>
  <si>
    <t>An investor who requires a 17% rate of return wil necessarily prefer Project B.</t>
    <phoneticPr fontId="13" type="noConversion"/>
  </si>
  <si>
    <t>I cannot be determined which project an investor who requires a 15% rate of return wil choose without knowing the projects NPV.</t>
  </si>
  <si>
    <t>An investor who requires a 22% rate of return wil shy away from both projects.</t>
    <phoneticPr fontId="13" type="noConversion"/>
  </si>
  <si>
    <t>An investor who requires a 10% rate of return wil necessarily prefer Project A.</t>
    <phoneticPr fontId="13" type="noConversion"/>
  </si>
  <si>
    <t>Residual value, year 3</t>
    <phoneticPr fontId="13" type="noConversion"/>
  </si>
  <si>
    <t>Purchase is preferable</t>
    <phoneticPr fontId="13" type="noConversion"/>
  </si>
  <si>
    <t>Year</t>
    <phoneticPr fontId="13" type="noConversion"/>
  </si>
  <si>
    <t>Residual value, year 2</t>
    <phoneticPr fontId="13" type="noConversion"/>
  </si>
  <si>
    <t>&lt;-- Value of asset at end year 2</t>
    <phoneticPr fontId="13" type="noConversion"/>
  </si>
  <si>
    <t>monthly bank rate</t>
    <phoneticPr fontId="13" type="noConversion"/>
  </si>
  <si>
    <t>Month</t>
    <phoneticPr fontId="13" type="noConversion"/>
  </si>
  <si>
    <t>should lease</t>
    <phoneticPr fontId="13" type="noConversion"/>
  </si>
  <si>
    <t>Payment due at signing</t>
    <phoneticPr fontId="13" type="noConversion"/>
  </si>
  <si>
    <t>Lease residual value after 2 years</t>
    <phoneticPr fontId="13" type="noConversion"/>
  </si>
  <si>
    <t>Your estimated residual value</t>
    <phoneticPr fontId="13" type="noConversion"/>
  </si>
  <si>
    <t>&lt;-- Your guess</t>
    <phoneticPr fontId="13" type="noConversion"/>
  </si>
  <si>
    <t>Bank loan cost (month)</t>
    <phoneticPr fontId="13" type="noConversion"/>
  </si>
  <si>
    <t>should buy</t>
    <phoneticPr fontId="13" type="noConversion"/>
  </si>
  <si>
    <t>Porject</t>
    <phoneticPr fontId="13" type="noConversion"/>
  </si>
  <si>
    <t>D</t>
    <phoneticPr fontId="13" type="noConversion"/>
  </si>
  <si>
    <t>IRR of Project D.</t>
  </si>
  <si>
    <t>choose A</t>
    <phoneticPr fontId="13" type="noConversion"/>
  </si>
  <si>
    <t>Secion c.</t>
    <phoneticPr fontId="13" type="noConversion"/>
  </si>
  <si>
    <t>choose A B C</t>
    <phoneticPr fontId="13" type="noConversion"/>
  </si>
  <si>
    <t>NPV per cost</t>
    <phoneticPr fontId="13" type="noConversion"/>
  </si>
  <si>
    <t>$50 B and $150 A</t>
    <phoneticPr fontId="13" type="noConversion"/>
  </si>
  <si>
    <t>car cost</t>
    <phoneticPr fontId="13" type="noConversion"/>
  </si>
  <si>
    <t>car replaced period</t>
    <phoneticPr fontId="13" type="noConversion"/>
  </si>
  <si>
    <t>car residual value</t>
    <phoneticPr fontId="13" type="noConversion"/>
  </si>
  <si>
    <t>month</t>
    <phoneticPr fontId="13" type="noConversion"/>
  </si>
  <si>
    <t>cost</t>
    <phoneticPr fontId="13" type="noConversion"/>
  </si>
  <si>
    <t>should but because 314.99 &lt; 350</t>
    <phoneticPr fontId="13" type="noConversion"/>
  </si>
  <si>
    <t>Registration and city taxes</t>
  </si>
  <si>
    <t>Insurance</t>
    <phoneticPr fontId="13" type="noConversion"/>
  </si>
  <si>
    <t>Fuel</t>
    <phoneticPr fontId="13" type="noConversion"/>
  </si>
  <si>
    <t>Repairs (first 3years are paid by the dealer)</t>
    <phoneticPr fontId="13" type="noConversion"/>
  </si>
  <si>
    <t>Market value of car at the end of the year</t>
    <phoneticPr fontId="13" type="noConversion"/>
  </si>
  <si>
    <t>PV cost</t>
    <phoneticPr fontId="13" type="noConversion"/>
  </si>
  <si>
    <t>PV market value</t>
    <phoneticPr fontId="13" type="noConversion"/>
  </si>
  <si>
    <t>total cost PV</t>
    <phoneticPr fontId="13" type="noConversion"/>
  </si>
  <si>
    <t>EAC</t>
    <phoneticPr fontId="13" type="noConversion"/>
  </si>
  <si>
    <t>3 year</t>
    <phoneticPr fontId="13" type="noConversion"/>
  </si>
  <si>
    <t>E</t>
    <phoneticPr fontId="13" type="noConversion"/>
  </si>
  <si>
    <t>PI</t>
    <phoneticPr fontId="13" type="noConversion"/>
  </si>
  <si>
    <t>EAV</t>
    <phoneticPr fontId="13" type="noConversion"/>
  </si>
  <si>
    <t>$200 C + $600 B + $200 E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</si>
</sst>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&quot;¥&quot;#,##0.00_);[Red]\(&quot;¥&quot;#,##0.00\)"/>
    <numFmt numFmtId="176" formatCode="_(&quot;$&quot;* #,##0.00_);_(&quot;$&quot;* \(#,##0.00\);_(&quot;$&quot;* &quot;-&quot;??_);_(@_)"/>
    <numFmt numFmtId="177" formatCode="0.0%"/>
    <numFmt numFmtId="178" formatCode="[$$-409]#,##0.00"/>
    <numFmt numFmtId="179" formatCode="0.000%"/>
    <numFmt numFmtId="180" formatCode="0.0000000%"/>
    <numFmt numFmtId="181" formatCode="0.000000_);[Red]\(0.000000\)"/>
    <numFmt numFmtId="182" formatCode="#,##0.0000"/>
    <numFmt numFmtId="189" formatCode="0.000"/>
    <numFmt numFmtId="194" formatCode="0.0000%"/>
    <numFmt numFmtId="202" formatCode="&quot;¥&quot;#,##0.00000_);[Red]\(&quot;¥&quot;#,##0.00000\)"/>
  </numFmts>
  <fonts count="14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0"/>
      <name val="宋体"/>
      <family val="1"/>
      <scheme val="minor"/>
    </font>
    <font>
      <sz val="10"/>
      <name val="Arial"/>
      <family val="2"/>
    </font>
    <font>
      <sz val="11"/>
      <color theme="1"/>
      <name val="Agency FB"/>
      <family val="2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b/>
      <sz val="11"/>
      <color theme="1"/>
      <name val="宋体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1">
    <xf numFmtId="0" fontId="0" fillId="0" borderId="0"/>
    <xf numFmtId="0" fontId="4" fillId="0" borderId="0"/>
    <xf numFmtId="176" fontId="5" fillId="0" borderId="0" applyFont="0" applyFill="0" applyBorder="0" applyAlignment="0" applyProtection="0"/>
    <xf numFmtId="0" fontId="6" fillId="4" borderId="0" applyNumberFormat="0" applyBorder="0" applyAlignment="0" applyProtection="0"/>
    <xf numFmtId="0" fontId="7" fillId="2" borderId="1" applyNumberFormat="0" applyAlignment="0" applyProtection="0"/>
    <xf numFmtId="0" fontId="8" fillId="3" borderId="1" applyNumberFormat="0" applyAlignment="0" applyProtection="0"/>
    <xf numFmtId="0" fontId="1" fillId="0" borderId="0"/>
    <xf numFmtId="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2" fillId="0" borderId="0" applyFont="0" applyFill="0" applyBorder="0" applyAlignment="0" applyProtection="0">
      <alignment vertical="center"/>
    </xf>
  </cellStyleXfs>
  <cellXfs count="63">
    <xf numFmtId="0" fontId="0" fillId="0" borderId="0" xfId="0"/>
    <xf numFmtId="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9" fontId="0" fillId="0" borderId="0" xfId="0" applyNumberFormat="1"/>
    <xf numFmtId="4" fontId="0" fillId="0" borderId="0" xfId="0" applyNumberFormat="1"/>
    <xf numFmtId="4" fontId="0" fillId="5" borderId="0" xfId="0" applyNumberFormat="1" applyFill="1"/>
    <xf numFmtId="3" fontId="0" fillId="0" borderId="0" xfId="0" applyNumberFormat="1"/>
    <xf numFmtId="0" fontId="1" fillId="0" borderId="0" xfId="6"/>
    <xf numFmtId="10" fontId="1" fillId="0" borderId="0" xfId="6" applyNumberFormat="1"/>
    <xf numFmtId="9" fontId="1" fillId="0" borderId="0" xfId="6" applyNumberFormat="1"/>
    <xf numFmtId="0" fontId="2" fillId="0" borderId="0" xfId="6" applyFont="1"/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177" fontId="0" fillId="5" borderId="0" xfId="0" applyNumberFormat="1" applyFill="1"/>
    <xf numFmtId="0" fontId="1" fillId="0" borderId="0" xfId="9" applyAlignment="1">
      <alignment horizontal="center"/>
    </xf>
    <xf numFmtId="0" fontId="1" fillId="0" borderId="0" xfId="9"/>
    <xf numFmtId="178" fontId="1" fillId="0" borderId="0" xfId="6" applyNumberFormat="1"/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3" fontId="11" fillId="0" borderId="0" xfId="0" applyNumberFormat="1" applyFont="1" applyAlignment="1">
      <alignment horizontal="right" vertical="center"/>
    </xf>
    <xf numFmtId="4" fontId="11" fillId="0" borderId="0" xfId="0" applyNumberFormat="1" applyFont="1" applyAlignment="1">
      <alignment horizontal="right" vertical="center"/>
    </xf>
    <xf numFmtId="3" fontId="11" fillId="0" borderId="0" xfId="0" applyNumberFormat="1" applyFont="1" applyAlignment="1">
      <alignment horizontal="left" vertical="center"/>
    </xf>
    <xf numFmtId="10" fontId="11" fillId="0" borderId="0" xfId="0" applyNumberFormat="1" applyFont="1" applyAlignment="1">
      <alignment horizontal="right" vertical="center"/>
    </xf>
    <xf numFmtId="9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 wrapText="1"/>
    </xf>
    <xf numFmtId="0" fontId="10" fillId="0" borderId="0" xfId="0" applyFont="1" applyAlignment="1">
      <alignment horizontal="center" wrapText="1"/>
    </xf>
    <xf numFmtId="0" fontId="4" fillId="0" borderId="0" xfId="1"/>
    <xf numFmtId="3" fontId="4" fillId="0" borderId="0" xfId="1" applyNumberFormat="1"/>
    <xf numFmtId="9" fontId="4" fillId="0" borderId="0" xfId="1" applyNumberFormat="1"/>
    <xf numFmtId="0" fontId="2" fillId="0" borderId="0" xfId="1" applyFont="1" applyAlignment="1">
      <alignment horizontal="center"/>
    </xf>
    <xf numFmtId="0" fontId="2" fillId="0" borderId="0" xfId="1" applyFont="1" applyAlignment="1">
      <alignment horizontal="center" wrapText="1"/>
    </xf>
    <xf numFmtId="0" fontId="4" fillId="0" borderId="0" xfId="1" applyAlignment="1">
      <alignment horizontal="center"/>
    </xf>
    <xf numFmtId="4" fontId="4" fillId="0" borderId="0" xfId="1" applyNumberFormat="1"/>
    <xf numFmtId="9" fontId="1" fillId="0" borderId="0" xfId="8"/>
    <xf numFmtId="0" fontId="1" fillId="0" borderId="0" xfId="1" applyFont="1"/>
    <xf numFmtId="8" fontId="0" fillId="0" borderId="0" xfId="0" applyNumberFormat="1"/>
    <xf numFmtId="179" fontId="0" fillId="0" borderId="0" xfId="0" applyNumberFormat="1"/>
    <xf numFmtId="0" fontId="1" fillId="5" borderId="0" xfId="0" applyFont="1" applyFill="1"/>
    <xf numFmtId="0" fontId="1" fillId="0" borderId="0" xfId="0" applyFont="1"/>
    <xf numFmtId="180" fontId="0" fillId="0" borderId="0" xfId="0" applyNumberFormat="1"/>
    <xf numFmtId="8" fontId="1" fillId="0" borderId="0" xfId="0" applyNumberFormat="1" applyFont="1"/>
    <xf numFmtId="179" fontId="1" fillId="0" borderId="0" xfId="6" applyNumberFormat="1"/>
    <xf numFmtId="181" fontId="0" fillId="0" borderId="0" xfId="0" applyNumberFormat="1"/>
    <xf numFmtId="179" fontId="0" fillId="0" borderId="0" xfId="10" applyNumberFormat="1" applyFont="1" applyAlignment="1"/>
    <xf numFmtId="10" fontId="11" fillId="0" borderId="0" xfId="10" applyNumberFormat="1" applyFont="1" applyAlignment="1">
      <alignment horizontal="right" vertical="center"/>
    </xf>
    <xf numFmtId="182" fontId="11" fillId="0" borderId="0" xfId="0" applyNumberFormat="1" applyFont="1" applyAlignment="1">
      <alignment horizontal="right" vertical="center"/>
    </xf>
    <xf numFmtId="0" fontId="3" fillId="0" borderId="0" xfId="1" applyFont="1" applyAlignment="1">
      <alignment horizontal="center"/>
    </xf>
    <xf numFmtId="0" fontId="1" fillId="0" borderId="0" xfId="0" applyFont="1" applyAlignment="1">
      <alignment horizontal="center"/>
    </xf>
    <xf numFmtId="10" fontId="0" fillId="0" borderId="0" xfId="0" applyNumberFormat="1"/>
    <xf numFmtId="10" fontId="0" fillId="0" borderId="0" xfId="10" applyNumberFormat="1" applyFont="1" applyAlignment="1"/>
    <xf numFmtId="9" fontId="1" fillId="0" borderId="0" xfId="0" applyNumberFormat="1" applyFont="1"/>
    <xf numFmtId="10" fontId="1" fillId="0" borderId="0" xfId="0" applyNumberFormat="1" applyFont="1"/>
    <xf numFmtId="189" fontId="0" fillId="0" borderId="0" xfId="10" applyNumberFormat="1" applyFont="1" applyAlignment="1"/>
    <xf numFmtId="0" fontId="0" fillId="0" borderId="0" xfId="0" applyNumberFormat="1"/>
    <xf numFmtId="189" fontId="0" fillId="0" borderId="0" xfId="0" applyNumberFormat="1"/>
    <xf numFmtId="194" fontId="4" fillId="0" borderId="0" xfId="1" applyNumberFormat="1"/>
    <xf numFmtId="179" fontId="4" fillId="0" borderId="0" xfId="10" applyNumberFormat="1" applyFont="1" applyAlignment="1"/>
    <xf numFmtId="8" fontId="4" fillId="0" borderId="0" xfId="1" applyNumberFormat="1"/>
    <xf numFmtId="189" fontId="1" fillId="0" borderId="0" xfId="0" applyNumberFormat="1" applyFont="1"/>
    <xf numFmtId="194" fontId="0" fillId="0" borderId="0" xfId="10" applyNumberFormat="1" applyFont="1" applyAlignment="1"/>
    <xf numFmtId="179" fontId="1" fillId="0" borderId="0" xfId="0" applyNumberFormat="1" applyFont="1"/>
    <xf numFmtId="202" fontId="0" fillId="0" borderId="0" xfId="0" applyNumberFormat="1"/>
  </cellXfs>
  <cellStyles count="11">
    <cellStyle name="20% - Accent3 2" xfId="3" xr:uid="{00000000-0005-0000-0000-000000000000}"/>
    <cellStyle name="Calculation 2" xfId="5" xr:uid="{00000000-0005-0000-0000-000001000000}"/>
    <cellStyle name="Comma 2" xfId="7" xr:uid="{00000000-0005-0000-0000-000002000000}"/>
    <cellStyle name="Currency 2" xfId="2" xr:uid="{00000000-0005-0000-0000-000003000000}"/>
    <cellStyle name="Input 2" xfId="4" xr:uid="{00000000-0005-0000-0000-000004000000}"/>
    <cellStyle name="Normal 2" xfId="1" xr:uid="{00000000-0005-0000-0000-000006000000}"/>
    <cellStyle name="Normal 3" xfId="6" xr:uid="{00000000-0005-0000-0000-000007000000}"/>
    <cellStyle name="Normal 3 2" xfId="9" xr:uid="{00000000-0005-0000-0000-000008000000}"/>
    <cellStyle name="Percent 2" xfId="8" xr:uid="{00000000-0005-0000-0000-000009000000}"/>
    <cellStyle name="百分比" xfId="10" builtinId="5"/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A NPV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'EoC Exercise 6 Template'!$C$11:$C$31</c:f>
              <c:numCache>
                <c:formatCode>0%</c:formatCode>
                <c:ptCount val="2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</c:numCache>
            </c:numRef>
          </c:cat>
          <c:val>
            <c:numRef>
              <c:f>'EoC Exercise 6 Template'!$D$11:$D$31</c:f>
              <c:numCache>
                <c:formatCode>General</c:formatCode>
                <c:ptCount val="21"/>
                <c:pt idx="0">
                  <c:v>20</c:v>
                </c:pt>
                <c:pt idx="1">
                  <c:v>19.603960396039604</c:v>
                </c:pt>
                <c:pt idx="2">
                  <c:v>19.215686274509807</c:v>
                </c:pt>
                <c:pt idx="3">
                  <c:v>18.834951456310677</c:v>
                </c:pt>
                <c:pt idx="4">
                  <c:v>18.46153846153846</c:v>
                </c:pt>
                <c:pt idx="5">
                  <c:v>18.095238095238095</c:v>
                </c:pt>
                <c:pt idx="6">
                  <c:v>17.735849056603769</c:v>
                </c:pt>
                <c:pt idx="7">
                  <c:v>17.383177570093459</c:v>
                </c:pt>
                <c:pt idx="8">
                  <c:v>17.037037037037038</c:v>
                </c:pt>
                <c:pt idx="9">
                  <c:v>16.697247706422019</c:v>
                </c:pt>
                <c:pt idx="10">
                  <c:v>16.36363636363636</c:v>
                </c:pt>
                <c:pt idx="11">
                  <c:v>16.03603603603603</c:v>
                </c:pt>
                <c:pt idx="12">
                  <c:v>15.714285714285708</c:v>
                </c:pt>
                <c:pt idx="13">
                  <c:v>15.398230088495581</c:v>
                </c:pt>
                <c:pt idx="14">
                  <c:v>15.087719298245609</c:v>
                </c:pt>
                <c:pt idx="15">
                  <c:v>14.782608695652179</c:v>
                </c:pt>
                <c:pt idx="16">
                  <c:v>14.482758620689658</c:v>
                </c:pt>
                <c:pt idx="17">
                  <c:v>14.188034188034187</c:v>
                </c:pt>
                <c:pt idx="18">
                  <c:v>13.898305084745765</c:v>
                </c:pt>
                <c:pt idx="19">
                  <c:v>13.613445378151262</c:v>
                </c:pt>
                <c:pt idx="20">
                  <c:v>13.333333333333336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4F-E340-938F-3DDCD65944CD}"/>
            </c:ext>
          </c:extLst>
        </c:ser>
        <c:ser>
          <c:idx val="2"/>
          <c:order val="1"/>
          <c:tx>
            <c:v>B NPV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'EoC Exercise 6 Template'!$C$11:$C$31</c:f>
              <c:numCache>
                <c:formatCode>0%</c:formatCode>
                <c:ptCount val="2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</c:numCache>
            </c:numRef>
          </c:cat>
          <c:val>
            <c:numRef>
              <c:f>'EoC Exercise 6 Template'!$E$11:$E$31</c:f>
              <c:numCache>
                <c:formatCode>General</c:formatCode>
                <c:ptCount val="21"/>
                <c:pt idx="0">
                  <c:v>15</c:v>
                </c:pt>
                <c:pt idx="1">
                  <c:v>15.148514851485148</c:v>
                </c:pt>
                <c:pt idx="2">
                  <c:v>15.294117647058824</c:v>
                </c:pt>
                <c:pt idx="3">
                  <c:v>15.436893203883496</c:v>
                </c:pt>
                <c:pt idx="4">
                  <c:v>15.576923076923077</c:v>
                </c:pt>
                <c:pt idx="5">
                  <c:v>15.714285714285715</c:v>
                </c:pt>
                <c:pt idx="6">
                  <c:v>15.849056603773585</c:v>
                </c:pt>
                <c:pt idx="7">
                  <c:v>15.981308411214954</c:v>
                </c:pt>
                <c:pt idx="8">
                  <c:v>16.111111111111114</c:v>
                </c:pt>
                <c:pt idx="9">
                  <c:v>16.238532110091747</c:v>
                </c:pt>
                <c:pt idx="10">
                  <c:v>16.363636363636367</c:v>
                </c:pt>
                <c:pt idx="11">
                  <c:v>16.486486486486488</c:v>
                </c:pt>
                <c:pt idx="12">
                  <c:v>16.607142857142858</c:v>
                </c:pt>
                <c:pt idx="13">
                  <c:v>16.725663716814157</c:v>
                </c:pt>
                <c:pt idx="14">
                  <c:v>16.842105263157897</c:v>
                </c:pt>
                <c:pt idx="15">
                  <c:v>16.956521739130434</c:v>
                </c:pt>
                <c:pt idx="16">
                  <c:v>17.068965517241381</c:v>
                </c:pt>
                <c:pt idx="17">
                  <c:v>17.179487179487179</c:v>
                </c:pt>
                <c:pt idx="18">
                  <c:v>17.288135593220339</c:v>
                </c:pt>
                <c:pt idx="19">
                  <c:v>17.394957983193276</c:v>
                </c:pt>
                <c:pt idx="20">
                  <c:v>17.5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4F-E340-938F-3DDCD65944CD}"/>
            </c:ext>
          </c:extLst>
        </c:ser>
        <c:ser>
          <c:idx val="3"/>
          <c:order val="2"/>
          <c:tx>
            <c:v>C NPV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'EoC Exercise 6 Template'!$C$11:$C$31</c:f>
              <c:numCache>
                <c:formatCode>0%</c:formatCode>
                <c:ptCount val="2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</c:numCache>
            </c:numRef>
          </c:cat>
          <c:val>
            <c:numRef>
              <c:f>'EoC Exercise 6 Template'!$F$11:$F$31</c:f>
              <c:numCache>
                <c:formatCode>General</c:formatCode>
                <c:ptCount val="21"/>
                <c:pt idx="0">
                  <c:v>17</c:v>
                </c:pt>
                <c:pt idx="1">
                  <c:v>16.900990099009903</c:v>
                </c:pt>
                <c:pt idx="2">
                  <c:v>16.803921568627452</c:v>
                </c:pt>
                <c:pt idx="3">
                  <c:v>16.708737864077669</c:v>
                </c:pt>
                <c:pt idx="4">
                  <c:v>16.615384615384613</c:v>
                </c:pt>
                <c:pt idx="5">
                  <c:v>16.523809523809526</c:v>
                </c:pt>
                <c:pt idx="6">
                  <c:v>16.433962264150942</c:v>
                </c:pt>
                <c:pt idx="7">
                  <c:v>16.345794392523366</c:v>
                </c:pt>
                <c:pt idx="8">
                  <c:v>16.25925925925926</c:v>
                </c:pt>
                <c:pt idx="9">
                  <c:v>16.174311926605505</c:v>
                </c:pt>
                <c:pt idx="10">
                  <c:v>16.09090909090909</c:v>
                </c:pt>
                <c:pt idx="11">
                  <c:v>16.009009009009006</c:v>
                </c:pt>
                <c:pt idx="12">
                  <c:v>15.928571428571427</c:v>
                </c:pt>
                <c:pt idx="13">
                  <c:v>15.849557522123895</c:v>
                </c:pt>
                <c:pt idx="14">
                  <c:v>15.771929824561402</c:v>
                </c:pt>
                <c:pt idx="15">
                  <c:v>15.695652173913045</c:v>
                </c:pt>
                <c:pt idx="16">
                  <c:v>15.620689655172415</c:v>
                </c:pt>
                <c:pt idx="17">
                  <c:v>15.547008547008547</c:v>
                </c:pt>
                <c:pt idx="18">
                  <c:v>15.474576271186441</c:v>
                </c:pt>
                <c:pt idx="19">
                  <c:v>15.403361344537815</c:v>
                </c:pt>
                <c:pt idx="20">
                  <c:v>15.333333333333334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4F-E340-938F-3DDCD65944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531264"/>
        <c:axId val="469532992"/>
      </c:lineChart>
      <c:catAx>
        <c:axId val="469531264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9532992"/>
        <c:crosses val="autoZero"/>
        <c:auto val="1"/>
        <c:lblAlgn val="ctr"/>
        <c:lblOffset val="100"/>
        <c:noMultiLvlLbl val="0"/>
      </c:catAx>
      <c:valAx>
        <c:axId val="46953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953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'EoC Exercise 13 Template'!$A$8:$A$22</c:f>
              <c:numCache>
                <c:formatCode>0%</c:formatCode>
                <c:ptCount val="15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0.22</c:v>
                </c:pt>
                <c:pt idx="11">
                  <c:v>0.24</c:v>
                </c:pt>
                <c:pt idx="12">
                  <c:v>0.26</c:v>
                </c:pt>
                <c:pt idx="13">
                  <c:v>0.28000000000000003</c:v>
                </c:pt>
                <c:pt idx="14">
                  <c:v>0.3</c:v>
                </c:pt>
              </c:numCache>
            </c:numRef>
          </c:cat>
          <c:val>
            <c:numRef>
              <c:f>'EoC Exercise 13 Template'!$B$8:$B$22</c:f>
              <c:numCache>
                <c:formatCode>General</c:formatCode>
                <c:ptCount val="15"/>
                <c:pt idx="0">
                  <c:v>4000</c:v>
                </c:pt>
                <c:pt idx="1">
                  <c:v>1500</c:v>
                </c:pt>
                <c:pt idx="2">
                  <c:v>666.66666666666674</c:v>
                </c:pt>
                <c:pt idx="3">
                  <c:v>250</c:v>
                </c:pt>
                <c:pt idx="4">
                  <c:v>0</c:v>
                </c:pt>
                <c:pt idx="5">
                  <c:v>-166.66666666666663</c:v>
                </c:pt>
                <c:pt idx="6">
                  <c:v>-285.71428571428578</c:v>
                </c:pt>
                <c:pt idx="7">
                  <c:v>-375</c:v>
                </c:pt>
                <c:pt idx="8">
                  <c:v>-444.44444444444446</c:v>
                </c:pt>
                <c:pt idx="9">
                  <c:v>-500</c:v>
                </c:pt>
                <c:pt idx="10">
                  <c:v>-545.4545454545455</c:v>
                </c:pt>
                <c:pt idx="11">
                  <c:v>-583.33333333333326</c:v>
                </c:pt>
                <c:pt idx="12">
                  <c:v>-615.38461538461547</c:v>
                </c:pt>
                <c:pt idx="13">
                  <c:v>-642.85714285714289</c:v>
                </c:pt>
                <c:pt idx="14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20-3044-812B-1966FC7EDCBE}"/>
            </c:ext>
          </c:extLst>
        </c:ser>
        <c:ser>
          <c:idx val="1"/>
          <c:order val="1"/>
          <c:tx>
            <c:v>B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'EoC Exercise 13 Template'!$A$8:$A$22</c:f>
              <c:numCache>
                <c:formatCode>0%</c:formatCode>
                <c:ptCount val="15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0.22</c:v>
                </c:pt>
                <c:pt idx="11">
                  <c:v>0.24</c:v>
                </c:pt>
                <c:pt idx="12">
                  <c:v>0.26</c:v>
                </c:pt>
                <c:pt idx="13">
                  <c:v>0.28000000000000003</c:v>
                </c:pt>
                <c:pt idx="14">
                  <c:v>0.3</c:v>
                </c:pt>
              </c:numCache>
            </c:numRef>
          </c:cat>
          <c:val>
            <c:numRef>
              <c:f>'EoC Exercise 13 Template'!$C$8:$C$22</c:f>
              <c:numCache>
                <c:formatCode>General</c:formatCode>
                <c:ptCount val="15"/>
                <c:pt idx="0">
                  <c:v>3400</c:v>
                </c:pt>
                <c:pt idx="1">
                  <c:v>1400</c:v>
                </c:pt>
                <c:pt idx="2">
                  <c:v>733.33333333333348</c:v>
                </c:pt>
                <c:pt idx="3">
                  <c:v>400</c:v>
                </c:pt>
                <c:pt idx="4">
                  <c:v>200</c:v>
                </c:pt>
                <c:pt idx="5">
                  <c:v>66.666666666666742</c:v>
                </c:pt>
                <c:pt idx="6">
                  <c:v>-28.571428571428669</c:v>
                </c:pt>
                <c:pt idx="7">
                  <c:v>-100</c:v>
                </c:pt>
                <c:pt idx="8">
                  <c:v>-155.55555555555554</c:v>
                </c:pt>
                <c:pt idx="9">
                  <c:v>-200</c:v>
                </c:pt>
                <c:pt idx="10">
                  <c:v>-236.36363636363637</c:v>
                </c:pt>
                <c:pt idx="11">
                  <c:v>-266.66666666666663</c:v>
                </c:pt>
                <c:pt idx="12">
                  <c:v>-292.30769230769232</c:v>
                </c:pt>
                <c:pt idx="13">
                  <c:v>-314.28571428571433</c:v>
                </c:pt>
                <c:pt idx="14">
                  <c:v>-333.33333333333331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20-3044-812B-1966FC7ED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1593744"/>
        <c:axId val="891595472"/>
      </c:lineChart>
      <c:catAx>
        <c:axId val="891593744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91595472"/>
        <c:crosses val="autoZero"/>
        <c:auto val="1"/>
        <c:lblAlgn val="ctr"/>
        <c:lblOffset val="100"/>
        <c:noMultiLvlLbl val="0"/>
      </c:catAx>
      <c:valAx>
        <c:axId val="89159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91593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196849</xdr:colOff>
      <xdr:row>8</xdr:row>
      <xdr:rowOff>57150</xdr:rowOff>
    </xdr:from>
    <xdr:to>
      <xdr:col>17</xdr:col>
      <xdr:colOff>821266</xdr:colOff>
      <xdr:row>43</xdr:row>
      <xdr:rowOff>101600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F7959C0C-B9AE-AEBF-801E-F0DCBAE901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755650</xdr:colOff>
      <xdr:row>3</xdr:row>
      <xdr:rowOff>114300</xdr:rowOff>
    </xdr:from>
    <xdr:to>
      <xdr:col>21</xdr:col>
      <xdr:colOff>622300</xdr:colOff>
      <xdr:row>46</xdr:row>
      <xdr:rowOff>128270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27DB1A1-6F9F-7C27-4CE4-351657263C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7"/>
  <sheetViews>
    <sheetView workbookViewId="0">
      <selection activeCell="B7" sqref="B7"/>
    </sheetView>
  </sheetViews>
  <sheetFormatPr baseColWidth="10" defaultColWidth="8.83203125" defaultRowHeight="13"/>
  <cols>
    <col min="1" max="1" width="14" bestFit="1" customWidth="1"/>
  </cols>
  <sheetData>
    <row r="1" spans="1:7" ht="14">
      <c r="A1" s="11" t="s">
        <v>11</v>
      </c>
      <c r="B1" s="12">
        <v>1</v>
      </c>
      <c r="C1" s="12">
        <v>2</v>
      </c>
      <c r="D1" s="12">
        <v>3</v>
      </c>
      <c r="E1" s="12">
        <v>4</v>
      </c>
      <c r="F1" s="12">
        <v>5</v>
      </c>
      <c r="G1" s="12">
        <v>6</v>
      </c>
    </row>
    <row r="2" spans="1:7" ht="14">
      <c r="A2" s="11" t="s">
        <v>10</v>
      </c>
      <c r="B2">
        <v>-1000</v>
      </c>
      <c r="C2">
        <v>100</v>
      </c>
      <c r="D2">
        <v>200</v>
      </c>
      <c r="E2">
        <v>300</v>
      </c>
      <c r="F2">
        <v>300</v>
      </c>
      <c r="G2">
        <v>300</v>
      </c>
    </row>
    <row r="4" spans="1:7">
      <c r="A4" t="s">
        <v>12</v>
      </c>
    </row>
    <row r="5" spans="1:7">
      <c r="A5" t="s">
        <v>13</v>
      </c>
      <c r="B5" s="4">
        <f>NPV(6%,B2:G2)</f>
        <v>-13.179012844083855</v>
      </c>
    </row>
    <row r="6" spans="1:7">
      <c r="A6" t="s">
        <v>14</v>
      </c>
      <c r="B6" s="36">
        <f>NPV(4%,B2:G2)</f>
        <v>48.830178553263544</v>
      </c>
    </row>
    <row r="7" spans="1:7">
      <c r="A7" t="s">
        <v>4</v>
      </c>
      <c r="B7" s="37">
        <f>IRR(B2:G2)</f>
        <v>5.5527549578568758E-2</v>
      </c>
    </row>
  </sheetData>
  <phoneticPr fontId="1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9"/>
  <sheetViews>
    <sheetView workbookViewId="0">
      <selection activeCell="B10" sqref="B10"/>
    </sheetView>
  </sheetViews>
  <sheetFormatPr baseColWidth="10" defaultColWidth="8.83203125" defaultRowHeight="13"/>
  <cols>
    <col min="1" max="1" width="20" bestFit="1" customWidth="1"/>
    <col min="2" max="9" width="7.5" customWidth="1"/>
  </cols>
  <sheetData>
    <row r="1" spans="1:9">
      <c r="A1" t="s">
        <v>6</v>
      </c>
      <c r="B1" s="3">
        <v>0.25</v>
      </c>
    </row>
    <row r="3" spans="1:9" s="13" customFormat="1" ht="14">
      <c r="A3" s="11" t="s">
        <v>5</v>
      </c>
      <c r="B3" s="12">
        <v>0</v>
      </c>
      <c r="C3" s="12">
        <v>1</v>
      </c>
      <c r="D3" s="12">
        <v>2</v>
      </c>
      <c r="E3" s="12">
        <v>3</v>
      </c>
      <c r="F3" s="12">
        <v>4</v>
      </c>
      <c r="G3" s="12">
        <v>5</v>
      </c>
      <c r="H3" s="12">
        <v>6</v>
      </c>
      <c r="I3" s="12">
        <v>7</v>
      </c>
    </row>
    <row r="4" spans="1:9">
      <c r="A4" s="2" t="s">
        <v>10</v>
      </c>
      <c r="B4" s="6">
        <v>-1000</v>
      </c>
      <c r="C4">
        <v>100</v>
      </c>
      <c r="D4">
        <v>200</v>
      </c>
      <c r="E4">
        <v>300</v>
      </c>
      <c r="F4">
        <v>400</v>
      </c>
      <c r="G4">
        <v>500</v>
      </c>
      <c r="H4">
        <v>600</v>
      </c>
      <c r="I4">
        <v>700</v>
      </c>
    </row>
    <row r="6" spans="1:9">
      <c r="A6" t="s">
        <v>15</v>
      </c>
      <c r="B6" s="5">
        <f>NPV(B1,C4:I4)</f>
        <v>993.36703999999986</v>
      </c>
    </row>
    <row r="7" spans="1:9">
      <c r="A7" t="s">
        <v>16</v>
      </c>
      <c r="B7" s="5">
        <f>B4+B6</f>
        <v>-6.6329600000001392</v>
      </c>
    </row>
    <row r="8" spans="1:9">
      <c r="A8" t="s">
        <v>17</v>
      </c>
      <c r="B8" s="14">
        <f>IRR(B4:I4)</f>
        <v>0.24805499918487084</v>
      </c>
    </row>
    <row r="9" spans="1:9">
      <c r="A9" t="s">
        <v>18</v>
      </c>
      <c r="B9" s="38" t="s">
        <v>50</v>
      </c>
    </row>
  </sheetData>
  <phoneticPr fontId="1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74E1B-E30F-5849-BC28-E974292AD36E}">
  <dimension ref="A1:B7"/>
  <sheetViews>
    <sheetView workbookViewId="0">
      <selection sqref="A1:B8"/>
    </sheetView>
  </sheetViews>
  <sheetFormatPr baseColWidth="10" defaultRowHeight="13"/>
  <cols>
    <col min="1" max="1" width="18.5" bestFit="1" customWidth="1"/>
  </cols>
  <sheetData>
    <row r="1" spans="1:2">
      <c r="A1" s="39" t="s">
        <v>51</v>
      </c>
      <c r="B1" s="3">
        <v>0.1</v>
      </c>
    </row>
    <row r="2" spans="1:2">
      <c r="A2" s="39" t="s">
        <v>52</v>
      </c>
      <c r="B2">
        <v>15000</v>
      </c>
    </row>
    <row r="3" spans="1:2">
      <c r="A3" s="39" t="s">
        <v>53</v>
      </c>
      <c r="B3">
        <v>4</v>
      </c>
    </row>
    <row r="4" spans="1:2">
      <c r="A4" s="39" t="s">
        <v>54</v>
      </c>
      <c r="B4">
        <v>4000</v>
      </c>
    </row>
    <row r="6" spans="1:2">
      <c r="A6" s="39" t="s">
        <v>55</v>
      </c>
      <c r="B6" s="36">
        <f>PV(B1,B3,-B4,0,1)</f>
        <v>13947.407963936899</v>
      </c>
    </row>
    <row r="7" spans="1:2">
      <c r="A7" s="39" t="s">
        <v>56</v>
      </c>
      <c r="B7" s="39" t="s">
        <v>57</v>
      </c>
    </row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B2B13-2EC9-B145-A9EB-67DC980F8AB2}">
  <dimension ref="A1:B8"/>
  <sheetViews>
    <sheetView workbookViewId="0">
      <selection activeCell="C9" sqref="C9"/>
    </sheetView>
  </sheetViews>
  <sheetFormatPr baseColWidth="10" defaultRowHeight="13"/>
  <cols>
    <col min="1" max="1" width="18.5" bestFit="1" customWidth="1"/>
  </cols>
  <sheetData>
    <row r="1" spans="1:2">
      <c r="A1" s="39" t="s">
        <v>51</v>
      </c>
      <c r="B1" s="3">
        <v>0.15</v>
      </c>
    </row>
    <row r="2" spans="1:2">
      <c r="A2" s="39" t="s">
        <v>52</v>
      </c>
      <c r="B2">
        <v>2000</v>
      </c>
    </row>
    <row r="3" spans="1:2">
      <c r="A3" s="39" t="s">
        <v>53</v>
      </c>
      <c r="B3">
        <v>4</v>
      </c>
    </row>
    <row r="4" spans="1:2">
      <c r="A4" s="39" t="s">
        <v>54</v>
      </c>
      <c r="B4">
        <v>600</v>
      </c>
    </row>
    <row r="6" spans="1:2">
      <c r="A6" s="39" t="s">
        <v>55</v>
      </c>
      <c r="B6" s="36">
        <f>PV(B1,B3,-B4,0,1)</f>
        <v>1969.9350702720465</v>
      </c>
    </row>
    <row r="7" spans="1:2">
      <c r="A7" s="39" t="s">
        <v>58</v>
      </c>
      <c r="B7" s="39" t="s">
        <v>57</v>
      </c>
    </row>
    <row r="8" spans="1:2">
      <c r="A8" s="39" t="s">
        <v>59</v>
      </c>
      <c r="B8" s="36">
        <f>PMT(B1,B3,B2,0,1)</f>
        <v>-609.157133201492</v>
      </c>
    </row>
  </sheetData>
  <phoneticPr fontId="1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AE8F9-E952-B04A-AEE2-33BB6BD141AF}">
  <dimension ref="A1:C11"/>
  <sheetViews>
    <sheetView workbookViewId="0">
      <selection activeCell="F11" sqref="F11"/>
    </sheetView>
  </sheetViews>
  <sheetFormatPr baseColWidth="10" defaultRowHeight="13"/>
  <cols>
    <col min="1" max="1" width="28.33203125" bestFit="1" customWidth="1"/>
    <col min="2" max="2" width="18.6640625" bestFit="1" customWidth="1"/>
    <col min="3" max="3" width="13.1640625" bestFit="1" customWidth="1"/>
  </cols>
  <sheetData>
    <row r="1" spans="1:3">
      <c r="A1" t="s">
        <v>60</v>
      </c>
      <c r="B1">
        <v>1000000</v>
      </c>
    </row>
    <row r="2" spans="1:3">
      <c r="A2" s="39" t="s">
        <v>62</v>
      </c>
      <c r="B2">
        <v>150000</v>
      </c>
    </row>
    <row r="3" spans="1:3">
      <c r="A3" s="39" t="s">
        <v>61</v>
      </c>
      <c r="B3" s="3">
        <v>0.1</v>
      </c>
    </row>
    <row r="5" spans="1:3">
      <c r="A5" s="39" t="s">
        <v>63</v>
      </c>
      <c r="B5">
        <f>B2/B3</f>
        <v>1500000</v>
      </c>
      <c r="C5" s="36"/>
    </row>
    <row r="6" spans="1:3">
      <c r="A6" s="39" t="s">
        <v>64</v>
      </c>
      <c r="B6" s="39" t="s">
        <v>65</v>
      </c>
    </row>
    <row r="7" spans="1:3">
      <c r="A7" s="39" t="s">
        <v>66</v>
      </c>
      <c r="B7" s="39" t="s">
        <v>67</v>
      </c>
    </row>
    <row r="9" spans="1:3">
      <c r="A9" s="39" t="s">
        <v>68</v>
      </c>
      <c r="B9" s="40">
        <f>B2/B1</f>
        <v>0.15</v>
      </c>
    </row>
    <row r="11" spans="1:3">
      <c r="A11" s="39"/>
      <c r="B11" s="39"/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C10BE-24C6-B249-ADDC-EA611CA1D455}">
  <dimension ref="A1:F31"/>
  <sheetViews>
    <sheetView workbookViewId="0">
      <selection activeCell="C35" sqref="C35"/>
    </sheetView>
  </sheetViews>
  <sheetFormatPr baseColWidth="10" defaultRowHeight="13"/>
  <cols>
    <col min="1" max="1" width="21.33203125" bestFit="1" customWidth="1"/>
    <col min="2" max="2" width="15.6640625" bestFit="1" customWidth="1"/>
    <col min="3" max="3" width="18.83203125" bestFit="1" customWidth="1"/>
    <col min="5" max="5" width="22" bestFit="1" customWidth="1"/>
  </cols>
  <sheetData>
    <row r="1" spans="1:6">
      <c r="A1" s="39" t="s">
        <v>51</v>
      </c>
      <c r="B1" s="3">
        <v>0.12</v>
      </c>
    </row>
    <row r="2" spans="1:6">
      <c r="A2" s="39" t="s">
        <v>69</v>
      </c>
      <c r="B2" s="39" t="s">
        <v>73</v>
      </c>
      <c r="C2" s="39" t="s">
        <v>74</v>
      </c>
      <c r="D2" s="39" t="s">
        <v>75</v>
      </c>
      <c r="E2" s="39" t="s">
        <v>77</v>
      </c>
    </row>
    <row r="3" spans="1:6">
      <c r="A3" s="39" t="s">
        <v>70</v>
      </c>
      <c r="B3">
        <v>-20</v>
      </c>
      <c r="C3">
        <v>40</v>
      </c>
      <c r="D3" s="36">
        <f>NPV($B$1,C3)+B3</f>
        <v>15.714285714285708</v>
      </c>
      <c r="E3">
        <f>NPV(5%,C3)+B3</f>
        <v>18.095238095238095</v>
      </c>
    </row>
    <row r="4" spans="1:6">
      <c r="A4" s="39" t="s">
        <v>71</v>
      </c>
      <c r="B4">
        <v>30</v>
      </c>
      <c r="C4">
        <v>-15</v>
      </c>
      <c r="D4" s="36">
        <f t="shared" ref="D4:D5" si="0">NPV($B$1,C4)+B4</f>
        <v>16.607142857142858</v>
      </c>
      <c r="E4">
        <f t="shared" ref="E4:E5" si="1">NPV(5%,C4)+B4</f>
        <v>15.714285714285715</v>
      </c>
    </row>
    <row r="5" spans="1:6">
      <c r="A5" s="39" t="s">
        <v>72</v>
      </c>
      <c r="B5">
        <v>7</v>
      </c>
      <c r="C5">
        <v>10</v>
      </c>
      <c r="D5" s="36">
        <f t="shared" si="0"/>
        <v>15.928571428571427</v>
      </c>
      <c r="E5">
        <f t="shared" si="1"/>
        <v>16.523809523809526</v>
      </c>
    </row>
    <row r="6" spans="1:6">
      <c r="A6" s="39" t="s">
        <v>79</v>
      </c>
      <c r="B6">
        <f>B3-B4</f>
        <v>-50</v>
      </c>
      <c r="C6">
        <f>C3-C4</f>
        <v>55</v>
      </c>
      <c r="D6" s="36"/>
    </row>
    <row r="7" spans="1:6">
      <c r="A7" s="39" t="s">
        <v>80</v>
      </c>
      <c r="B7">
        <f>B3-B5</f>
        <v>-27</v>
      </c>
      <c r="C7">
        <f>C3-C5</f>
        <v>30</v>
      </c>
      <c r="D7" s="36"/>
    </row>
    <row r="9" spans="1:6">
      <c r="A9" s="39" t="s">
        <v>76</v>
      </c>
      <c r="B9" s="39" t="s">
        <v>71</v>
      </c>
    </row>
    <row r="10" spans="1:6">
      <c r="A10" s="39" t="s">
        <v>78</v>
      </c>
      <c r="B10" s="39" t="s">
        <v>70</v>
      </c>
      <c r="C10" s="39"/>
      <c r="D10" s="41">
        <f>D3</f>
        <v>15.714285714285708</v>
      </c>
      <c r="E10" s="41">
        <f>D4</f>
        <v>16.607142857142858</v>
      </c>
      <c r="F10" s="41">
        <f>D5</f>
        <v>15.928571428571427</v>
      </c>
    </row>
    <row r="11" spans="1:6">
      <c r="C11" s="3">
        <v>0</v>
      </c>
      <c r="D11">
        <f t="dataTable" ref="D11:F31" dt2D="0" dtr="0" r1="B1"/>
        <v>20</v>
      </c>
      <c r="E11">
        <v>15</v>
      </c>
      <c r="F11">
        <v>17</v>
      </c>
    </row>
    <row r="12" spans="1:6">
      <c r="A12" s="39" t="s">
        <v>81</v>
      </c>
      <c r="B12" s="3">
        <f>IRR(B6:C6)</f>
        <v>0.10000000000000009</v>
      </c>
      <c r="C12" s="3">
        <v>0.01</v>
      </c>
      <c r="D12">
        <v>19.603960396039604</v>
      </c>
      <c r="E12">
        <v>15.148514851485148</v>
      </c>
      <c r="F12">
        <v>16.900990099009903</v>
      </c>
    </row>
    <row r="13" spans="1:6">
      <c r="A13" s="39" t="s">
        <v>82</v>
      </c>
      <c r="B13" s="3">
        <f>IRR(B7:C7)</f>
        <v>0.11111111111111094</v>
      </c>
      <c r="C13" s="3">
        <v>0.02</v>
      </c>
      <c r="D13">
        <v>19.215686274509807</v>
      </c>
      <c r="E13">
        <v>15.294117647058824</v>
      </c>
      <c r="F13">
        <v>16.803921568627452</v>
      </c>
    </row>
    <row r="14" spans="1:6">
      <c r="A14" s="39" t="s">
        <v>83</v>
      </c>
      <c r="B14" s="39" t="s">
        <v>84</v>
      </c>
      <c r="C14" s="3">
        <v>0.03</v>
      </c>
      <c r="D14">
        <v>18.834951456310677</v>
      </c>
      <c r="E14">
        <v>15.436893203883496</v>
      </c>
      <c r="F14">
        <v>16.708737864077669</v>
      </c>
    </row>
    <row r="15" spans="1:6">
      <c r="C15" s="3">
        <v>0.04</v>
      </c>
      <c r="D15">
        <v>18.46153846153846</v>
      </c>
      <c r="E15">
        <v>15.576923076923077</v>
      </c>
      <c r="F15">
        <v>16.615384615384613</v>
      </c>
    </row>
    <row r="16" spans="1:6">
      <c r="C16" s="3">
        <v>0.05</v>
      </c>
      <c r="D16">
        <v>18.095238095238095</v>
      </c>
      <c r="E16">
        <v>15.714285714285715</v>
      </c>
      <c r="F16">
        <v>16.523809523809526</v>
      </c>
    </row>
    <row r="17" spans="3:6">
      <c r="C17" s="3">
        <v>0.06</v>
      </c>
      <c r="D17">
        <v>17.735849056603769</v>
      </c>
      <c r="E17">
        <v>15.849056603773585</v>
      </c>
      <c r="F17">
        <v>16.433962264150942</v>
      </c>
    </row>
    <row r="18" spans="3:6">
      <c r="C18" s="3">
        <v>7.0000000000000007E-2</v>
      </c>
      <c r="D18">
        <v>17.383177570093459</v>
      </c>
      <c r="E18">
        <v>15.981308411214954</v>
      </c>
      <c r="F18">
        <v>16.345794392523366</v>
      </c>
    </row>
    <row r="19" spans="3:6">
      <c r="C19" s="3">
        <v>0.08</v>
      </c>
      <c r="D19">
        <v>17.037037037037038</v>
      </c>
      <c r="E19">
        <v>16.111111111111114</v>
      </c>
      <c r="F19">
        <v>16.25925925925926</v>
      </c>
    </row>
    <row r="20" spans="3:6">
      <c r="C20" s="3">
        <v>0.09</v>
      </c>
      <c r="D20">
        <v>16.697247706422019</v>
      </c>
      <c r="E20">
        <v>16.238532110091747</v>
      </c>
      <c r="F20">
        <v>16.174311926605505</v>
      </c>
    </row>
    <row r="21" spans="3:6">
      <c r="C21" s="3">
        <v>0.1</v>
      </c>
      <c r="D21">
        <v>16.36363636363636</v>
      </c>
      <c r="E21">
        <v>16.363636363636367</v>
      </c>
      <c r="F21">
        <v>16.09090909090909</v>
      </c>
    </row>
    <row r="22" spans="3:6">
      <c r="C22" s="3">
        <v>0.11</v>
      </c>
      <c r="D22">
        <v>16.03603603603603</v>
      </c>
      <c r="E22">
        <v>16.486486486486488</v>
      </c>
      <c r="F22">
        <v>16.009009009009006</v>
      </c>
    </row>
    <row r="23" spans="3:6">
      <c r="C23" s="3">
        <v>0.12</v>
      </c>
      <c r="D23">
        <v>15.714285714285708</v>
      </c>
      <c r="E23">
        <v>16.607142857142858</v>
      </c>
      <c r="F23">
        <v>15.928571428571427</v>
      </c>
    </row>
    <row r="24" spans="3:6">
      <c r="C24" s="3">
        <v>0.13</v>
      </c>
      <c r="D24">
        <v>15.398230088495581</v>
      </c>
      <c r="E24">
        <v>16.725663716814157</v>
      </c>
      <c r="F24">
        <v>15.849557522123895</v>
      </c>
    </row>
    <row r="25" spans="3:6">
      <c r="C25" s="3">
        <v>0.14000000000000001</v>
      </c>
      <c r="D25">
        <v>15.087719298245609</v>
      </c>
      <c r="E25">
        <v>16.842105263157897</v>
      </c>
      <c r="F25">
        <v>15.771929824561402</v>
      </c>
    </row>
    <row r="26" spans="3:6">
      <c r="C26" s="3">
        <v>0.15</v>
      </c>
      <c r="D26">
        <v>14.782608695652179</v>
      </c>
      <c r="E26">
        <v>16.956521739130434</v>
      </c>
      <c r="F26">
        <v>15.695652173913045</v>
      </c>
    </row>
    <row r="27" spans="3:6">
      <c r="C27" s="3">
        <v>0.16</v>
      </c>
      <c r="D27">
        <v>14.482758620689658</v>
      </c>
      <c r="E27">
        <v>17.068965517241381</v>
      </c>
      <c r="F27">
        <v>15.620689655172415</v>
      </c>
    </row>
    <row r="28" spans="3:6">
      <c r="C28" s="3">
        <v>0.17</v>
      </c>
      <c r="D28">
        <v>14.188034188034187</v>
      </c>
      <c r="E28">
        <v>17.179487179487179</v>
      </c>
      <c r="F28">
        <v>15.547008547008547</v>
      </c>
    </row>
    <row r="29" spans="3:6">
      <c r="C29" s="3">
        <v>0.18</v>
      </c>
      <c r="D29">
        <v>13.898305084745765</v>
      </c>
      <c r="E29">
        <v>17.288135593220339</v>
      </c>
      <c r="F29">
        <v>15.474576271186441</v>
      </c>
    </row>
    <row r="30" spans="3:6">
      <c r="C30" s="3">
        <v>0.19</v>
      </c>
      <c r="D30">
        <v>13.613445378151262</v>
      </c>
      <c r="E30">
        <v>17.394957983193276</v>
      </c>
      <c r="F30">
        <v>15.403361344537815</v>
      </c>
    </row>
    <row r="31" spans="3:6">
      <c r="C31" s="3">
        <v>0.2</v>
      </c>
      <c r="D31">
        <v>13.333333333333336</v>
      </c>
      <c r="E31">
        <v>17.5</v>
      </c>
      <c r="F31">
        <v>15.333333333333334</v>
      </c>
    </row>
  </sheetData>
  <phoneticPr fontId="1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27"/>
  <sheetViews>
    <sheetView workbookViewId="0">
      <selection activeCell="A28" sqref="A28"/>
    </sheetView>
  </sheetViews>
  <sheetFormatPr baseColWidth="10" defaultColWidth="8.6640625" defaultRowHeight="13"/>
  <cols>
    <col min="1" max="1" width="18" style="7" customWidth="1"/>
    <col min="2" max="2" width="12.1640625" style="7" customWidth="1"/>
    <col min="3" max="3" width="12" style="7" customWidth="1"/>
    <col min="4" max="4" width="11.6640625" style="7" customWidth="1"/>
    <col min="5" max="5" width="16.6640625" style="7" bestFit="1" customWidth="1"/>
    <col min="6" max="16384" width="8.6640625" style="7"/>
  </cols>
  <sheetData>
    <row r="1" spans="1:4">
      <c r="A1" s="10" t="s">
        <v>19</v>
      </c>
    </row>
    <row r="2" spans="1:4">
      <c r="A2" s="7" t="s">
        <v>7</v>
      </c>
      <c r="B2" s="9">
        <v>0.12</v>
      </c>
    </row>
    <row r="4" spans="1:4">
      <c r="A4" s="10" t="s">
        <v>5</v>
      </c>
      <c r="B4" s="10" t="s">
        <v>8</v>
      </c>
      <c r="C4" s="10" t="s">
        <v>9</v>
      </c>
      <c r="D4" s="7" t="s">
        <v>79</v>
      </c>
    </row>
    <row r="5" spans="1:4">
      <c r="A5" s="15">
        <v>0</v>
      </c>
      <c r="B5" s="16">
        <v>-500</v>
      </c>
      <c r="C5" s="16">
        <v>-500</v>
      </c>
      <c r="D5" s="7">
        <f>B5-C5</f>
        <v>0</v>
      </c>
    </row>
    <row r="6" spans="1:4">
      <c r="A6" s="15">
        <f>A5+1</f>
        <v>1</v>
      </c>
      <c r="B6" s="16">
        <v>180</v>
      </c>
      <c r="C6" s="16">
        <v>200</v>
      </c>
      <c r="D6" s="7">
        <f t="shared" ref="D6:D10" si="0">B6-C6</f>
        <v>-20</v>
      </c>
    </row>
    <row r="7" spans="1:4">
      <c r="A7" s="15">
        <f>A6+1</f>
        <v>2</v>
      </c>
      <c r="B7" s="16">
        <v>175</v>
      </c>
      <c r="C7" s="16">
        <v>250</v>
      </c>
      <c r="D7" s="7">
        <f t="shared" si="0"/>
        <v>-75</v>
      </c>
    </row>
    <row r="8" spans="1:4">
      <c r="A8" s="15">
        <f>A7+1</f>
        <v>3</v>
      </c>
      <c r="B8" s="16">
        <v>160</v>
      </c>
      <c r="C8" s="16">
        <v>170</v>
      </c>
      <c r="D8" s="7">
        <f t="shared" si="0"/>
        <v>-10</v>
      </c>
    </row>
    <row r="9" spans="1:4">
      <c r="A9" s="15">
        <f>A8+1</f>
        <v>4</v>
      </c>
      <c r="B9" s="16">
        <v>100</v>
      </c>
      <c r="C9" s="16">
        <v>25</v>
      </c>
      <c r="D9" s="7">
        <f t="shared" si="0"/>
        <v>75</v>
      </c>
    </row>
    <row r="10" spans="1:4">
      <c r="A10" s="15">
        <f>A9+1</f>
        <v>5</v>
      </c>
      <c r="B10" s="16">
        <v>100</v>
      </c>
      <c r="C10" s="16">
        <v>30</v>
      </c>
      <c r="D10" s="7">
        <f t="shared" si="0"/>
        <v>70</v>
      </c>
    </row>
    <row r="13" spans="1:4">
      <c r="A13" s="7" t="s">
        <v>20</v>
      </c>
      <c r="B13" s="17">
        <f>NPV($B$2,B6:B10)+B5</f>
        <v>34.402547348203029</v>
      </c>
      <c r="C13" s="17">
        <f>NPV($B$2,C6:C10)+C5</f>
        <v>31.783297719142183</v>
      </c>
    </row>
    <row r="14" spans="1:4">
      <c r="A14" s="7" t="s">
        <v>4</v>
      </c>
      <c r="B14" s="8">
        <f>IRR(B5:B10)</f>
        <v>0.15089417024211205</v>
      </c>
      <c r="C14" s="8">
        <f>IRR(C5:C10)</f>
        <v>0.15447168570122227</v>
      </c>
    </row>
    <row r="16" spans="1:4">
      <c r="A16" s="7" t="s">
        <v>85</v>
      </c>
      <c r="B16" s="9"/>
    </row>
    <row r="17" spans="1:2">
      <c r="A17" s="7" t="s">
        <v>86</v>
      </c>
      <c r="B17" s="7" t="s">
        <v>87</v>
      </c>
    </row>
    <row r="19" spans="1:2">
      <c r="A19" s="7" t="s">
        <v>88</v>
      </c>
    </row>
    <row r="20" spans="1:2">
      <c r="A20" s="7" t="s">
        <v>89</v>
      </c>
      <c r="B20" s="7" t="s">
        <v>90</v>
      </c>
    </row>
    <row r="22" spans="1:2">
      <c r="A22" s="7" t="s">
        <v>91</v>
      </c>
    </row>
    <row r="23" spans="1:2">
      <c r="A23" s="7" t="s">
        <v>92</v>
      </c>
      <c r="B23" s="42">
        <f>IRR(D5:D10)</f>
        <v>0.13328186698425992</v>
      </c>
    </row>
    <row r="25" spans="1:2">
      <c r="A25" s="7" t="s">
        <v>93</v>
      </c>
    </row>
    <row r="26" spans="1:2">
      <c r="A26" s="7" t="s">
        <v>75</v>
      </c>
    </row>
    <row r="27" spans="1:2">
      <c r="A27" s="7" t="s">
        <v>94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FDC41-0446-304A-B3B9-E1B9C35655D8}">
  <dimension ref="A1:B33"/>
  <sheetViews>
    <sheetView workbookViewId="0">
      <selection activeCell="B33" sqref="B33"/>
    </sheetView>
  </sheetViews>
  <sheetFormatPr baseColWidth="10" defaultRowHeight="13"/>
  <cols>
    <col min="1" max="1" width="32.1640625" bestFit="1" customWidth="1"/>
    <col min="2" max="2" width="22" style="43" bestFit="1" customWidth="1"/>
  </cols>
  <sheetData>
    <row r="1" spans="1:2">
      <c r="A1" s="39" t="s">
        <v>95</v>
      </c>
      <c r="B1" s="43">
        <v>3500</v>
      </c>
    </row>
    <row r="2" spans="1:2">
      <c r="A2" s="39" t="s">
        <v>96</v>
      </c>
      <c r="B2" s="43">
        <v>12</v>
      </c>
    </row>
    <row r="3" spans="1:2">
      <c r="A3" s="39" t="s">
        <v>97</v>
      </c>
      <c r="B3" s="43">
        <v>50000</v>
      </c>
    </row>
    <row r="4" spans="1:2">
      <c r="A4" s="39" t="s">
        <v>98</v>
      </c>
      <c r="B4" s="43">
        <v>2000</v>
      </c>
    </row>
    <row r="5" spans="1:2">
      <c r="A5" s="39" t="s">
        <v>99</v>
      </c>
      <c r="B5" s="43">
        <v>4000</v>
      </c>
    </row>
    <row r="6" spans="1:2">
      <c r="A6" s="39" t="s">
        <v>100</v>
      </c>
      <c r="B6" s="43">
        <v>5.0000000000000001E-3</v>
      </c>
    </row>
    <row r="8" spans="1:2">
      <c r="A8" s="39" t="s">
        <v>85</v>
      </c>
    </row>
    <row r="9" spans="1:2">
      <c r="A9" s="39" t="s">
        <v>101</v>
      </c>
      <c r="B9" s="43">
        <f>$B$1/$B$6</f>
        <v>700000</v>
      </c>
    </row>
    <row r="10" spans="1:2">
      <c r="A10" s="39" t="s">
        <v>102</v>
      </c>
      <c r="B10" s="43">
        <f>$B$3+PV($B$6,$B$2,-$B$4,0,0)</f>
        <v>73237.864133632131</v>
      </c>
    </row>
    <row r="11" spans="1:2">
      <c r="A11" s="39" t="s">
        <v>103</v>
      </c>
      <c r="B11" s="43">
        <f>$B$5/$B$6</f>
        <v>800000</v>
      </c>
    </row>
    <row r="12" spans="1:2">
      <c r="A12" s="39" t="s">
        <v>104</v>
      </c>
      <c r="B12" s="43">
        <f>PV($B$6,$B$2,0,-$B$11)</f>
        <v>753524.2717327358</v>
      </c>
    </row>
    <row r="13" spans="1:2">
      <c r="A13" s="39" t="s">
        <v>105</v>
      </c>
      <c r="B13" s="43">
        <f>$B$12-$B$10</f>
        <v>680286.40759910364</v>
      </c>
    </row>
    <row r="14" spans="1:2">
      <c r="A14" s="39" t="s">
        <v>106</v>
      </c>
      <c r="B14" s="39" t="s">
        <v>50</v>
      </c>
    </row>
    <row r="16" spans="1:2">
      <c r="A16" s="39" t="s">
        <v>88</v>
      </c>
    </row>
    <row r="17" spans="1:2">
      <c r="A17" s="39" t="s">
        <v>107</v>
      </c>
      <c r="B17" s="44">
        <f>(B18+1)^12-1</f>
        <v>5.1123231315947093E-2</v>
      </c>
    </row>
    <row r="18" spans="1:2">
      <c r="A18" s="39" t="s">
        <v>108</v>
      </c>
      <c r="B18" s="44">
        <v>4.1635884593364311E-3</v>
      </c>
    </row>
    <row r="19" spans="1:2">
      <c r="A19" s="39" t="s">
        <v>101</v>
      </c>
      <c r="B19" s="43">
        <f>B1/B18</f>
        <v>840621.02539255528</v>
      </c>
    </row>
    <row r="20" spans="1:2">
      <c r="A20" s="39" t="s">
        <v>102</v>
      </c>
      <c r="B20" s="43">
        <f>B3+PV(B18,B2,-B4,0)</f>
        <v>73362.905971080443</v>
      </c>
    </row>
    <row r="21" spans="1:2">
      <c r="A21" s="39" t="s">
        <v>103</v>
      </c>
      <c r="B21" s="43">
        <f>B5/B18</f>
        <v>960709.74330577743</v>
      </c>
    </row>
    <row r="22" spans="1:2">
      <c r="A22" s="39" t="s">
        <v>104</v>
      </c>
      <c r="B22" s="43">
        <f>PV(B18,B2,0,-B21)</f>
        <v>913983.9313636166</v>
      </c>
    </row>
    <row r="23" spans="1:2">
      <c r="A23" s="39" t="s">
        <v>105</v>
      </c>
      <c r="B23" s="43">
        <f>B22-B20</f>
        <v>840621.02539253619</v>
      </c>
    </row>
    <row r="24" spans="1:2">
      <c r="A24" s="39" t="s">
        <v>109</v>
      </c>
      <c r="B24" s="43">
        <f>B19-B23</f>
        <v>1.909211277961731E-8</v>
      </c>
    </row>
    <row r="26" spans="1:2">
      <c r="A26" s="39" t="s">
        <v>91</v>
      </c>
    </row>
    <row r="27" spans="1:2">
      <c r="A27" s="39" t="s">
        <v>101</v>
      </c>
      <c r="B27" s="43">
        <f>$B$1/$B$6</f>
        <v>700000</v>
      </c>
    </row>
    <row r="28" spans="1:2">
      <c r="A28" s="39" t="s">
        <v>102</v>
      </c>
      <c r="B28" s="43">
        <f>$B$3+PV($B$6,$B$2,-$B$4,0,0)</f>
        <v>73237.864133632131</v>
      </c>
    </row>
    <row r="29" spans="1:2">
      <c r="A29" s="39" t="s">
        <v>103</v>
      </c>
      <c r="B29" s="43">
        <f>B32/$B$6</f>
        <v>820929.48364417243</v>
      </c>
    </row>
    <row r="30" spans="1:2">
      <c r="A30" s="39" t="s">
        <v>104</v>
      </c>
      <c r="B30" s="43">
        <f>PV($B$6,$B$2,0,-B29)</f>
        <v>773237.86413363228</v>
      </c>
    </row>
    <row r="31" spans="1:2">
      <c r="A31" s="39" t="s">
        <v>105</v>
      </c>
      <c r="B31" s="43">
        <f>B30-B28</f>
        <v>700000.00000000012</v>
      </c>
    </row>
    <row r="32" spans="1:2">
      <c r="A32" s="39" t="s">
        <v>99</v>
      </c>
      <c r="B32" s="43">
        <v>4104.6474182208622</v>
      </c>
    </row>
    <row r="33" spans="1:2">
      <c r="A33" s="39" t="s">
        <v>109</v>
      </c>
      <c r="B33" s="43">
        <f>B27-B31</f>
        <v>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14"/>
  <sheetViews>
    <sheetView workbookViewId="0">
      <selection activeCell="E11" sqref="E11:M25"/>
    </sheetView>
  </sheetViews>
  <sheetFormatPr baseColWidth="10" defaultColWidth="8.83203125" defaultRowHeight="13"/>
  <cols>
    <col min="1" max="1" width="13.6640625" bestFit="1" customWidth="1"/>
  </cols>
  <sheetData>
    <row r="1" spans="1:6">
      <c r="A1" t="s">
        <v>6</v>
      </c>
      <c r="B1" s="3">
        <v>0.1</v>
      </c>
    </row>
    <row r="3" spans="1:6" ht="15">
      <c r="A3" t="s">
        <v>5</v>
      </c>
      <c r="B3" s="18">
        <v>0</v>
      </c>
      <c r="C3" s="18">
        <v>1</v>
      </c>
      <c r="D3" s="18">
        <v>2</v>
      </c>
      <c r="E3" s="18">
        <v>3</v>
      </c>
    </row>
    <row r="4" spans="1:6" ht="15">
      <c r="A4" t="s">
        <v>10</v>
      </c>
      <c r="B4" s="19">
        <v>-150</v>
      </c>
      <c r="C4" s="20">
        <v>1000</v>
      </c>
      <c r="D4" s="20">
        <v>-1000</v>
      </c>
      <c r="E4" s="19">
        <v>100</v>
      </c>
    </row>
    <row r="5" spans="1:6" ht="15">
      <c r="B5" s="19"/>
      <c r="C5" s="20"/>
      <c r="D5" s="20"/>
      <c r="E5" s="19"/>
    </row>
    <row r="6" spans="1:6" ht="15">
      <c r="A6" t="s">
        <v>3</v>
      </c>
      <c r="B6" s="21">
        <f>NPV(B1,C4:E4)+B4</f>
        <v>7.7761081893313815</v>
      </c>
      <c r="C6" s="22"/>
      <c r="D6" s="20"/>
      <c r="E6" s="19"/>
    </row>
    <row r="7" spans="1:6" ht="15">
      <c r="A7" t="s">
        <v>21</v>
      </c>
      <c r="B7" s="23">
        <f>IRR(B4:E4)</f>
        <v>8.4012680230244552E-2</v>
      </c>
      <c r="C7" s="22"/>
      <c r="D7" s="20"/>
      <c r="E7" s="19"/>
    </row>
    <row r="8" spans="1:6" ht="15">
      <c r="A8" t="s">
        <v>22</v>
      </c>
      <c r="B8" s="23">
        <f>IRR(B4:E4,1000%)</f>
        <v>4.4702274070373642</v>
      </c>
      <c r="C8" s="22"/>
      <c r="D8" s="20"/>
      <c r="E8" s="19"/>
    </row>
    <row r="14" spans="1:6">
      <c r="F14" s="37"/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B6494-1866-DC42-B367-9F14D3AF156F}">
  <dimension ref="A1:E8"/>
  <sheetViews>
    <sheetView workbookViewId="0">
      <selection activeCell="D6" sqref="D6"/>
    </sheetView>
  </sheetViews>
  <sheetFormatPr baseColWidth="10" defaultRowHeight="13"/>
  <sheetData>
    <row r="1" spans="1:5">
      <c r="A1" t="s">
        <v>6</v>
      </c>
      <c r="B1" s="3">
        <v>0.1</v>
      </c>
    </row>
    <row r="3" spans="1:5" ht="15">
      <c r="A3" t="s">
        <v>5</v>
      </c>
      <c r="B3" s="18">
        <v>0</v>
      </c>
      <c r="C3" s="18">
        <v>1</v>
      </c>
      <c r="D3" s="18">
        <v>2</v>
      </c>
      <c r="E3" s="18">
        <v>3</v>
      </c>
    </row>
    <row r="4" spans="1:5" ht="15">
      <c r="A4" t="s">
        <v>10</v>
      </c>
      <c r="B4" s="19">
        <v>-150</v>
      </c>
      <c r="C4" s="20">
        <v>1000</v>
      </c>
      <c r="D4" s="20">
        <v>-1000</v>
      </c>
      <c r="E4" s="19">
        <v>100</v>
      </c>
    </row>
    <row r="5" spans="1:5" ht="15">
      <c r="B5" s="19"/>
      <c r="C5" s="20"/>
      <c r="D5" s="20"/>
      <c r="E5" s="20"/>
    </row>
    <row r="6" spans="1:5" ht="15">
      <c r="A6" s="39" t="s">
        <v>110</v>
      </c>
      <c r="B6" s="45">
        <f>MIRR(B4:E4,B1,B1)</f>
        <v>0.10291229967812776</v>
      </c>
      <c r="C6" s="22"/>
      <c r="D6" s="20"/>
      <c r="E6" s="19"/>
    </row>
    <row r="7" spans="1:5" ht="15">
      <c r="A7" s="39"/>
      <c r="B7" s="23"/>
      <c r="C7" s="22"/>
      <c r="D7" s="20"/>
      <c r="E7" s="19"/>
    </row>
    <row r="8" spans="1:5" ht="15">
      <c r="B8" s="23"/>
      <c r="C8" s="22"/>
      <c r="D8" s="46"/>
      <c r="E8" s="19"/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31"/>
  <sheetViews>
    <sheetView workbookViewId="0">
      <selection sqref="A1:J39"/>
    </sheetView>
  </sheetViews>
  <sheetFormatPr baseColWidth="10" defaultColWidth="8.83203125" defaultRowHeight="13"/>
  <cols>
    <col min="1" max="1" width="15.83203125" customWidth="1"/>
    <col min="2" max="2" width="14.5" customWidth="1"/>
    <col min="3" max="3" width="12.5" customWidth="1"/>
    <col min="4" max="5" width="10.6640625" customWidth="1"/>
    <col min="6" max="6" width="11.1640625" customWidth="1"/>
    <col min="7" max="8" width="9.83203125" customWidth="1"/>
  </cols>
  <sheetData>
    <row r="1" spans="1:8" s="13" customFormat="1" ht="15">
      <c r="A1" s="13" t="s">
        <v>5</v>
      </c>
      <c r="B1" s="18">
        <v>0</v>
      </c>
      <c r="C1" s="18">
        <v>1</v>
      </c>
      <c r="D1" s="18">
        <v>2</v>
      </c>
      <c r="E1" s="18">
        <v>3</v>
      </c>
      <c r="F1" s="12">
        <v>4</v>
      </c>
      <c r="G1" s="12">
        <v>5</v>
      </c>
      <c r="H1" s="12">
        <v>6</v>
      </c>
    </row>
    <row r="2" spans="1:8" ht="15">
      <c r="A2" t="s">
        <v>10</v>
      </c>
      <c r="B2" s="20">
        <v>-750000</v>
      </c>
      <c r="C2" s="20">
        <v>500000</v>
      </c>
      <c r="D2" s="20">
        <v>500000</v>
      </c>
      <c r="E2" s="20">
        <v>500000</v>
      </c>
      <c r="F2" s="6">
        <v>500000</v>
      </c>
      <c r="G2" s="6">
        <v>500000</v>
      </c>
      <c r="H2" s="6">
        <v>-2000000</v>
      </c>
    </row>
    <row r="3" spans="1:8" ht="15">
      <c r="B3" s="19"/>
      <c r="C3" s="20"/>
      <c r="D3" s="20"/>
      <c r="E3" s="19"/>
    </row>
    <row r="4" spans="1:8" ht="14">
      <c r="A4" s="11" t="s">
        <v>23</v>
      </c>
      <c r="B4" s="24">
        <v>0.05</v>
      </c>
      <c r="C4" s="24">
        <v>0.1</v>
      </c>
      <c r="D4" s="24">
        <v>0.45</v>
      </c>
    </row>
    <row r="5" spans="1:8">
      <c r="A5" t="s">
        <v>3</v>
      </c>
      <c r="B5" s="6">
        <f>NPV(B4,$C$2:$H$2)+$B$2</f>
        <v>-77692.457957845414</v>
      </c>
      <c r="C5" s="6">
        <f t="shared" ref="C5:D5" si="0">NPV(C4,$C$2:$H$2)+$B$2</f>
        <v>16445.524596669246</v>
      </c>
      <c r="D5" s="6">
        <f t="shared" si="0"/>
        <v>-27426.296471654205</v>
      </c>
    </row>
    <row r="6" spans="1:8">
      <c r="A6" t="s">
        <v>24</v>
      </c>
      <c r="B6" s="48" t="s">
        <v>111</v>
      </c>
      <c r="C6" s="48" t="s">
        <v>112</v>
      </c>
      <c r="D6" s="48" t="s">
        <v>111</v>
      </c>
    </row>
    <row r="8" spans="1:8" ht="14">
      <c r="A8" s="13" t="s">
        <v>25</v>
      </c>
    </row>
    <row r="10" spans="1:8">
      <c r="A10" t="s">
        <v>23</v>
      </c>
      <c r="B10" t="s">
        <v>3</v>
      </c>
    </row>
    <row r="11" spans="1:8">
      <c r="A11" s="1">
        <v>0</v>
      </c>
      <c r="B11" s="6">
        <f>NPV(A11,$C$2:$H$2)+$B$2</f>
        <v>-250000</v>
      </c>
    </row>
    <row r="12" spans="1:8">
      <c r="A12" s="1">
        <v>0.02</v>
      </c>
      <c r="B12" s="6">
        <f t="shared" ref="B12:B31" si="1">NPV(A12,$C$2:$H$2)+$B$2</f>
        <v>-169213.01012028137</v>
      </c>
    </row>
    <row r="13" spans="1:8">
      <c r="A13" s="1">
        <v>0.04</v>
      </c>
      <c r="B13" s="6">
        <f t="shared" si="1"/>
        <v>-104717.88595218875</v>
      </c>
    </row>
    <row r="14" spans="1:8">
      <c r="A14" s="1">
        <v>0.06</v>
      </c>
      <c r="B14" s="6">
        <f t="shared" si="1"/>
        <v>-53739.188096495694</v>
      </c>
      <c r="D14" s="39" t="s">
        <v>113</v>
      </c>
    </row>
    <row r="15" spans="1:8">
      <c r="A15" s="1">
        <v>0.08</v>
      </c>
      <c r="B15" s="6">
        <f t="shared" si="1"/>
        <v>-13984.235227166908</v>
      </c>
      <c r="D15" s="37">
        <f>IRR(B2:H2,10%)</f>
        <v>8.8506645180690402E-2</v>
      </c>
    </row>
    <row r="16" spans="1:8">
      <c r="A16" s="1">
        <v>0.1</v>
      </c>
      <c r="B16" s="6">
        <f t="shared" si="1"/>
        <v>16445.524596669246</v>
      </c>
      <c r="D16" s="37">
        <f>IRR(B2:H2,45%)</f>
        <v>0.40340128106655881</v>
      </c>
    </row>
    <row r="17" spans="1:2">
      <c r="A17" s="1">
        <v>0.12</v>
      </c>
      <c r="B17" s="6">
        <f t="shared" si="1"/>
        <v>39125.858817860833</v>
      </c>
    </row>
    <row r="18" spans="1:2">
      <c r="A18" s="1">
        <v>0.14000000000000001</v>
      </c>
      <c r="B18" s="6">
        <f t="shared" si="1"/>
        <v>55367.389061132562</v>
      </c>
    </row>
    <row r="19" spans="1:2">
      <c r="A19" s="1">
        <v>0.16</v>
      </c>
      <c r="B19" s="6">
        <f t="shared" si="1"/>
        <v>66262.317495786236</v>
      </c>
    </row>
    <row r="20" spans="1:2">
      <c r="A20" s="1">
        <v>0.18</v>
      </c>
      <c r="B20" s="6">
        <f t="shared" si="1"/>
        <v>72722.432114238851</v>
      </c>
    </row>
    <row r="21" spans="1:2">
      <c r="A21" s="1">
        <v>0.2</v>
      </c>
      <c r="B21" s="6">
        <f t="shared" si="1"/>
        <v>75510.116598079796</v>
      </c>
    </row>
    <row r="22" spans="1:2">
      <c r="A22" s="1">
        <v>0.22</v>
      </c>
      <c r="B22" s="6">
        <f t="shared" si="1"/>
        <v>75263.729201185517</v>
      </c>
    </row>
    <row r="23" spans="1:2">
      <c r="A23" s="1">
        <v>0.24</v>
      </c>
      <c r="B23" s="6">
        <f t="shared" si="1"/>
        <v>72518.433588333195</v>
      </c>
    </row>
    <row r="24" spans="1:2">
      <c r="A24" s="1">
        <v>0.26</v>
      </c>
      <c r="B24" s="6">
        <f t="shared" si="1"/>
        <v>67723.34432092146</v>
      </c>
    </row>
    <row r="25" spans="1:2">
      <c r="A25" s="1">
        <v>0.3</v>
      </c>
      <c r="B25" s="6">
        <f t="shared" si="1"/>
        <v>53432.454029152519</v>
      </c>
    </row>
    <row r="26" spans="1:2">
      <c r="A26" s="1">
        <v>0.34</v>
      </c>
      <c r="B26" s="6">
        <f t="shared" si="1"/>
        <v>34743.101997760823</v>
      </c>
    </row>
    <row r="27" spans="1:2">
      <c r="A27" s="1">
        <v>0.38</v>
      </c>
      <c r="B27" s="6">
        <f t="shared" si="1"/>
        <v>13317.963568109088</v>
      </c>
    </row>
    <row r="28" spans="1:2">
      <c r="A28" s="1">
        <v>0.42</v>
      </c>
      <c r="B28" s="6">
        <f t="shared" si="1"/>
        <v>-9668.7171787521802</v>
      </c>
    </row>
    <row r="29" spans="1:2">
      <c r="A29" s="1">
        <v>0.46</v>
      </c>
      <c r="B29" s="6">
        <f t="shared" si="1"/>
        <v>-33390.603471947601</v>
      </c>
    </row>
    <row r="30" spans="1:2">
      <c r="A30" s="1">
        <v>0.5</v>
      </c>
      <c r="B30" s="6">
        <f t="shared" si="1"/>
        <v>-57270.233196159243</v>
      </c>
    </row>
    <row r="31" spans="1:2">
      <c r="A31" s="1">
        <v>0.54</v>
      </c>
      <c r="B31" s="6">
        <f t="shared" si="1"/>
        <v>-80908.741108076414</v>
      </c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D413D-A342-C34E-B979-B396DEE6BF52}">
  <dimension ref="A1:J31"/>
  <sheetViews>
    <sheetView workbookViewId="0">
      <selection activeCell="B5" sqref="B5"/>
    </sheetView>
  </sheetViews>
  <sheetFormatPr baseColWidth="10" defaultRowHeight="13"/>
  <cols>
    <col min="1" max="1" width="34.33203125" bestFit="1" customWidth="1"/>
  </cols>
  <sheetData>
    <row r="1" spans="1:10" ht="15">
      <c r="A1" s="13" t="s">
        <v>5</v>
      </c>
      <c r="B1" s="18">
        <v>0</v>
      </c>
      <c r="C1" s="18">
        <v>1</v>
      </c>
      <c r="D1" s="18">
        <v>2</v>
      </c>
      <c r="E1" s="18">
        <v>3</v>
      </c>
      <c r="F1" s="12">
        <v>4</v>
      </c>
      <c r="G1" s="12">
        <v>5</v>
      </c>
      <c r="H1" s="12">
        <v>6</v>
      </c>
      <c r="I1" s="13"/>
      <c r="J1" s="13"/>
    </row>
    <row r="2" spans="1:10" ht="15">
      <c r="A2" t="s">
        <v>10</v>
      </c>
      <c r="B2" s="20">
        <v>-750000</v>
      </c>
      <c r="C2" s="20">
        <v>500000</v>
      </c>
      <c r="D2" s="20">
        <v>500000</v>
      </c>
      <c r="E2" s="20">
        <v>500000</v>
      </c>
      <c r="F2" s="6">
        <v>500000</v>
      </c>
      <c r="G2" s="6">
        <v>500000</v>
      </c>
      <c r="H2" s="6">
        <v>-2000000</v>
      </c>
    </row>
    <row r="3" spans="1:10" ht="15">
      <c r="B3" s="19"/>
      <c r="C3" s="20"/>
      <c r="D3" s="20"/>
      <c r="E3" s="19"/>
    </row>
    <row r="4" spans="1:10" ht="14">
      <c r="A4" s="11" t="s">
        <v>114</v>
      </c>
      <c r="B4" s="24">
        <v>0.15</v>
      </c>
      <c r="C4" s="24"/>
      <c r="D4" s="24"/>
    </row>
    <row r="5" spans="1:10">
      <c r="A5" s="39" t="s">
        <v>110</v>
      </c>
      <c r="B5" s="44">
        <f>MIRR(B2:H2,B4,B4)</f>
        <v>0.15717815428503434</v>
      </c>
      <c r="C5" s="6"/>
      <c r="D5" s="6"/>
    </row>
    <row r="6" spans="1:10">
      <c r="B6" s="48"/>
      <c r="C6" s="48"/>
      <c r="D6" s="48"/>
    </row>
    <row r="8" spans="1:10" ht="14">
      <c r="A8" s="13"/>
    </row>
    <row r="11" spans="1:10">
      <c r="A11" s="1"/>
      <c r="B11" s="6"/>
    </row>
    <row r="12" spans="1:10">
      <c r="A12" s="1"/>
      <c r="B12" s="6"/>
    </row>
    <row r="13" spans="1:10">
      <c r="A13" s="1"/>
      <c r="B13" s="6"/>
    </row>
    <row r="14" spans="1:10">
      <c r="A14" s="1"/>
      <c r="B14" s="6"/>
      <c r="D14" s="39"/>
    </row>
    <row r="15" spans="1:10">
      <c r="A15" s="1"/>
      <c r="B15" s="6"/>
      <c r="D15" s="37"/>
    </row>
    <row r="16" spans="1:10">
      <c r="A16" s="1"/>
      <c r="B16" s="6"/>
      <c r="D16" s="37"/>
    </row>
    <row r="17" spans="1:4">
      <c r="A17" s="1"/>
      <c r="B17" s="6"/>
    </row>
    <row r="18" spans="1:4">
      <c r="A18" s="1"/>
      <c r="B18" s="6"/>
    </row>
    <row r="19" spans="1:4">
      <c r="A19" s="1"/>
      <c r="B19" s="6"/>
    </row>
    <row r="20" spans="1:4">
      <c r="A20" s="1"/>
      <c r="B20" s="6"/>
    </row>
    <row r="21" spans="1:4">
      <c r="A21" s="1"/>
      <c r="B21" s="6"/>
      <c r="D21" s="39"/>
    </row>
    <row r="22" spans="1:4">
      <c r="A22" s="1"/>
      <c r="B22" s="6"/>
      <c r="D22" s="3"/>
    </row>
    <row r="23" spans="1:4">
      <c r="A23" s="1"/>
      <c r="B23" s="6"/>
    </row>
    <row r="24" spans="1:4">
      <c r="A24" s="1"/>
      <c r="B24" s="6"/>
    </row>
    <row r="25" spans="1:4">
      <c r="A25" s="1"/>
      <c r="B25" s="6"/>
    </row>
    <row r="26" spans="1:4">
      <c r="A26" s="1"/>
      <c r="B26" s="6"/>
    </row>
    <row r="27" spans="1:4">
      <c r="A27" s="1"/>
      <c r="B27" s="6"/>
    </row>
    <row r="28" spans="1:4">
      <c r="A28" s="1"/>
      <c r="B28" s="6"/>
    </row>
    <row r="29" spans="1:4">
      <c r="A29" s="1"/>
      <c r="B29" s="6"/>
    </row>
    <row r="30" spans="1:4">
      <c r="A30" s="1"/>
      <c r="B30" s="6"/>
    </row>
    <row r="31" spans="1:4">
      <c r="A31" s="1"/>
      <c r="B31" s="6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26"/>
  <sheetViews>
    <sheetView workbookViewId="0">
      <selection activeCell="B27" sqref="B27"/>
    </sheetView>
  </sheetViews>
  <sheetFormatPr baseColWidth="10" defaultColWidth="8.83203125" defaultRowHeight="13"/>
  <cols>
    <col min="1" max="1" width="13.5" customWidth="1"/>
    <col min="2" max="2" width="18.33203125" customWidth="1"/>
    <col min="3" max="3" width="16.5" customWidth="1"/>
    <col min="5" max="5" width="16" bestFit="1" customWidth="1"/>
  </cols>
  <sheetData>
    <row r="1" spans="1:6" ht="32">
      <c r="A1" s="25" t="s">
        <v>0</v>
      </c>
      <c r="B1" s="26" t="s">
        <v>26</v>
      </c>
      <c r="C1" s="26" t="s">
        <v>27</v>
      </c>
      <c r="D1" s="39" t="s">
        <v>68</v>
      </c>
      <c r="E1" s="51">
        <v>7.0000000000000007E-2</v>
      </c>
      <c r="F1" s="3">
        <v>0.04</v>
      </c>
    </row>
    <row r="2" spans="1:6" ht="15">
      <c r="A2" t="s">
        <v>1</v>
      </c>
      <c r="B2" s="20">
        <v>-1000</v>
      </c>
      <c r="C2" s="20">
        <v>100</v>
      </c>
      <c r="D2" s="50">
        <f>C2/-B2</f>
        <v>0.1</v>
      </c>
      <c r="E2">
        <f>$C$2/E1+$B$2</f>
        <v>428.57142857142844</v>
      </c>
      <c r="F2">
        <f>$C$2/F1+$B$2</f>
        <v>1500</v>
      </c>
    </row>
    <row r="3" spans="1:6" ht="15">
      <c r="A3" t="s">
        <v>2</v>
      </c>
      <c r="B3" s="19">
        <v>-600</v>
      </c>
      <c r="C3" s="20">
        <v>80</v>
      </c>
      <c r="D3" s="50">
        <f>C3/-B3</f>
        <v>0.13333333333333333</v>
      </c>
      <c r="E3">
        <f>$C$3/E1+$B$3</f>
        <v>542.85714285714266</v>
      </c>
      <c r="F3">
        <f>$C$3/F1+$B$3</f>
        <v>1400</v>
      </c>
    </row>
    <row r="4" spans="1:6">
      <c r="A4" s="39" t="s">
        <v>79</v>
      </c>
      <c r="B4" s="6">
        <f>B2-B3</f>
        <v>-400</v>
      </c>
      <c r="C4" s="6">
        <f>C2-C3</f>
        <v>20</v>
      </c>
      <c r="D4" s="50">
        <f>C4/-B4</f>
        <v>0.05</v>
      </c>
    </row>
    <row r="5" spans="1:6">
      <c r="A5" s="39"/>
      <c r="B5" s="6"/>
      <c r="C5" s="6"/>
      <c r="D5" s="50"/>
    </row>
    <row r="6" spans="1:6">
      <c r="A6" s="39" t="s">
        <v>100</v>
      </c>
      <c r="B6" s="51">
        <v>0.02</v>
      </c>
    </row>
    <row r="7" spans="1:6">
      <c r="B7">
        <f>$C$2/B6+$B$2</f>
        <v>4000</v>
      </c>
      <c r="C7">
        <f>$C$3/B6+$B$3</f>
        <v>3400</v>
      </c>
    </row>
    <row r="8" spans="1:6">
      <c r="A8" s="3">
        <v>0.02</v>
      </c>
      <c r="B8">
        <f t="dataTable" ref="B8:C22" dt2D="0" dtr="0" r1="B6"/>
        <v>4000</v>
      </c>
      <c r="C8">
        <v>3400</v>
      </c>
    </row>
    <row r="9" spans="1:6">
      <c r="A9" s="3">
        <v>0.04</v>
      </c>
      <c r="B9">
        <v>1500</v>
      </c>
      <c r="C9">
        <v>1400</v>
      </c>
    </row>
    <row r="10" spans="1:6">
      <c r="A10" s="3">
        <v>0.06</v>
      </c>
      <c r="B10">
        <v>666.66666666666674</v>
      </c>
      <c r="C10">
        <v>733.33333333333348</v>
      </c>
    </row>
    <row r="11" spans="1:6">
      <c r="A11" s="3">
        <v>0.08</v>
      </c>
      <c r="B11">
        <v>250</v>
      </c>
      <c r="C11">
        <v>400</v>
      </c>
    </row>
    <row r="12" spans="1:6">
      <c r="A12" s="3">
        <v>0.1</v>
      </c>
      <c r="B12">
        <v>0</v>
      </c>
      <c r="C12">
        <v>200</v>
      </c>
    </row>
    <row r="13" spans="1:6">
      <c r="A13" s="3">
        <v>0.12</v>
      </c>
      <c r="B13">
        <v>-166.66666666666663</v>
      </c>
      <c r="C13">
        <v>66.666666666666742</v>
      </c>
    </row>
    <row r="14" spans="1:6">
      <c r="A14" s="3">
        <v>0.14000000000000001</v>
      </c>
      <c r="B14">
        <v>-285.71428571428578</v>
      </c>
      <c r="C14">
        <v>-28.571428571428669</v>
      </c>
    </row>
    <row r="15" spans="1:6">
      <c r="A15" s="3">
        <v>0.16</v>
      </c>
      <c r="B15">
        <v>-375</v>
      </c>
      <c r="C15">
        <v>-100</v>
      </c>
    </row>
    <row r="16" spans="1:6">
      <c r="A16" s="3">
        <v>0.18</v>
      </c>
      <c r="B16">
        <v>-444.44444444444446</v>
      </c>
      <c r="C16">
        <v>-155.55555555555554</v>
      </c>
    </row>
    <row r="17" spans="1:3">
      <c r="A17" s="3">
        <v>0.2</v>
      </c>
      <c r="B17">
        <v>-500</v>
      </c>
      <c r="C17">
        <v>-200</v>
      </c>
    </row>
    <row r="18" spans="1:3">
      <c r="A18" s="3">
        <v>0.22</v>
      </c>
      <c r="B18">
        <v>-545.4545454545455</v>
      </c>
      <c r="C18">
        <v>-236.36363636363637</v>
      </c>
    </row>
    <row r="19" spans="1:3">
      <c r="A19" s="3">
        <v>0.24</v>
      </c>
      <c r="B19">
        <v>-583.33333333333326</v>
      </c>
      <c r="C19">
        <v>-266.66666666666663</v>
      </c>
    </row>
    <row r="20" spans="1:3">
      <c r="A20" s="3">
        <v>0.26</v>
      </c>
      <c r="B20">
        <v>-615.38461538461547</v>
      </c>
      <c r="C20">
        <v>-292.30769230769232</v>
      </c>
    </row>
    <row r="21" spans="1:3">
      <c r="A21" s="3">
        <v>0.28000000000000003</v>
      </c>
      <c r="B21">
        <v>-642.85714285714289</v>
      </c>
      <c r="C21">
        <v>-314.28571428571433</v>
      </c>
    </row>
    <row r="22" spans="1:3">
      <c r="A22" s="3">
        <v>0.3</v>
      </c>
      <c r="B22">
        <v>-666.66666666666663</v>
      </c>
      <c r="C22">
        <v>-333.33333333333331</v>
      </c>
    </row>
    <row r="24" spans="1:3">
      <c r="A24" s="39" t="s">
        <v>116</v>
      </c>
      <c r="B24" s="3">
        <f>0%</f>
        <v>0</v>
      </c>
      <c r="C24" s="49">
        <f>D4</f>
        <v>0.05</v>
      </c>
    </row>
    <row r="25" spans="1:3">
      <c r="A25" s="39" t="s">
        <v>117</v>
      </c>
      <c r="B25" s="49">
        <f>D4</f>
        <v>0.05</v>
      </c>
      <c r="C25" s="49">
        <f>D3</f>
        <v>0.13333333333333333</v>
      </c>
    </row>
    <row r="26" spans="1:3">
      <c r="A26" s="39" t="s">
        <v>118</v>
      </c>
      <c r="B26" s="52" t="s">
        <v>119</v>
      </c>
    </row>
  </sheetData>
  <phoneticPr fontId="13" type="noConversion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28DCB-31CB-6A4C-B6D0-4F90B9279B29}">
  <dimension ref="A1:F7"/>
  <sheetViews>
    <sheetView workbookViewId="0">
      <selection activeCell="H7" sqref="H7"/>
    </sheetView>
  </sheetViews>
  <sheetFormatPr baseColWidth="10" defaultRowHeight="13"/>
  <cols>
    <col min="1" max="1" width="12.6640625" bestFit="1" customWidth="1"/>
    <col min="2" max="2" width="22.5" bestFit="1" customWidth="1"/>
  </cols>
  <sheetData>
    <row r="1" spans="1:6">
      <c r="B1" s="39" t="s">
        <v>120</v>
      </c>
      <c r="C1" s="39" t="s">
        <v>121</v>
      </c>
      <c r="D1" s="39" t="s">
        <v>122</v>
      </c>
      <c r="E1" s="39" t="s">
        <v>123</v>
      </c>
      <c r="F1" s="39" t="s">
        <v>68</v>
      </c>
    </row>
    <row r="2" spans="1:6">
      <c r="A2" s="39" t="s">
        <v>124</v>
      </c>
      <c r="B2">
        <v>-100</v>
      </c>
      <c r="C2">
        <v>0</v>
      </c>
      <c r="D2">
        <v>0</v>
      </c>
      <c r="E2">
        <v>172.8</v>
      </c>
      <c r="F2" s="49">
        <f>IRR(B2:E2)</f>
        <v>0.19999999999998241</v>
      </c>
    </row>
    <row r="3" spans="1:6">
      <c r="A3" s="39" t="s">
        <v>125</v>
      </c>
      <c r="B3">
        <v>50</v>
      </c>
      <c r="C3">
        <v>-75</v>
      </c>
      <c r="D3">
        <v>0</v>
      </c>
      <c r="E3">
        <v>0</v>
      </c>
      <c r="F3" s="49">
        <f>IRR(B3:E3)</f>
        <v>0.49999999999999978</v>
      </c>
    </row>
    <row r="5" spans="1:6">
      <c r="A5" t="s">
        <v>115</v>
      </c>
      <c r="B5" s="3">
        <v>0.1</v>
      </c>
    </row>
    <row r="6" spans="1:6">
      <c r="A6" s="39" t="s">
        <v>126</v>
      </c>
      <c r="B6" s="53">
        <f>NPV(B5,C2:E2)+B2</f>
        <v>29.827197595792597</v>
      </c>
    </row>
    <row r="7" spans="1:6">
      <c r="A7" s="39" t="s">
        <v>127</v>
      </c>
      <c r="B7" s="55">
        <f>NPV(B5,C3:E3)+B3</f>
        <v>-18.181818181818173</v>
      </c>
    </row>
  </sheetData>
  <phoneticPr fontId="1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D4531-93D6-2A4E-8906-A17E2F49034E}">
  <dimension ref="A1:B5"/>
  <sheetViews>
    <sheetView workbookViewId="0">
      <selection activeCell="A2" sqref="A2"/>
    </sheetView>
  </sheetViews>
  <sheetFormatPr baseColWidth="10" defaultRowHeight="13"/>
  <cols>
    <col min="1" max="1" width="111.5" bestFit="1" customWidth="1"/>
  </cols>
  <sheetData>
    <row r="1" spans="1:2">
      <c r="A1" t="s">
        <v>128</v>
      </c>
      <c r="B1" s="39" t="b">
        <v>0</v>
      </c>
    </row>
    <row r="2" spans="1:2">
      <c r="A2" s="39" t="s">
        <v>132</v>
      </c>
      <c r="B2" t="b">
        <v>0</v>
      </c>
    </row>
    <row r="3" spans="1:2">
      <c r="A3" s="39" t="s">
        <v>129</v>
      </c>
      <c r="B3" t="b">
        <v>1</v>
      </c>
    </row>
    <row r="4" spans="1:2">
      <c r="A4" s="39" t="s">
        <v>131</v>
      </c>
      <c r="B4" t="b">
        <v>1</v>
      </c>
    </row>
    <row r="5" spans="1:2">
      <c r="A5" t="s">
        <v>130</v>
      </c>
      <c r="B5" t="b">
        <v>0</v>
      </c>
    </row>
  </sheetData>
  <phoneticPr fontId="1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20"/>
  <sheetViews>
    <sheetView workbookViewId="0">
      <selection activeCell="D20" sqref="D20"/>
    </sheetView>
  </sheetViews>
  <sheetFormatPr baseColWidth="10" defaultColWidth="8.6640625" defaultRowHeight="14"/>
  <cols>
    <col min="1" max="1" width="21.5" style="27" customWidth="1"/>
    <col min="2" max="2" width="11.83203125" style="27" customWidth="1"/>
    <col min="3" max="3" width="10.33203125" style="27" customWidth="1"/>
    <col min="4" max="4" width="31.1640625" style="27" customWidth="1"/>
    <col min="5" max="5" width="14" style="27" customWidth="1"/>
    <col min="6" max="16384" width="8.6640625" style="27"/>
  </cols>
  <sheetData>
    <row r="1" spans="1:4" ht="18">
      <c r="A1" s="47" t="s">
        <v>28</v>
      </c>
      <c r="B1" s="47"/>
      <c r="C1" s="47"/>
      <c r="D1" s="47"/>
    </row>
    <row r="2" spans="1:4">
      <c r="A2" s="27" t="s">
        <v>29</v>
      </c>
      <c r="B2" s="28">
        <v>20000</v>
      </c>
    </row>
    <row r="3" spans="1:4">
      <c r="A3" s="27" t="s">
        <v>30</v>
      </c>
      <c r="B3" s="28">
        <v>5500</v>
      </c>
    </row>
    <row r="4" spans="1:4">
      <c r="A4" s="27" t="s">
        <v>133</v>
      </c>
      <c r="B4" s="28">
        <v>4000</v>
      </c>
      <c r="C4" s="27" t="s">
        <v>31</v>
      </c>
    </row>
    <row r="5" spans="1:4">
      <c r="A5" s="27" t="s">
        <v>32</v>
      </c>
      <c r="B5" s="29">
        <v>0.15</v>
      </c>
    </row>
    <row r="7" spans="1:4" s="32" customFormat="1" ht="28">
      <c r="A7" s="30" t="s">
        <v>5</v>
      </c>
      <c r="B7" s="31" t="s">
        <v>33</v>
      </c>
      <c r="C7" s="31" t="s">
        <v>34</v>
      </c>
    </row>
    <row r="8" spans="1:4">
      <c r="A8" s="32">
        <v>0</v>
      </c>
      <c r="B8" s="28">
        <f>B2</f>
        <v>20000</v>
      </c>
      <c r="C8" s="28">
        <f>B3</f>
        <v>5500</v>
      </c>
    </row>
    <row r="9" spans="1:4">
      <c r="A9" s="32">
        <v>1</v>
      </c>
      <c r="B9" s="28">
        <v>0</v>
      </c>
      <c r="C9" s="28">
        <f>C8</f>
        <v>5500</v>
      </c>
    </row>
    <row r="10" spans="1:4">
      <c r="A10" s="32">
        <v>2</v>
      </c>
      <c r="B10" s="28">
        <v>0</v>
      </c>
      <c r="C10" s="28">
        <f>C9</f>
        <v>5500</v>
      </c>
    </row>
    <row r="11" spans="1:4">
      <c r="A11" s="32">
        <v>3</v>
      </c>
      <c r="B11" s="28">
        <f>-B4</f>
        <v>-4000</v>
      </c>
      <c r="C11" s="28">
        <f>C10</f>
        <v>5500</v>
      </c>
    </row>
    <row r="12" spans="1:4">
      <c r="A12" s="27" t="s">
        <v>55</v>
      </c>
      <c r="B12" s="28">
        <f>NPV($B$5,B9:B11)+B8</f>
        <v>17369.935070272048</v>
      </c>
      <c r="C12" s="28">
        <f>NPV($B$5,C9:C11)+C8</f>
        <v>18057.738144160438</v>
      </c>
      <c r="D12" s="27" t="s">
        <v>134</v>
      </c>
    </row>
    <row r="14" spans="1:4">
      <c r="A14" s="27" t="s">
        <v>30</v>
      </c>
      <c r="B14" s="28">
        <v>5290.5099256514832</v>
      </c>
    </row>
    <row r="15" spans="1:4" ht="28">
      <c r="A15" s="30" t="s">
        <v>5</v>
      </c>
      <c r="B15" s="31" t="s">
        <v>33</v>
      </c>
      <c r="C15" s="31" t="s">
        <v>34</v>
      </c>
    </row>
    <row r="16" spans="1:4">
      <c r="A16" s="32">
        <v>0</v>
      </c>
      <c r="B16" s="28">
        <f>B2</f>
        <v>20000</v>
      </c>
      <c r="C16" s="28">
        <f>B14</f>
        <v>5290.5099256514832</v>
      </c>
    </row>
    <row r="17" spans="1:4">
      <c r="A17" s="32">
        <v>1</v>
      </c>
      <c r="B17" s="28">
        <v>0</v>
      </c>
      <c r="C17" s="28">
        <f>C16</f>
        <v>5290.5099256514832</v>
      </c>
    </row>
    <row r="18" spans="1:4">
      <c r="A18" s="32">
        <v>2</v>
      </c>
      <c r="B18" s="28">
        <v>0</v>
      </c>
      <c r="C18" s="28">
        <f>C17</f>
        <v>5290.5099256514832</v>
      </c>
    </row>
    <row r="19" spans="1:4">
      <c r="A19" s="32">
        <v>3</v>
      </c>
      <c r="B19" s="28">
        <f>-B4</f>
        <v>-4000</v>
      </c>
      <c r="C19" s="28">
        <f>C18</f>
        <v>5290.5099256514832</v>
      </c>
    </row>
    <row r="20" spans="1:4">
      <c r="A20" s="27" t="s">
        <v>55</v>
      </c>
      <c r="B20" s="28">
        <f>NPV($B$5,B17:B19)+B16</f>
        <v>17369.935070272048</v>
      </c>
      <c r="C20" s="28">
        <f>NPV($B$5,C17:C19)+C16</f>
        <v>17369.935070272033</v>
      </c>
      <c r="D20" s="28">
        <f>B20-C20</f>
        <v>0</v>
      </c>
    </row>
  </sheetData>
  <mergeCells count="1">
    <mergeCell ref="A1:D1"/>
  </mergeCells>
  <phoneticPr fontId="1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90CB3-68AB-0544-9A9B-FFE3E01A5310}">
  <dimension ref="A1:D36"/>
  <sheetViews>
    <sheetView workbookViewId="0">
      <selection activeCell="A8" sqref="A8:D34"/>
    </sheetView>
  </sheetViews>
  <sheetFormatPr baseColWidth="10" defaultRowHeight="13"/>
  <cols>
    <col min="1" max="1" width="21.1640625" bestFit="1" customWidth="1"/>
    <col min="2" max="2" width="9.83203125" bestFit="1" customWidth="1"/>
    <col min="3" max="3" width="30.5" bestFit="1" customWidth="1"/>
    <col min="4" max="4" width="21.1640625" bestFit="1" customWidth="1"/>
  </cols>
  <sheetData>
    <row r="1" spans="1:4" ht="18">
      <c r="A1" s="47" t="s">
        <v>28</v>
      </c>
      <c r="B1" s="47"/>
      <c r="C1" s="47"/>
      <c r="D1" s="47"/>
    </row>
    <row r="2" spans="1:4" ht="14">
      <c r="A2" s="27" t="s">
        <v>29</v>
      </c>
      <c r="B2" s="28">
        <v>2000</v>
      </c>
      <c r="C2" s="27"/>
      <c r="D2" s="27"/>
    </row>
    <row r="3" spans="1:4" ht="14">
      <c r="A3" s="27" t="s">
        <v>30</v>
      </c>
      <c r="B3" s="28">
        <v>70</v>
      </c>
      <c r="C3" s="27"/>
      <c r="D3" s="27"/>
    </row>
    <row r="4" spans="1:4" ht="14">
      <c r="A4" s="27" t="s">
        <v>136</v>
      </c>
      <c r="B4" s="28">
        <v>500</v>
      </c>
      <c r="C4" s="27" t="s">
        <v>137</v>
      </c>
      <c r="D4" s="27"/>
    </row>
    <row r="5" spans="1:4" ht="14">
      <c r="A5" s="27" t="s">
        <v>32</v>
      </c>
      <c r="B5" s="29">
        <v>0.2</v>
      </c>
      <c r="C5" s="27"/>
      <c r="D5" s="27"/>
    </row>
    <row r="6" spans="1:4" ht="14">
      <c r="A6" s="27" t="s">
        <v>138</v>
      </c>
      <c r="B6" s="56">
        <f>(1+B5)^(1/12)-1</f>
        <v>1.5309470499731193E-2</v>
      </c>
      <c r="C6" s="27"/>
      <c r="D6" s="27"/>
    </row>
    <row r="7" spans="1:4" ht="14">
      <c r="A7" s="27"/>
      <c r="B7" s="27"/>
      <c r="C7" s="27"/>
      <c r="D7" s="27"/>
    </row>
    <row r="8" spans="1:4" ht="28">
      <c r="A8" s="30" t="s">
        <v>139</v>
      </c>
      <c r="B8" s="31" t="s">
        <v>33</v>
      </c>
      <c r="C8" s="31" t="s">
        <v>34</v>
      </c>
      <c r="D8" s="32"/>
    </row>
    <row r="9" spans="1:4" ht="14">
      <c r="A9" s="32">
        <v>0</v>
      </c>
      <c r="B9" s="28">
        <f>B2</f>
        <v>2000</v>
      </c>
      <c r="C9" s="28">
        <f>B3</f>
        <v>70</v>
      </c>
      <c r="D9" s="27"/>
    </row>
    <row r="10" spans="1:4" ht="14">
      <c r="A10" s="32">
        <v>1</v>
      </c>
      <c r="B10" s="28">
        <v>0</v>
      </c>
      <c r="C10" s="28">
        <f>C9</f>
        <v>70</v>
      </c>
      <c r="D10" s="27"/>
    </row>
    <row r="11" spans="1:4" ht="14">
      <c r="A11" s="32">
        <v>2</v>
      </c>
      <c r="B11" s="28">
        <v>0</v>
      </c>
      <c r="C11" s="28">
        <f>C10</f>
        <v>70</v>
      </c>
      <c r="D11" s="27"/>
    </row>
    <row r="12" spans="1:4" ht="14">
      <c r="A12" s="32">
        <v>3</v>
      </c>
      <c r="B12" s="28">
        <v>0</v>
      </c>
      <c r="C12" s="28">
        <f>C11</f>
        <v>70</v>
      </c>
      <c r="D12" s="27"/>
    </row>
    <row r="13" spans="1:4" ht="14">
      <c r="A13" s="32">
        <v>4</v>
      </c>
      <c r="B13" s="28">
        <v>0</v>
      </c>
      <c r="C13" s="28">
        <f t="shared" ref="C13:C33" si="0">C12</f>
        <v>70</v>
      </c>
      <c r="D13" s="27"/>
    </row>
    <row r="14" spans="1:4" ht="14">
      <c r="A14" s="32">
        <v>5</v>
      </c>
      <c r="B14" s="28">
        <v>0</v>
      </c>
      <c r="C14" s="28">
        <f t="shared" si="0"/>
        <v>70</v>
      </c>
    </row>
    <row r="15" spans="1:4" ht="14">
      <c r="A15" s="32">
        <v>6</v>
      </c>
      <c r="B15" s="28">
        <v>0</v>
      </c>
      <c r="C15" s="28">
        <f t="shared" si="0"/>
        <v>70</v>
      </c>
    </row>
    <row r="16" spans="1:4" ht="14">
      <c r="A16" s="32">
        <v>7</v>
      </c>
      <c r="B16" s="28">
        <v>0</v>
      </c>
      <c r="C16" s="28">
        <f t="shared" si="0"/>
        <v>70</v>
      </c>
    </row>
    <row r="17" spans="1:3" ht="14">
      <c r="A17" s="32">
        <v>8</v>
      </c>
      <c r="B17" s="28">
        <v>0</v>
      </c>
      <c r="C17" s="28">
        <f t="shared" si="0"/>
        <v>70</v>
      </c>
    </row>
    <row r="18" spans="1:3" ht="14">
      <c r="A18" s="32">
        <v>9</v>
      </c>
      <c r="B18" s="28">
        <v>0</v>
      </c>
      <c r="C18" s="28">
        <f t="shared" si="0"/>
        <v>70</v>
      </c>
    </row>
    <row r="19" spans="1:3" ht="14">
      <c r="A19" s="32">
        <v>10</v>
      </c>
      <c r="B19" s="28">
        <v>0</v>
      </c>
      <c r="C19" s="28">
        <f t="shared" si="0"/>
        <v>70</v>
      </c>
    </row>
    <row r="20" spans="1:3" ht="14">
      <c r="A20" s="32">
        <v>11</v>
      </c>
      <c r="B20" s="28">
        <v>0</v>
      </c>
      <c r="C20" s="28">
        <f t="shared" si="0"/>
        <v>70</v>
      </c>
    </row>
    <row r="21" spans="1:3" ht="14">
      <c r="A21" s="32">
        <v>12</v>
      </c>
      <c r="B21" s="28">
        <v>0</v>
      </c>
      <c r="C21" s="28">
        <f t="shared" si="0"/>
        <v>70</v>
      </c>
    </row>
    <row r="22" spans="1:3" ht="14">
      <c r="A22" s="32">
        <v>13</v>
      </c>
      <c r="B22" s="28">
        <v>0</v>
      </c>
      <c r="C22" s="28">
        <f t="shared" si="0"/>
        <v>70</v>
      </c>
    </row>
    <row r="23" spans="1:3" ht="14">
      <c r="A23" s="32">
        <v>14</v>
      </c>
      <c r="B23" s="28">
        <v>0</v>
      </c>
      <c r="C23" s="28">
        <f t="shared" si="0"/>
        <v>70</v>
      </c>
    </row>
    <row r="24" spans="1:3" ht="14">
      <c r="A24" s="32">
        <v>15</v>
      </c>
      <c r="B24" s="28">
        <v>0</v>
      </c>
      <c r="C24" s="28">
        <f t="shared" si="0"/>
        <v>70</v>
      </c>
    </row>
    <row r="25" spans="1:3" ht="14">
      <c r="A25" s="32">
        <v>16</v>
      </c>
      <c r="B25" s="28">
        <v>0</v>
      </c>
      <c r="C25" s="28">
        <f t="shared" si="0"/>
        <v>70</v>
      </c>
    </row>
    <row r="26" spans="1:3" ht="14">
      <c r="A26" s="32">
        <v>17</v>
      </c>
      <c r="B26" s="28">
        <v>0</v>
      </c>
      <c r="C26" s="28">
        <f t="shared" si="0"/>
        <v>70</v>
      </c>
    </row>
    <row r="27" spans="1:3" ht="14">
      <c r="A27" s="32">
        <v>18</v>
      </c>
      <c r="B27" s="28">
        <v>0</v>
      </c>
      <c r="C27" s="28">
        <f t="shared" si="0"/>
        <v>70</v>
      </c>
    </row>
    <row r="28" spans="1:3" ht="14">
      <c r="A28" s="32">
        <v>19</v>
      </c>
      <c r="B28" s="28">
        <v>0</v>
      </c>
      <c r="C28" s="28">
        <f t="shared" si="0"/>
        <v>70</v>
      </c>
    </row>
    <row r="29" spans="1:3" ht="14">
      <c r="A29" s="32">
        <v>20</v>
      </c>
      <c r="B29" s="28">
        <v>0</v>
      </c>
      <c r="C29" s="28">
        <f t="shared" si="0"/>
        <v>70</v>
      </c>
    </row>
    <row r="30" spans="1:3" ht="14">
      <c r="A30" s="32">
        <v>21</v>
      </c>
      <c r="B30" s="28">
        <v>0</v>
      </c>
      <c r="C30" s="28">
        <f t="shared" si="0"/>
        <v>70</v>
      </c>
    </row>
    <row r="31" spans="1:3" ht="14">
      <c r="A31" s="32">
        <v>22</v>
      </c>
      <c r="B31" s="28">
        <v>0</v>
      </c>
      <c r="C31" s="28">
        <f t="shared" si="0"/>
        <v>70</v>
      </c>
    </row>
    <row r="32" spans="1:3" ht="14">
      <c r="A32" s="32">
        <v>23</v>
      </c>
      <c r="B32" s="28">
        <v>0</v>
      </c>
      <c r="C32" s="28">
        <f t="shared" si="0"/>
        <v>70</v>
      </c>
    </row>
    <row r="33" spans="1:4" ht="14">
      <c r="A33" s="32">
        <v>24</v>
      </c>
      <c r="B33" s="28">
        <f>-B4</f>
        <v>-500</v>
      </c>
      <c r="C33" s="28"/>
    </row>
    <row r="34" spans="1:4">
      <c r="B34" s="36">
        <f>NPV($B$6,B10:B33)+B9</f>
        <v>1652.7777777777776</v>
      </c>
      <c r="C34" s="36">
        <f>NPV($B$6,C10:C33)+C9</f>
        <v>1418.4906952031185</v>
      </c>
      <c r="D34" s="39" t="s">
        <v>140</v>
      </c>
    </row>
    <row r="35" spans="1:4">
      <c r="B35" s="39"/>
    </row>
    <row r="36" spans="1:4">
      <c r="C36" s="36"/>
    </row>
  </sheetData>
  <mergeCells count="1">
    <mergeCell ref="A1:D1"/>
  </mergeCells>
  <phoneticPr fontId="1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44"/>
  <sheetViews>
    <sheetView workbookViewId="0">
      <selection activeCell="A13" sqref="A13"/>
    </sheetView>
  </sheetViews>
  <sheetFormatPr baseColWidth="10" defaultColWidth="8.6640625" defaultRowHeight="14"/>
  <cols>
    <col min="1" max="1" width="36.83203125" style="27" customWidth="1"/>
    <col min="2" max="2" width="10.83203125" style="27" bestFit="1" customWidth="1"/>
    <col min="3" max="3" width="54.6640625" style="27" bestFit="1" customWidth="1"/>
    <col min="4" max="4" width="10.33203125" style="27" customWidth="1"/>
    <col min="5" max="5" width="9.83203125" style="27" customWidth="1"/>
    <col min="6" max="7" width="8.6640625" style="27"/>
    <col min="8" max="8" width="15.6640625" style="27" customWidth="1"/>
    <col min="9" max="9" width="9.6640625" style="27" bestFit="1" customWidth="1"/>
    <col min="10" max="10" width="9.33203125" style="27" bestFit="1" customWidth="1"/>
    <col min="11" max="12" width="9.6640625" style="27" bestFit="1" customWidth="1"/>
    <col min="13" max="14" width="8.6640625" style="27"/>
    <col min="15" max="15" width="9" style="27" customWidth="1"/>
    <col min="16" max="16384" width="8.6640625" style="27"/>
  </cols>
  <sheetData>
    <row r="1" spans="1:8" ht="18">
      <c r="A1" s="47" t="s">
        <v>35</v>
      </c>
      <c r="B1" s="47"/>
      <c r="C1" s="47"/>
      <c r="D1" s="47"/>
      <c r="E1" s="47"/>
      <c r="F1" s="47"/>
    </row>
    <row r="2" spans="1:8">
      <c r="A2" s="27" t="s">
        <v>36</v>
      </c>
      <c r="B2" s="33">
        <v>50000</v>
      </c>
      <c r="C2" s="27" t="s">
        <v>37</v>
      </c>
    </row>
    <row r="3" spans="1:8">
      <c r="A3" s="27" t="s">
        <v>38</v>
      </c>
      <c r="B3" s="33">
        <v>45000</v>
      </c>
      <c r="C3" s="27" t="s">
        <v>39</v>
      </c>
    </row>
    <row r="4" spans="1:8">
      <c r="A4" s="27" t="s">
        <v>40</v>
      </c>
      <c r="B4" s="33">
        <v>415</v>
      </c>
      <c r="C4" s="27" t="s">
        <v>41</v>
      </c>
    </row>
    <row r="5" spans="1:8">
      <c r="A5" s="27" t="s">
        <v>42</v>
      </c>
      <c r="B5" s="33">
        <v>450</v>
      </c>
      <c r="C5" s="27" t="s">
        <v>43</v>
      </c>
    </row>
    <row r="6" spans="1:8">
      <c r="A6" s="27" t="s">
        <v>44</v>
      </c>
      <c r="B6" s="33">
        <v>450</v>
      </c>
      <c r="C6" s="27" t="s">
        <v>45</v>
      </c>
    </row>
    <row r="7" spans="1:8">
      <c r="B7" s="33"/>
    </row>
    <row r="8" spans="1:8">
      <c r="A8" s="27" t="s">
        <v>141</v>
      </c>
      <c r="B8" s="33">
        <v>1315</v>
      </c>
    </row>
    <row r="9" spans="1:8">
      <c r="A9" s="27" t="s">
        <v>46</v>
      </c>
      <c r="B9" s="33">
        <v>600</v>
      </c>
      <c r="C9" s="27" t="s">
        <v>47</v>
      </c>
    </row>
    <row r="11" spans="1:8">
      <c r="A11" s="27" t="s">
        <v>48</v>
      </c>
      <c r="B11" s="34">
        <v>0.6</v>
      </c>
    </row>
    <row r="12" spans="1:8">
      <c r="A12" s="27" t="s">
        <v>142</v>
      </c>
      <c r="B12" s="33">
        <f>B11*B2</f>
        <v>30000</v>
      </c>
      <c r="C12" s="27" t="str">
        <f ca="1">getformula(B12)</f>
        <v>&lt;-- =B11*B2</v>
      </c>
    </row>
    <row r="13" spans="1:8">
      <c r="A13" s="27" t="s">
        <v>143</v>
      </c>
      <c r="B13" s="33">
        <v>35000</v>
      </c>
      <c r="C13" s="27" t="s">
        <v>144</v>
      </c>
    </row>
    <row r="15" spans="1:8">
      <c r="A15" s="35" t="s">
        <v>49</v>
      </c>
      <c r="B15" s="29">
        <v>7.0000000000000007E-2</v>
      </c>
      <c r="H15" s="35"/>
    </row>
    <row r="16" spans="1:8">
      <c r="A16" s="27" t="s">
        <v>145</v>
      </c>
      <c r="B16" s="57">
        <f>(1+B15)^(1/12)-1</f>
        <v>5.6541453874052738E-3</v>
      </c>
    </row>
    <row r="18" spans="1:8" ht="28">
      <c r="A18" s="30" t="s">
        <v>139</v>
      </c>
      <c r="B18" s="31" t="s">
        <v>33</v>
      </c>
      <c r="C18" s="31" t="s">
        <v>34</v>
      </c>
      <c r="D18" s="32"/>
    </row>
    <row r="19" spans="1:8">
      <c r="A19" s="32">
        <v>0</v>
      </c>
      <c r="B19" s="28">
        <f>B3+B4</f>
        <v>45415</v>
      </c>
      <c r="C19" s="28">
        <f>B4+B5+B8</f>
        <v>2180</v>
      </c>
    </row>
    <row r="20" spans="1:8">
      <c r="A20" s="32">
        <v>1</v>
      </c>
      <c r="B20" s="28">
        <v>0</v>
      </c>
      <c r="C20" s="28">
        <f>B9</f>
        <v>600</v>
      </c>
      <c r="G20" s="28">
        <f>B44</f>
        <v>14844.644510437585</v>
      </c>
      <c r="H20" s="58">
        <f>C44</f>
        <v>15217.233867346635</v>
      </c>
    </row>
    <row r="21" spans="1:8">
      <c r="A21" s="32">
        <v>2</v>
      </c>
      <c r="B21" s="28">
        <v>0</v>
      </c>
      <c r="C21" s="28">
        <f>C20</f>
        <v>600</v>
      </c>
      <c r="F21" s="27">
        <v>10000</v>
      </c>
      <c r="G21" s="27">
        <f t="dataTable" ref="G21:H37" dt2D="0" dtr="0" r1="B13"/>
        <v>36680.612717267883</v>
      </c>
      <c r="H21" s="27">
        <v>15217.233867346635</v>
      </c>
    </row>
    <row r="22" spans="1:8">
      <c r="A22" s="32">
        <v>3</v>
      </c>
      <c r="B22" s="28">
        <v>0</v>
      </c>
      <c r="C22" s="28">
        <f>C21</f>
        <v>600</v>
      </c>
      <c r="F22" s="27">
        <v>10500</v>
      </c>
      <c r="G22" s="27">
        <v>36243.89335313128</v>
      </c>
      <c r="H22" s="27">
        <v>15217.233867346635</v>
      </c>
    </row>
    <row r="23" spans="1:8">
      <c r="A23" s="32">
        <v>4</v>
      </c>
      <c r="B23" s="28">
        <v>0</v>
      </c>
      <c r="C23" s="28">
        <f t="shared" ref="C23:C43" si="0">C22</f>
        <v>600</v>
      </c>
      <c r="F23" s="27">
        <v>11000</v>
      </c>
      <c r="G23" s="27">
        <v>35807.173988994669</v>
      </c>
      <c r="H23" s="27">
        <v>15217.233867346635</v>
      </c>
    </row>
    <row r="24" spans="1:8">
      <c r="A24" s="32">
        <v>5</v>
      </c>
      <c r="B24" s="28">
        <v>0</v>
      </c>
      <c r="C24" s="28">
        <f t="shared" si="0"/>
        <v>600</v>
      </c>
      <c r="D24"/>
      <c r="F24" s="27">
        <v>11500</v>
      </c>
      <c r="G24" s="27">
        <v>35370.454624858066</v>
      </c>
      <c r="H24" s="27">
        <v>15217.233867346635</v>
      </c>
    </row>
    <row r="25" spans="1:8">
      <c r="A25" s="32">
        <v>6</v>
      </c>
      <c r="B25" s="28">
        <v>0</v>
      </c>
      <c r="C25" s="28">
        <f t="shared" si="0"/>
        <v>600</v>
      </c>
      <c r="D25"/>
      <c r="F25" s="27">
        <v>12000</v>
      </c>
      <c r="G25" s="27">
        <v>34933.735260721456</v>
      </c>
      <c r="H25" s="27">
        <v>15217.233867346635</v>
      </c>
    </row>
    <row r="26" spans="1:8">
      <c r="A26" s="32">
        <v>7</v>
      </c>
      <c r="B26" s="28">
        <v>0</v>
      </c>
      <c r="C26" s="28">
        <f t="shared" si="0"/>
        <v>600</v>
      </c>
      <c r="D26"/>
      <c r="F26" s="27">
        <v>12500</v>
      </c>
      <c r="G26" s="27">
        <v>34497.015896584853</v>
      </c>
      <c r="H26" s="27">
        <v>15217.233867346635</v>
      </c>
    </row>
    <row r="27" spans="1:8">
      <c r="A27" s="32">
        <v>8</v>
      </c>
      <c r="B27" s="28">
        <v>0</v>
      </c>
      <c r="C27" s="28">
        <f t="shared" si="0"/>
        <v>600</v>
      </c>
      <c r="D27"/>
      <c r="F27" s="27">
        <v>13000</v>
      </c>
      <c r="G27" s="27">
        <v>34060.29653244825</v>
      </c>
      <c r="H27" s="27">
        <v>15217.233867346635</v>
      </c>
    </row>
    <row r="28" spans="1:8">
      <c r="A28" s="32">
        <v>9</v>
      </c>
      <c r="B28" s="28">
        <v>0</v>
      </c>
      <c r="C28" s="28">
        <f t="shared" si="0"/>
        <v>600</v>
      </c>
      <c r="D28"/>
      <c r="F28" s="27">
        <v>13500</v>
      </c>
      <c r="G28" s="27">
        <v>33623.57716831164</v>
      </c>
      <c r="H28" s="27">
        <v>15217.233867346635</v>
      </c>
    </row>
    <row r="29" spans="1:8">
      <c r="A29" s="32">
        <v>10</v>
      </c>
      <c r="B29" s="28">
        <v>0</v>
      </c>
      <c r="C29" s="28">
        <f t="shared" si="0"/>
        <v>600</v>
      </c>
      <c r="D29"/>
      <c r="F29" s="27">
        <v>14000</v>
      </c>
      <c r="G29" s="27">
        <v>33186.857804175037</v>
      </c>
      <c r="H29" s="27">
        <v>15217.233867346635</v>
      </c>
    </row>
    <row r="30" spans="1:8">
      <c r="A30" s="32">
        <v>11</v>
      </c>
      <c r="B30" s="28">
        <v>0</v>
      </c>
      <c r="C30" s="28">
        <f t="shared" si="0"/>
        <v>600</v>
      </c>
      <c r="D30"/>
      <c r="F30" s="27">
        <v>14500</v>
      </c>
      <c r="G30" s="27">
        <v>32750.138440038427</v>
      </c>
      <c r="H30" s="27">
        <v>15217.233867346635</v>
      </c>
    </row>
    <row r="31" spans="1:8">
      <c r="A31" s="32">
        <v>12</v>
      </c>
      <c r="B31" s="28">
        <v>0</v>
      </c>
      <c r="C31" s="28">
        <f t="shared" si="0"/>
        <v>600</v>
      </c>
      <c r="D31"/>
      <c r="F31" s="27">
        <v>15000</v>
      </c>
      <c r="G31" s="27">
        <v>32313.419075901824</v>
      </c>
      <c r="H31" s="27">
        <v>15217.233867346635</v>
      </c>
    </row>
    <row r="32" spans="1:8">
      <c r="A32" s="32">
        <v>13</v>
      </c>
      <c r="B32" s="28">
        <v>0</v>
      </c>
      <c r="C32" s="28">
        <f t="shared" si="0"/>
        <v>600</v>
      </c>
      <c r="D32"/>
      <c r="F32" s="27">
        <v>15500</v>
      </c>
      <c r="G32" s="27">
        <v>31876.699711765217</v>
      </c>
      <c r="H32" s="27">
        <v>15217.233867346635</v>
      </c>
    </row>
    <row r="33" spans="1:8">
      <c r="A33" s="32">
        <v>14</v>
      </c>
      <c r="B33" s="28">
        <v>0</v>
      </c>
      <c r="C33" s="28">
        <f t="shared" si="0"/>
        <v>600</v>
      </c>
      <c r="D33"/>
      <c r="F33" s="27">
        <v>16000</v>
      </c>
      <c r="G33" s="27">
        <v>31439.980347628611</v>
      </c>
      <c r="H33" s="27">
        <v>15217.233867346635</v>
      </c>
    </row>
    <row r="34" spans="1:8">
      <c r="A34" s="32">
        <v>15</v>
      </c>
      <c r="B34" s="28">
        <v>0</v>
      </c>
      <c r="C34" s="28">
        <f t="shared" si="0"/>
        <v>600</v>
      </c>
      <c r="D34"/>
      <c r="F34" s="27">
        <v>16500</v>
      </c>
      <c r="G34" s="27">
        <v>31003.260983492004</v>
      </c>
      <c r="H34" s="27">
        <v>15217.233867346635</v>
      </c>
    </row>
    <row r="35" spans="1:8">
      <c r="A35" s="32">
        <v>16</v>
      </c>
      <c r="B35" s="28">
        <v>0</v>
      </c>
      <c r="C35" s="28">
        <f t="shared" si="0"/>
        <v>600</v>
      </c>
      <c r="D35"/>
      <c r="F35" s="27">
        <v>17000</v>
      </c>
      <c r="G35" s="27">
        <v>30566.541619355397</v>
      </c>
      <c r="H35" s="27">
        <v>15217.233867346635</v>
      </c>
    </row>
    <row r="36" spans="1:8">
      <c r="A36" s="32">
        <v>17</v>
      </c>
      <c r="B36" s="28">
        <v>0</v>
      </c>
      <c r="C36" s="28">
        <f t="shared" si="0"/>
        <v>600</v>
      </c>
      <c r="D36"/>
      <c r="F36" s="27">
        <v>17500</v>
      </c>
      <c r="G36" s="27">
        <v>30129.822255218794</v>
      </c>
      <c r="H36" s="27">
        <v>15217.233867346635</v>
      </c>
    </row>
    <row r="37" spans="1:8">
      <c r="A37" s="32">
        <v>18</v>
      </c>
      <c r="B37" s="28">
        <v>0</v>
      </c>
      <c r="C37" s="28">
        <f t="shared" si="0"/>
        <v>600</v>
      </c>
      <c r="D37"/>
      <c r="F37" s="27">
        <v>18000</v>
      </c>
      <c r="G37" s="27">
        <v>29693.102891082188</v>
      </c>
      <c r="H37" s="27">
        <v>15217.233867346635</v>
      </c>
    </row>
    <row r="38" spans="1:8">
      <c r="A38" s="32">
        <v>19</v>
      </c>
      <c r="B38" s="28">
        <v>0</v>
      </c>
      <c r="C38" s="28">
        <f t="shared" si="0"/>
        <v>600</v>
      </c>
      <c r="D38"/>
    </row>
    <row r="39" spans="1:8">
      <c r="A39" s="32">
        <v>20</v>
      </c>
      <c r="B39" s="28">
        <v>0</v>
      </c>
      <c r="C39" s="28">
        <f t="shared" si="0"/>
        <v>600</v>
      </c>
      <c r="D39"/>
    </row>
    <row r="40" spans="1:8">
      <c r="A40" s="32">
        <v>21</v>
      </c>
      <c r="B40" s="28">
        <v>0</v>
      </c>
      <c r="C40" s="28">
        <f t="shared" si="0"/>
        <v>600</v>
      </c>
      <c r="D40"/>
    </row>
    <row r="41" spans="1:8">
      <c r="A41" s="32">
        <v>22</v>
      </c>
      <c r="B41" s="28">
        <v>0</v>
      </c>
      <c r="C41" s="28">
        <f t="shared" si="0"/>
        <v>600</v>
      </c>
      <c r="D41"/>
    </row>
    <row r="42" spans="1:8">
      <c r="A42" s="32">
        <v>23</v>
      </c>
      <c r="B42" s="28">
        <v>0</v>
      </c>
      <c r="C42" s="28">
        <f t="shared" si="0"/>
        <v>600</v>
      </c>
      <c r="D42"/>
    </row>
    <row r="43" spans="1:8">
      <c r="A43" s="32">
        <v>24</v>
      </c>
      <c r="B43" s="28">
        <f>-B13</f>
        <v>-35000</v>
      </c>
      <c r="C43" s="28">
        <f>C42-B6</f>
        <v>150</v>
      </c>
      <c r="D43"/>
    </row>
    <row r="44" spans="1:8">
      <c r="A44"/>
      <c r="B44" s="36">
        <f>NPV($B$16,B20:B43)+B19</f>
        <v>14844.644510437585</v>
      </c>
      <c r="C44" s="36">
        <f>NPV($B$16,C20:C43)+C19</f>
        <v>15217.233867346635</v>
      </c>
      <c r="D44" s="39" t="s">
        <v>146</v>
      </c>
    </row>
  </sheetData>
  <mergeCells count="1">
    <mergeCell ref="A1:F1"/>
  </mergeCells>
  <phoneticPr fontId="1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87F80-131D-854A-AF7B-E69B27D23F0A}">
  <dimension ref="A1:H17"/>
  <sheetViews>
    <sheetView workbookViewId="0">
      <selection activeCell="A18" sqref="A18"/>
    </sheetView>
  </sheetViews>
  <sheetFormatPr baseColWidth="10" defaultRowHeight="13"/>
  <cols>
    <col min="1" max="1" width="15" bestFit="1" customWidth="1"/>
    <col min="7" max="7" width="8.5" bestFit="1" customWidth="1"/>
    <col min="8" max="8" width="12.1640625" bestFit="1" customWidth="1"/>
  </cols>
  <sheetData>
    <row r="1" spans="1:8">
      <c r="A1" s="39" t="s">
        <v>147</v>
      </c>
      <c r="B1">
        <v>0</v>
      </c>
      <c r="C1">
        <v>1</v>
      </c>
      <c r="D1">
        <v>2</v>
      </c>
      <c r="E1">
        <v>3</v>
      </c>
      <c r="F1" s="39" t="s">
        <v>68</v>
      </c>
      <c r="G1" s="39" t="s">
        <v>75</v>
      </c>
      <c r="H1" s="39" t="s">
        <v>153</v>
      </c>
    </row>
    <row r="2" spans="1:8">
      <c r="A2" s="39" t="s">
        <v>70</v>
      </c>
      <c r="B2">
        <v>-200</v>
      </c>
      <c r="C2">
        <v>0</v>
      </c>
      <c r="D2">
        <v>0</v>
      </c>
      <c r="E2">
        <v>500</v>
      </c>
      <c r="F2" s="3">
        <f>IRR(B2:E2)</f>
        <v>0.35720880829745005</v>
      </c>
      <c r="G2" s="55">
        <f>NPV($F$5,C2:E2)+B2</f>
        <v>175.65740045078877</v>
      </c>
      <c r="H2">
        <f>G2/-B2</f>
        <v>0.87828700225394385</v>
      </c>
    </row>
    <row r="3" spans="1:8">
      <c r="A3" s="39" t="s">
        <v>71</v>
      </c>
      <c r="B3">
        <v>-50</v>
      </c>
      <c r="C3">
        <v>40</v>
      </c>
      <c r="D3">
        <v>40</v>
      </c>
      <c r="E3">
        <v>40</v>
      </c>
      <c r="F3" s="3">
        <f t="shared" ref="F3:F5" si="0">IRR(B3:E3)</f>
        <v>0.60735719639169461</v>
      </c>
      <c r="G3" s="55">
        <f t="shared" ref="G3:G5" si="1">NPV($F$5,C3:E3)+B3</f>
        <v>49.474079639368881</v>
      </c>
      <c r="H3">
        <f t="shared" ref="H3:H5" si="2">G3/-B3</f>
        <v>0.98948159278737757</v>
      </c>
    </row>
    <row r="4" spans="1:8">
      <c r="A4" s="39" t="s">
        <v>72</v>
      </c>
      <c r="B4">
        <v>-75</v>
      </c>
      <c r="C4">
        <v>45</v>
      </c>
      <c r="D4">
        <v>45</v>
      </c>
      <c r="E4">
        <v>70</v>
      </c>
      <c r="F4" s="3">
        <f t="shared" si="0"/>
        <v>0.45406960544474062</v>
      </c>
      <c r="G4" s="55">
        <f t="shared" si="1"/>
        <v>55.69120961682944</v>
      </c>
      <c r="H4">
        <f t="shared" si="2"/>
        <v>0.74254946155772583</v>
      </c>
    </row>
    <row r="5" spans="1:8">
      <c r="A5" s="39" t="s">
        <v>148</v>
      </c>
      <c r="B5">
        <v>-100</v>
      </c>
      <c r="C5">
        <v>0</v>
      </c>
      <c r="D5">
        <v>0</v>
      </c>
      <c r="E5">
        <v>133.1</v>
      </c>
      <c r="F5" s="3">
        <f t="shared" si="0"/>
        <v>0.10000000000000009</v>
      </c>
      <c r="G5" s="55">
        <f t="shared" si="1"/>
        <v>0</v>
      </c>
      <c r="H5">
        <f t="shared" si="2"/>
        <v>0</v>
      </c>
    </row>
    <row r="6" spans="1:8">
      <c r="A6" s="39"/>
      <c r="F6" s="3"/>
      <c r="G6" s="55"/>
    </row>
    <row r="7" spans="1:8">
      <c r="A7" s="39" t="s">
        <v>85</v>
      </c>
    </row>
    <row r="8" spans="1:8">
      <c r="A8" t="s">
        <v>149</v>
      </c>
      <c r="B8" s="3">
        <f>F5</f>
        <v>0.10000000000000009</v>
      </c>
    </row>
    <row r="10" spans="1:8">
      <c r="A10" s="39" t="s">
        <v>88</v>
      </c>
    </row>
    <row r="11" spans="1:8">
      <c r="A11" s="39" t="s">
        <v>150</v>
      </c>
    </row>
    <row r="13" spans="1:8">
      <c r="A13" s="39" t="s">
        <v>151</v>
      </c>
    </row>
    <row r="14" spans="1:8">
      <c r="A14" s="39" t="s">
        <v>152</v>
      </c>
    </row>
    <row r="16" spans="1:8">
      <c r="A16" s="39" t="s">
        <v>93</v>
      </c>
    </row>
    <row r="17" spans="1:1">
      <c r="A17" s="39" t="s">
        <v>154</v>
      </c>
    </row>
  </sheetData>
  <phoneticPr fontId="1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30CB1-79E0-1D46-92FE-42A33D502ACE}">
  <dimension ref="A1:C70"/>
  <sheetViews>
    <sheetView topLeftCell="A36" workbookViewId="0">
      <selection activeCell="B70" sqref="B70"/>
    </sheetView>
  </sheetViews>
  <sheetFormatPr baseColWidth="10" defaultRowHeight="13"/>
  <cols>
    <col min="1" max="1" width="17.33203125" bestFit="1" customWidth="1"/>
    <col min="2" max="2" width="22" bestFit="1" customWidth="1"/>
    <col min="3" max="3" width="30.1640625" bestFit="1" customWidth="1"/>
  </cols>
  <sheetData>
    <row r="1" spans="1:2">
      <c r="A1" s="39" t="s">
        <v>155</v>
      </c>
      <c r="B1">
        <v>20000</v>
      </c>
    </row>
    <row r="2" spans="1:2">
      <c r="A2" s="39" t="s">
        <v>156</v>
      </c>
      <c r="B2">
        <v>5</v>
      </c>
    </row>
    <row r="3" spans="1:2">
      <c r="A3" s="39" t="s">
        <v>157</v>
      </c>
      <c r="B3">
        <v>5000</v>
      </c>
    </row>
    <row r="4" spans="1:2">
      <c r="A4" s="39" t="s">
        <v>54</v>
      </c>
      <c r="B4">
        <v>350</v>
      </c>
    </row>
    <row r="5" spans="1:2">
      <c r="A5" t="s">
        <v>115</v>
      </c>
      <c r="B5" s="49">
        <v>5.0000000000000001E-3</v>
      </c>
    </row>
    <row r="7" spans="1:2">
      <c r="A7" s="39" t="s">
        <v>158</v>
      </c>
      <c r="B7" s="39" t="s">
        <v>159</v>
      </c>
    </row>
    <row r="8" spans="1:2">
      <c r="A8">
        <v>0</v>
      </c>
      <c r="B8" s="39">
        <v>20000</v>
      </c>
    </row>
    <row r="9" spans="1:2">
      <c r="A9">
        <v>1</v>
      </c>
      <c r="B9" s="39">
        <v>0</v>
      </c>
    </row>
    <row r="10" spans="1:2">
      <c r="A10">
        <v>2</v>
      </c>
      <c r="B10" s="39">
        <v>0</v>
      </c>
    </row>
    <row r="11" spans="1:2">
      <c r="A11">
        <v>3</v>
      </c>
      <c r="B11" s="39">
        <v>0</v>
      </c>
    </row>
    <row r="12" spans="1:2">
      <c r="A12">
        <v>4</v>
      </c>
      <c r="B12" s="39">
        <v>0</v>
      </c>
    </row>
    <row r="13" spans="1:2">
      <c r="A13">
        <v>5</v>
      </c>
      <c r="B13" s="39">
        <v>0</v>
      </c>
    </row>
    <row r="14" spans="1:2">
      <c r="A14">
        <v>6</v>
      </c>
      <c r="B14" s="39">
        <v>0</v>
      </c>
    </row>
    <row r="15" spans="1:2">
      <c r="A15">
        <v>7</v>
      </c>
      <c r="B15" s="39">
        <v>0</v>
      </c>
    </row>
    <row r="16" spans="1:2">
      <c r="A16">
        <v>8</v>
      </c>
      <c r="B16" s="39">
        <v>0</v>
      </c>
    </row>
    <row r="17" spans="1:2">
      <c r="A17">
        <v>9</v>
      </c>
      <c r="B17" s="39">
        <v>0</v>
      </c>
    </row>
    <row r="18" spans="1:2">
      <c r="A18">
        <v>10</v>
      </c>
      <c r="B18" s="39">
        <v>0</v>
      </c>
    </row>
    <row r="19" spans="1:2">
      <c r="A19">
        <v>11</v>
      </c>
      <c r="B19" s="39">
        <v>0</v>
      </c>
    </row>
    <row r="20" spans="1:2">
      <c r="A20">
        <v>12</v>
      </c>
      <c r="B20" s="39">
        <v>0</v>
      </c>
    </row>
    <row r="21" spans="1:2">
      <c r="A21">
        <v>13</v>
      </c>
      <c r="B21" s="39">
        <v>0</v>
      </c>
    </row>
    <row r="22" spans="1:2">
      <c r="A22">
        <v>14</v>
      </c>
      <c r="B22" s="39">
        <v>0</v>
      </c>
    </row>
    <row r="23" spans="1:2">
      <c r="A23">
        <v>15</v>
      </c>
      <c r="B23" s="39">
        <v>0</v>
      </c>
    </row>
    <row r="24" spans="1:2">
      <c r="A24">
        <v>16</v>
      </c>
      <c r="B24" s="39">
        <v>0</v>
      </c>
    </row>
    <row r="25" spans="1:2">
      <c r="A25">
        <v>17</v>
      </c>
      <c r="B25" s="39">
        <v>0</v>
      </c>
    </row>
    <row r="26" spans="1:2">
      <c r="A26">
        <v>18</v>
      </c>
      <c r="B26" s="39">
        <v>0</v>
      </c>
    </row>
    <row r="27" spans="1:2">
      <c r="A27">
        <v>19</v>
      </c>
      <c r="B27" s="39">
        <v>0</v>
      </c>
    </row>
    <row r="28" spans="1:2">
      <c r="A28">
        <v>20</v>
      </c>
      <c r="B28" s="39">
        <v>0</v>
      </c>
    </row>
    <row r="29" spans="1:2">
      <c r="A29">
        <v>21</v>
      </c>
      <c r="B29" s="39">
        <v>0</v>
      </c>
    </row>
    <row r="30" spans="1:2">
      <c r="A30">
        <v>22</v>
      </c>
      <c r="B30" s="39">
        <v>0</v>
      </c>
    </row>
    <row r="31" spans="1:2">
      <c r="A31">
        <v>23</v>
      </c>
      <c r="B31" s="39">
        <v>0</v>
      </c>
    </row>
    <row r="32" spans="1:2">
      <c r="A32">
        <v>24</v>
      </c>
      <c r="B32" s="39">
        <v>0</v>
      </c>
    </row>
    <row r="33" spans="1:2">
      <c r="A33">
        <v>25</v>
      </c>
      <c r="B33" s="39">
        <v>0</v>
      </c>
    </row>
    <row r="34" spans="1:2">
      <c r="A34">
        <v>26</v>
      </c>
      <c r="B34" s="39">
        <v>0</v>
      </c>
    </row>
    <row r="35" spans="1:2">
      <c r="A35">
        <v>27</v>
      </c>
      <c r="B35" s="39">
        <v>0</v>
      </c>
    </row>
    <row r="36" spans="1:2">
      <c r="A36">
        <v>28</v>
      </c>
      <c r="B36" s="39">
        <v>0</v>
      </c>
    </row>
    <row r="37" spans="1:2">
      <c r="A37">
        <v>29</v>
      </c>
      <c r="B37" s="39">
        <v>0</v>
      </c>
    </row>
    <row r="38" spans="1:2">
      <c r="A38">
        <v>30</v>
      </c>
      <c r="B38" s="39">
        <v>0</v>
      </c>
    </row>
    <row r="39" spans="1:2">
      <c r="A39">
        <v>31</v>
      </c>
      <c r="B39" s="39">
        <v>0</v>
      </c>
    </row>
    <row r="40" spans="1:2">
      <c r="A40">
        <v>32</v>
      </c>
      <c r="B40" s="39">
        <v>0</v>
      </c>
    </row>
    <row r="41" spans="1:2">
      <c r="A41">
        <v>33</v>
      </c>
      <c r="B41" s="39">
        <v>0</v>
      </c>
    </row>
    <row r="42" spans="1:2">
      <c r="A42">
        <v>34</v>
      </c>
      <c r="B42" s="39">
        <v>0</v>
      </c>
    </row>
    <row r="43" spans="1:2">
      <c r="A43">
        <v>35</v>
      </c>
      <c r="B43" s="39">
        <v>0</v>
      </c>
    </row>
    <row r="44" spans="1:2">
      <c r="A44">
        <v>36</v>
      </c>
      <c r="B44" s="39">
        <v>0</v>
      </c>
    </row>
    <row r="45" spans="1:2">
      <c r="A45">
        <v>37</v>
      </c>
      <c r="B45" s="39">
        <v>0</v>
      </c>
    </row>
    <row r="46" spans="1:2">
      <c r="A46">
        <v>38</v>
      </c>
      <c r="B46" s="39">
        <v>0</v>
      </c>
    </row>
    <row r="47" spans="1:2">
      <c r="A47">
        <v>39</v>
      </c>
      <c r="B47" s="39">
        <v>0</v>
      </c>
    </row>
    <row r="48" spans="1:2">
      <c r="A48">
        <v>40</v>
      </c>
      <c r="B48" s="39">
        <v>0</v>
      </c>
    </row>
    <row r="49" spans="1:2">
      <c r="A49">
        <v>41</v>
      </c>
      <c r="B49" s="39">
        <v>0</v>
      </c>
    </row>
    <row r="50" spans="1:2">
      <c r="A50">
        <v>42</v>
      </c>
      <c r="B50" s="39">
        <v>0</v>
      </c>
    </row>
    <row r="51" spans="1:2">
      <c r="A51">
        <v>43</v>
      </c>
      <c r="B51" s="39">
        <v>0</v>
      </c>
    </row>
    <row r="52" spans="1:2">
      <c r="A52">
        <v>44</v>
      </c>
      <c r="B52" s="39">
        <v>0</v>
      </c>
    </row>
    <row r="53" spans="1:2">
      <c r="A53">
        <v>45</v>
      </c>
      <c r="B53" s="39">
        <v>0</v>
      </c>
    </row>
    <row r="54" spans="1:2">
      <c r="A54">
        <v>46</v>
      </c>
      <c r="B54" s="39">
        <v>0</v>
      </c>
    </row>
    <row r="55" spans="1:2">
      <c r="A55">
        <v>47</v>
      </c>
      <c r="B55" s="39">
        <v>0</v>
      </c>
    </row>
    <row r="56" spans="1:2">
      <c r="A56">
        <v>48</v>
      </c>
      <c r="B56" s="39">
        <v>0</v>
      </c>
    </row>
    <row r="57" spans="1:2">
      <c r="A57">
        <v>49</v>
      </c>
      <c r="B57" s="39">
        <v>0</v>
      </c>
    </row>
    <row r="58" spans="1:2">
      <c r="A58">
        <v>50</v>
      </c>
      <c r="B58" s="39">
        <v>0</v>
      </c>
    </row>
    <row r="59" spans="1:2">
      <c r="A59">
        <v>51</v>
      </c>
      <c r="B59" s="39">
        <v>0</v>
      </c>
    </row>
    <row r="60" spans="1:2">
      <c r="A60">
        <v>52</v>
      </c>
      <c r="B60" s="39">
        <v>0</v>
      </c>
    </row>
    <row r="61" spans="1:2">
      <c r="A61">
        <v>53</v>
      </c>
      <c r="B61" s="39">
        <v>0</v>
      </c>
    </row>
    <row r="62" spans="1:2">
      <c r="A62">
        <v>54</v>
      </c>
      <c r="B62" s="39">
        <v>0</v>
      </c>
    </row>
    <row r="63" spans="1:2">
      <c r="A63">
        <v>55</v>
      </c>
      <c r="B63" s="39">
        <v>0</v>
      </c>
    </row>
    <row r="64" spans="1:2">
      <c r="A64">
        <v>56</v>
      </c>
      <c r="B64" s="39">
        <v>0</v>
      </c>
    </row>
    <row r="65" spans="1:3">
      <c r="A65">
        <v>57</v>
      </c>
      <c r="B65" s="39">
        <v>0</v>
      </c>
    </row>
    <row r="66" spans="1:3">
      <c r="A66">
        <v>58</v>
      </c>
      <c r="B66" s="39">
        <v>0</v>
      </c>
    </row>
    <row r="67" spans="1:3">
      <c r="A67">
        <v>59</v>
      </c>
      <c r="B67" s="39">
        <v>0</v>
      </c>
    </row>
    <row r="68" spans="1:3">
      <c r="A68">
        <v>60</v>
      </c>
      <c r="B68" s="39">
        <f>-B3</f>
        <v>-5000</v>
      </c>
    </row>
    <row r="69" spans="1:3">
      <c r="B69" s="55">
        <f>NPV(B5,B9:B68)+B8</f>
        <v>16293.139018778274</v>
      </c>
    </row>
    <row r="70" spans="1:3">
      <c r="B70" s="36">
        <f>PMT(B5,60,-B69,0,0)</f>
        <v>314.99202294141827</v>
      </c>
      <c r="C70" s="39" t="s">
        <v>160</v>
      </c>
    </row>
  </sheetData>
  <phoneticPr fontId="13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7D371-CEDD-5B4D-8B02-BCE0DD9200F7}">
  <dimension ref="A1:F20"/>
  <sheetViews>
    <sheetView workbookViewId="0">
      <selection activeCell="H16" sqref="H16"/>
    </sheetView>
  </sheetViews>
  <sheetFormatPr baseColWidth="10" defaultRowHeight="13"/>
  <cols>
    <col min="1" max="1" width="37.83203125" bestFit="1" customWidth="1"/>
  </cols>
  <sheetData>
    <row r="1" spans="1:6">
      <c r="A1" s="39" t="s">
        <v>155</v>
      </c>
      <c r="B1">
        <v>10000</v>
      </c>
    </row>
    <row r="2" spans="1:6">
      <c r="A2" s="39" t="s">
        <v>100</v>
      </c>
      <c r="B2" s="3">
        <v>0.05</v>
      </c>
    </row>
    <row r="4" spans="1:6">
      <c r="A4" s="39" t="s">
        <v>135</v>
      </c>
      <c r="B4" s="39">
        <v>1</v>
      </c>
      <c r="C4" s="39">
        <v>2</v>
      </c>
      <c r="D4" s="39">
        <v>3</v>
      </c>
      <c r="E4" s="39">
        <v>4</v>
      </c>
      <c r="F4" s="39">
        <v>5</v>
      </c>
    </row>
    <row r="5" spans="1:6">
      <c r="A5" t="s">
        <v>161</v>
      </c>
      <c r="B5">
        <v>100</v>
      </c>
      <c r="C5">
        <v>100</v>
      </c>
      <c r="D5">
        <v>100</v>
      </c>
      <c r="E5">
        <v>100</v>
      </c>
      <c r="F5">
        <v>100</v>
      </c>
    </row>
    <row r="6" spans="1:6">
      <c r="A6" s="39" t="s">
        <v>162</v>
      </c>
      <c r="B6">
        <v>600</v>
      </c>
      <c r="C6">
        <v>500</v>
      </c>
      <c r="D6">
        <v>450</v>
      </c>
      <c r="E6">
        <v>450</v>
      </c>
      <c r="F6">
        <v>450</v>
      </c>
    </row>
    <row r="7" spans="1:6">
      <c r="A7" s="39" t="s">
        <v>163</v>
      </c>
      <c r="B7">
        <v>600</v>
      </c>
      <c r="C7">
        <v>650</v>
      </c>
      <c r="D7">
        <v>700</v>
      </c>
      <c r="E7">
        <v>750</v>
      </c>
      <c r="F7">
        <v>800</v>
      </c>
    </row>
    <row r="8" spans="1:6">
      <c r="A8" s="39" t="s">
        <v>164</v>
      </c>
      <c r="B8">
        <v>0</v>
      </c>
      <c r="C8">
        <v>0</v>
      </c>
      <c r="D8">
        <v>0</v>
      </c>
      <c r="E8">
        <v>500</v>
      </c>
      <c r="F8">
        <v>600</v>
      </c>
    </row>
    <row r="9" spans="1:6">
      <c r="A9" s="39" t="s">
        <v>165</v>
      </c>
      <c r="B9">
        <v>8500</v>
      </c>
      <c r="C9">
        <v>7500</v>
      </c>
      <c r="D9">
        <v>6700</v>
      </c>
      <c r="E9">
        <v>6000</v>
      </c>
      <c r="F9">
        <v>5400</v>
      </c>
    </row>
    <row r="10" spans="1:6">
      <c r="A10" s="39" t="s">
        <v>159</v>
      </c>
      <c r="B10">
        <f>SUM(B5:B8)</f>
        <v>1300</v>
      </c>
      <c r="C10">
        <f t="shared" ref="C10:F10" si="0">SUM(C5:C8)</f>
        <v>1250</v>
      </c>
      <c r="D10">
        <f t="shared" si="0"/>
        <v>1250</v>
      </c>
      <c r="E10">
        <f t="shared" si="0"/>
        <v>1800</v>
      </c>
      <c r="F10">
        <f t="shared" si="0"/>
        <v>1950</v>
      </c>
    </row>
    <row r="11" spans="1:6">
      <c r="A11" s="39" t="s">
        <v>166</v>
      </c>
      <c r="B11" s="36">
        <f>PV($B$2,B4,0,-B10)</f>
        <v>1238.0952380952381</v>
      </c>
      <c r="C11" s="36">
        <f t="shared" ref="C11:F11" si="1">PV($B$2,C4,0,-C10)</f>
        <v>1133.7868480725624</v>
      </c>
      <c r="D11" s="36">
        <f t="shared" si="1"/>
        <v>1079.796998164345</v>
      </c>
      <c r="E11" s="36">
        <f t="shared" si="1"/>
        <v>1480.8644546253875</v>
      </c>
      <c r="F11" s="36">
        <f t="shared" si="1"/>
        <v>1527.876024613495</v>
      </c>
    </row>
    <row r="12" spans="1:6">
      <c r="A12" s="39" t="s">
        <v>167</v>
      </c>
      <c r="B12" s="36">
        <f>PV($B$2,B4,0,-B9)</f>
        <v>8095.2380952380945</v>
      </c>
      <c r="C12" s="36">
        <f t="shared" ref="C12:F12" si="2">PV($B$2,C4,0,-C9)</f>
        <v>6802.7210884353735</v>
      </c>
      <c r="D12" s="36">
        <f t="shared" si="2"/>
        <v>5787.7119101608887</v>
      </c>
      <c r="E12" s="36">
        <f t="shared" si="2"/>
        <v>4936.2148487512923</v>
      </c>
      <c r="F12" s="36">
        <f t="shared" si="2"/>
        <v>4231.0412989296783</v>
      </c>
    </row>
    <row r="13" spans="1:6">
      <c r="A13" s="39" t="s">
        <v>168</v>
      </c>
      <c r="B13" s="41">
        <f>$B$1+SUM($B$11:B11)-B12</f>
        <v>3142.857142857144</v>
      </c>
      <c r="C13" s="41">
        <f>$B$1+SUM($B$11:C11)-C12</f>
        <v>5569.160997732426</v>
      </c>
      <c r="D13" s="41">
        <f>$B$1+SUM($B$11:D11)-D12</f>
        <v>7663.9671741712564</v>
      </c>
      <c r="E13" s="41">
        <f>$B$1+SUM($B$11:E11)-E12</f>
        <v>9996.3286902062391</v>
      </c>
      <c r="F13" s="41">
        <f>$B$1+SUM($B$11:F11)-F12</f>
        <v>12229.378264641349</v>
      </c>
    </row>
    <row r="14" spans="1:6">
      <c r="A14" s="39" t="s">
        <v>169</v>
      </c>
      <c r="B14" s="36">
        <f>PMT($B$2,B4,-B13,0,0)</f>
        <v>3300.0000000000009</v>
      </c>
      <c r="C14" s="36">
        <f t="shared" ref="C14:F14" si="3">PMT($B$2,C4,-C13,0,0)</f>
        <v>2995.1219512195116</v>
      </c>
      <c r="D14" s="36">
        <f t="shared" si="3"/>
        <v>2814.274385408406</v>
      </c>
      <c r="E14" s="36">
        <f t="shared" si="3"/>
        <v>2819.0829732316342</v>
      </c>
      <c r="F14" s="36">
        <f t="shared" si="3"/>
        <v>2824.6781759097653</v>
      </c>
    </row>
    <row r="16" spans="1:6">
      <c r="A16" s="39" t="s">
        <v>85</v>
      </c>
    </row>
    <row r="17" spans="1:1">
      <c r="A17" s="39" t="s">
        <v>170</v>
      </c>
    </row>
    <row r="19" spans="1:1">
      <c r="A19" s="39" t="s">
        <v>88</v>
      </c>
    </row>
    <row r="20" spans="1:1">
      <c r="A20" s="36">
        <f>D14</f>
        <v>2814.274385408406</v>
      </c>
    </row>
  </sheetData>
  <phoneticPr fontId="1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618B5-E3A2-ED46-BBFE-7E0D2B038371}">
  <dimension ref="A1:H25"/>
  <sheetViews>
    <sheetView tabSelected="1" workbookViewId="0">
      <selection activeCell="G23" sqref="G23"/>
    </sheetView>
  </sheetViews>
  <sheetFormatPr baseColWidth="10" defaultRowHeight="13"/>
  <cols>
    <col min="2" max="2" width="10" bestFit="1" customWidth="1"/>
    <col min="6" max="6" width="11.5" bestFit="1" customWidth="1"/>
  </cols>
  <sheetData>
    <row r="1" spans="1:8">
      <c r="A1" s="39" t="s">
        <v>61</v>
      </c>
      <c r="B1" s="60">
        <v>0.16666666666666666</v>
      </c>
    </row>
    <row r="3" spans="1:8">
      <c r="A3" s="39" t="s">
        <v>135</v>
      </c>
      <c r="B3">
        <v>0</v>
      </c>
      <c r="C3">
        <v>1</v>
      </c>
      <c r="D3">
        <v>2</v>
      </c>
      <c r="E3">
        <v>3</v>
      </c>
      <c r="F3">
        <v>4</v>
      </c>
    </row>
    <row r="4" spans="1:8">
      <c r="A4" s="39" t="s">
        <v>70</v>
      </c>
      <c r="B4">
        <v>-800</v>
      </c>
      <c r="C4">
        <v>200</v>
      </c>
      <c r="D4" s="39">
        <v>225.49376417233572</v>
      </c>
      <c r="E4">
        <v>200</v>
      </c>
      <c r="F4">
        <v>200</v>
      </c>
    </row>
    <row r="5" spans="1:8">
      <c r="A5" s="39" t="s">
        <v>71</v>
      </c>
      <c r="B5">
        <v>-600</v>
      </c>
      <c r="C5">
        <v>500</v>
      </c>
      <c r="D5">
        <v>350</v>
      </c>
      <c r="E5">
        <v>0</v>
      </c>
      <c r="F5">
        <v>150</v>
      </c>
      <c r="G5" s="3"/>
    </row>
    <row r="6" spans="1:8">
      <c r="A6" s="39" t="s">
        <v>72</v>
      </c>
      <c r="B6" s="39">
        <v>-200</v>
      </c>
      <c r="C6">
        <v>250</v>
      </c>
      <c r="D6">
        <v>150</v>
      </c>
      <c r="E6" s="39">
        <v>0</v>
      </c>
      <c r="F6" s="39">
        <v>0</v>
      </c>
    </row>
    <row r="7" spans="1:8">
      <c r="A7" s="39" t="s">
        <v>148</v>
      </c>
      <c r="B7" s="39">
        <v>-400</v>
      </c>
      <c r="C7" s="39">
        <v>140</v>
      </c>
      <c r="D7">
        <v>0</v>
      </c>
      <c r="E7" s="39">
        <v>0</v>
      </c>
      <c r="F7" s="39">
        <v>0</v>
      </c>
    </row>
    <row r="8" spans="1:8">
      <c r="A8" s="39" t="s">
        <v>171</v>
      </c>
      <c r="B8" s="39">
        <v>-500</v>
      </c>
      <c r="C8" s="39">
        <v>0</v>
      </c>
      <c r="D8">
        <v>450</v>
      </c>
      <c r="E8" s="39">
        <v>300</v>
      </c>
      <c r="F8" s="39">
        <v>0</v>
      </c>
    </row>
    <row r="9" spans="1:8">
      <c r="B9" s="39" t="s">
        <v>75</v>
      </c>
      <c r="C9" s="39" t="s">
        <v>68</v>
      </c>
      <c r="D9" s="39" t="s">
        <v>172</v>
      </c>
      <c r="E9" s="39" t="s">
        <v>173</v>
      </c>
    </row>
    <row r="10" spans="1:8">
      <c r="A10" s="39" t="s">
        <v>70</v>
      </c>
      <c r="B10" s="59">
        <f>NPV($B$1,C4:F4)+B4</f>
        <v>-229.00000000000011</v>
      </c>
      <c r="C10" s="61">
        <f>IRR(B4:F4)</f>
        <v>1.274586236212194E-2</v>
      </c>
      <c r="D10" s="39">
        <f>NPV($B$1,C4:F4)/-B4</f>
        <v>0.71374999999999988</v>
      </c>
      <c r="E10" s="41">
        <f>PMT($B$1,$F$3,-B10,0,0)</f>
        <v>-82.930467571644073</v>
      </c>
    </row>
    <row r="11" spans="1:8">
      <c r="A11" s="39" t="s">
        <v>71</v>
      </c>
      <c r="B11" s="59">
        <f>NPV($B$1,C5:F5)+B5</f>
        <v>166.68054977092868</v>
      </c>
      <c r="C11" s="49">
        <f>IRR(B5:F5)</f>
        <v>0.36106938380449716</v>
      </c>
      <c r="D11" s="39">
        <f>NPV($B$1,C5:F5)/-B5</f>
        <v>1.2778009162848811</v>
      </c>
      <c r="E11" s="41">
        <f t="shared" ref="E11:E14" si="0">PMT($B$1,$F$3,-B11,0,0)</f>
        <v>60.3619909502262</v>
      </c>
    </row>
    <row r="12" spans="1:8">
      <c r="A12" s="39" t="s">
        <v>72</v>
      </c>
      <c r="B12" s="59">
        <f>NPV($B$1,C6:F6)+B6</f>
        <v>124.48979591836729</v>
      </c>
      <c r="C12" s="49">
        <f>IRR(B6:F6)</f>
        <v>0.69300046816379313</v>
      </c>
      <c r="D12" s="39">
        <f>NPV($B$1,C6:F6)/-B6</f>
        <v>1.6224489795918364</v>
      </c>
      <c r="E12" s="41">
        <f t="shared" si="0"/>
        <v>45.08295625942683</v>
      </c>
    </row>
    <row r="13" spans="1:8">
      <c r="A13" s="39" t="s">
        <v>148</v>
      </c>
      <c r="B13" s="59">
        <f t="shared" ref="B13:B14" si="1">NPV($B$1,C7:F7)+B7</f>
        <v>-280</v>
      </c>
      <c r="C13" s="51">
        <f>IRR(B7:F7)</f>
        <v>-0.65000000000000013</v>
      </c>
      <c r="D13" s="39">
        <f>NPV($B$1,C7:F7)/-B7</f>
        <v>0.3</v>
      </c>
      <c r="E13" s="41">
        <f t="shared" si="0"/>
        <v>-101.39969834087481</v>
      </c>
    </row>
    <row r="14" spans="1:8">
      <c r="A14" s="39" t="s">
        <v>171</v>
      </c>
      <c r="B14" s="59">
        <f t="shared" si="1"/>
        <v>19.53352769679293</v>
      </c>
      <c r="C14" s="52">
        <f>IRR(B8:F8)</f>
        <v>0.18575207010438888</v>
      </c>
      <c r="D14" s="39">
        <f>NPV($B$1,C8:F8)/-B8</f>
        <v>1.0390670553935859</v>
      </c>
      <c r="E14" s="41">
        <f t="shared" si="0"/>
        <v>7.0739064856711646</v>
      </c>
    </row>
    <row r="16" spans="1:8">
      <c r="A16" s="39" t="s">
        <v>91</v>
      </c>
      <c r="H16" s="36"/>
    </row>
    <row r="17" spans="1:6">
      <c r="A17" s="39" t="s">
        <v>125</v>
      </c>
      <c r="D17" s="36"/>
      <c r="F17" s="39"/>
    </row>
    <row r="18" spans="1:6">
      <c r="F18" s="36"/>
    </row>
    <row r="19" spans="1:6">
      <c r="A19" s="39" t="s">
        <v>93</v>
      </c>
    </row>
    <row r="20" spans="1:6">
      <c r="A20" s="39" t="s">
        <v>174</v>
      </c>
    </row>
    <row r="21" spans="1:6">
      <c r="B21" s="36"/>
      <c r="D21" s="39"/>
      <c r="F21" s="62"/>
    </row>
    <row r="23" spans="1:6">
      <c r="B23" s="36"/>
    </row>
    <row r="24" spans="1:6">
      <c r="F24" s="49"/>
    </row>
    <row r="25" spans="1:6">
      <c r="D25" s="3"/>
      <c r="F25" s="54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EoC Exercise 1 Template</vt:lpstr>
      <vt:lpstr>EoC Exercise 2 Template</vt:lpstr>
      <vt:lpstr>EoC Exercise 3 Template</vt:lpstr>
      <vt:lpstr>EoC Exercise 4 Template</vt:lpstr>
      <vt:lpstr>EoC Exercise 5 Template</vt:lpstr>
      <vt:lpstr>EoC Exercise 6 Template</vt:lpstr>
      <vt:lpstr>EoC Exercise 7 Template</vt:lpstr>
      <vt:lpstr>EoC Exercise 8 Template</vt:lpstr>
      <vt:lpstr>EoC Exercise 9 Template</vt:lpstr>
      <vt:lpstr>EoC Exercise 10 Template</vt:lpstr>
      <vt:lpstr>EoC Exercise 11 Template</vt:lpstr>
      <vt:lpstr>EoC Exercise 12 Template</vt:lpstr>
      <vt:lpstr>EoC Exercise 13 Template</vt:lpstr>
      <vt:lpstr>EoC Exercise 14 Template</vt:lpstr>
      <vt:lpstr>EoC Exercise 15 Template</vt:lpstr>
      <vt:lpstr>EoC Exercise 16 Template</vt:lpstr>
      <vt:lpstr>EoC Exercise 17 Template</vt:lpstr>
      <vt:lpstr>EoC Exercise 18 Template</vt:lpstr>
      <vt:lpstr>EoC Exercise 19 Template</vt:lpstr>
      <vt:lpstr>EoC Exercise 20 Template</vt:lpstr>
      <vt:lpstr>EoC Exercise 21 Template</vt:lpstr>
      <vt:lpstr>EoC Exercise 22 Template</vt:lpstr>
    </vt:vector>
  </TitlesOfParts>
  <Company>The Wharton School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天强 帅</cp:lastModifiedBy>
  <dcterms:created xsi:type="dcterms:W3CDTF">2006-01-08T17:57:28Z</dcterms:created>
  <dcterms:modified xsi:type="dcterms:W3CDTF">2023-10-17T16:30:14Z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PFE3_Ch03_student materials.xlsm</vt:lpwstr>
  </property>
</Properties>
</file>