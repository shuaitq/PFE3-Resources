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32BD176C-6E08-AC4A-AD1E-83C9967B20FC}" xr6:coauthVersionLast="47" xr6:coauthVersionMax="47" xr10:uidLastSave="{00000000-0000-0000-0000-000000000000}"/>
  <bookViews>
    <workbookView xWindow="0" yWindow="500" windowWidth="33600" windowHeight="19120" tabRatio="685" firstSheet="5" activeTab="14" xr2:uid="{00000000-000D-0000-FFFF-FFFF00000000}"/>
  </bookViews>
  <sheets>
    <sheet name="Example solution" sheetId="35" state="hidden" r:id="rId1"/>
    <sheet name="Question 1 template" sheetId="83" r:id="rId2"/>
    <sheet name="Question 2 template" sheetId="100" r:id="rId3"/>
    <sheet name="Question 3 template" sheetId="101" r:id="rId4"/>
    <sheet name="Question 4 template" sheetId="102" r:id="rId5"/>
    <sheet name="Question 5 template" sheetId="103" r:id="rId6"/>
    <sheet name="Question 6 template" sheetId="90" r:id="rId7"/>
    <sheet name="Question 7 template" sheetId="104" r:id="rId8"/>
    <sheet name="Question 8 template" sheetId="93" r:id="rId9"/>
    <sheet name="Question 9 template" sheetId="95" r:id="rId10"/>
    <sheet name="Question 10 template" sheetId="97" r:id="rId11"/>
    <sheet name="Question 11 template" sheetId="99" r:id="rId12"/>
    <sheet name="Question 12 template" sheetId="105" r:id="rId13"/>
    <sheet name="Question 13 template" sheetId="106" r:id="rId14"/>
    <sheet name="Question 14 template" sheetId="107" r:id="rId15"/>
  </sheets>
  <functionGroups builtInGroupCount="19"/>
  <definedNames>
    <definedName name="Ariel">'Question 1 template'!$1:$1048576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07" l="1"/>
  <c r="B22" i="107"/>
  <c r="B21" i="107"/>
  <c r="B20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6" i="107"/>
  <c r="A7" i="107"/>
  <c r="A8" i="107"/>
  <c r="A9" i="107"/>
  <c r="A10" i="107"/>
  <c r="A11" i="107"/>
  <c r="A12" i="107"/>
  <c r="A13" i="107"/>
  <c r="A14" i="107"/>
  <c r="A15" i="107"/>
  <c r="A16" i="107"/>
  <c r="A17" i="107"/>
  <c r="A18" i="107"/>
  <c r="A6" i="107"/>
  <c r="B42" i="106"/>
  <c r="B41" i="106"/>
  <c r="B40" i="106"/>
  <c r="B39" i="106"/>
  <c r="B38" i="106"/>
  <c r="B37" i="106"/>
  <c r="F4" i="106"/>
  <c r="F5" i="106"/>
  <c r="F6" i="106"/>
  <c r="F7" i="106"/>
  <c r="F8" i="106"/>
  <c r="F9" i="106"/>
  <c r="F10" i="106"/>
  <c r="F11" i="106"/>
  <c r="F12" i="106"/>
  <c r="F13" i="106"/>
  <c r="F14" i="106"/>
  <c r="F15" i="106"/>
  <c r="F3" i="106"/>
  <c r="E4" i="106"/>
  <c r="E5" i="106"/>
  <c r="E6" i="106"/>
  <c r="E7" i="106"/>
  <c r="E8" i="106"/>
  <c r="E9" i="106"/>
  <c r="E10" i="106"/>
  <c r="E11" i="106"/>
  <c r="E12" i="106"/>
  <c r="E13" i="106"/>
  <c r="E14" i="106"/>
  <c r="E15" i="106"/>
  <c r="E3" i="106"/>
  <c r="B38" i="105"/>
  <c r="B37" i="105"/>
  <c r="B36" i="105"/>
  <c r="B41" i="105"/>
  <c r="B40" i="105"/>
  <c r="B32" i="105"/>
  <c r="B31" i="105"/>
  <c r="B30" i="105"/>
  <c r="B29" i="105"/>
  <c r="B26" i="105"/>
  <c r="B25" i="105"/>
  <c r="B22" i="105"/>
  <c r="B21" i="105"/>
  <c r="B20" i="105"/>
  <c r="B3" i="105"/>
  <c r="B4" i="105"/>
  <c r="B5" i="105"/>
  <c r="B6" i="105"/>
  <c r="B7" i="105"/>
  <c r="B8" i="105"/>
  <c r="B9" i="105"/>
  <c r="B10" i="105"/>
  <c r="B11" i="105"/>
  <c r="B12" i="105"/>
  <c r="B13" i="105"/>
  <c r="B14" i="105"/>
  <c r="B2" i="105"/>
  <c r="B17" i="105"/>
  <c r="A3" i="105"/>
  <c r="A4" i="105"/>
  <c r="A5" i="105"/>
  <c r="A6" i="105"/>
  <c r="A7" i="105"/>
  <c r="A8" i="105"/>
  <c r="A9" i="105"/>
  <c r="A10" i="105"/>
  <c r="A11" i="105"/>
  <c r="A12" i="105"/>
  <c r="A13" i="105"/>
  <c r="A14" i="105"/>
  <c r="A2" i="105"/>
  <c r="B47" i="99"/>
  <c r="B46" i="99"/>
  <c r="B45" i="99"/>
  <c r="B50" i="99"/>
  <c r="B49" i="99"/>
  <c r="B38" i="99"/>
  <c r="F4" i="99"/>
  <c r="F5" i="99"/>
  <c r="F6" i="99"/>
  <c r="F7" i="99"/>
  <c r="F8" i="99"/>
  <c r="F9" i="99"/>
  <c r="F10" i="99"/>
  <c r="F11" i="99"/>
  <c r="F12" i="99"/>
  <c r="F13" i="99"/>
  <c r="F14" i="99"/>
  <c r="F15" i="99"/>
  <c r="F3" i="99"/>
  <c r="E4" i="99"/>
  <c r="E5" i="99"/>
  <c r="E6" i="99"/>
  <c r="E7" i="99"/>
  <c r="E8" i="99"/>
  <c r="E9" i="99"/>
  <c r="E10" i="99"/>
  <c r="E11" i="99"/>
  <c r="E12" i="99"/>
  <c r="E13" i="99"/>
  <c r="E14" i="99"/>
  <c r="E15" i="99"/>
  <c r="E3" i="99"/>
  <c r="B44" i="97"/>
  <c r="B43" i="97"/>
  <c r="B42" i="97"/>
  <c r="B47" i="97"/>
  <c r="B46" i="97"/>
  <c r="B38" i="97"/>
  <c r="F15" i="97"/>
  <c r="F3" i="97"/>
  <c r="E3" i="97"/>
  <c r="F4" i="97"/>
  <c r="F5" i="97"/>
  <c r="F6" i="97"/>
  <c r="F7" i="97"/>
  <c r="F8" i="97"/>
  <c r="F9" i="97"/>
  <c r="F10" i="97"/>
  <c r="F11" i="97"/>
  <c r="F12" i="97"/>
  <c r="F13" i="97"/>
  <c r="F14" i="97"/>
  <c r="E4" i="97"/>
  <c r="E5" i="97"/>
  <c r="E6" i="97"/>
  <c r="E7" i="97"/>
  <c r="E8" i="97"/>
  <c r="E9" i="97"/>
  <c r="E10" i="97"/>
  <c r="E11" i="97"/>
  <c r="E12" i="97"/>
  <c r="E13" i="97"/>
  <c r="E14" i="97"/>
  <c r="E15" i="97"/>
  <c r="H19" i="95"/>
  <c r="G19" i="95"/>
  <c r="H18" i="95"/>
  <c r="G18" i="95"/>
  <c r="H15" i="95"/>
  <c r="G15" i="95"/>
  <c r="H17" i="95"/>
  <c r="G17" i="95"/>
  <c r="H16" i="95"/>
  <c r="G16" i="95"/>
  <c r="H14" i="95"/>
  <c r="G14" i="95"/>
  <c r="H5" i="95"/>
  <c r="H6" i="95"/>
  <c r="H7" i="95"/>
  <c r="H8" i="95"/>
  <c r="H9" i="95"/>
  <c r="H10" i="95"/>
  <c r="H11" i="95"/>
  <c r="H12" i="95"/>
  <c r="H4" i="95"/>
  <c r="G5" i="95"/>
  <c r="G6" i="95"/>
  <c r="G7" i="95"/>
  <c r="G8" i="95"/>
  <c r="G9" i="95"/>
  <c r="G10" i="95"/>
  <c r="G11" i="95"/>
  <c r="G12" i="95"/>
  <c r="G4" i="95"/>
  <c r="F5" i="95"/>
  <c r="F6" i="95"/>
  <c r="F7" i="95"/>
  <c r="F8" i="95"/>
  <c r="F9" i="95"/>
  <c r="F10" i="95"/>
  <c r="F11" i="95"/>
  <c r="F12" i="95"/>
  <c r="F4" i="95"/>
  <c r="E5" i="95"/>
  <c r="E6" i="95"/>
  <c r="E7" i="95"/>
  <c r="E8" i="95"/>
  <c r="E9" i="95"/>
  <c r="E10" i="95"/>
  <c r="E11" i="95"/>
  <c r="E12" i="95"/>
  <c r="E4" i="95"/>
  <c r="C8" i="93"/>
  <c r="D8" i="93"/>
  <c r="B8" i="93"/>
  <c r="C7" i="93"/>
  <c r="D7" i="93"/>
  <c r="B7" i="93"/>
  <c r="B5" i="104"/>
  <c r="C9" i="90"/>
  <c r="D9" i="90"/>
  <c r="B9" i="90"/>
  <c r="D7" i="90"/>
  <c r="D8" i="90" s="1"/>
  <c r="C7" i="90"/>
  <c r="C8" i="90" s="1"/>
  <c r="B7" i="90"/>
  <c r="B8" i="90" s="1"/>
  <c r="B9" i="103"/>
  <c r="B7" i="103"/>
  <c r="C3" i="102"/>
  <c r="B3" i="101"/>
  <c r="B13" i="100"/>
  <c r="B16" i="100" s="1"/>
  <c r="C8" i="100"/>
  <c r="B8" i="100"/>
  <c r="H5" i="83"/>
  <c r="H4" i="83"/>
  <c r="B15" i="100" l="1"/>
  <c r="H3" i="83"/>
  <c r="E5" i="83"/>
  <c r="E6" i="83"/>
  <c r="E7" i="83"/>
  <c r="E8" i="83"/>
  <c r="E9" i="83"/>
  <c r="E10" i="83"/>
  <c r="E11" i="83"/>
  <c r="E12" i="83"/>
  <c r="E13" i="83"/>
  <c r="E14" i="83"/>
  <c r="E15" i="83"/>
  <c r="E16" i="83"/>
  <c r="E17" i="83"/>
  <c r="E18" i="83"/>
  <c r="E19" i="83"/>
  <c r="E20" i="83"/>
  <c r="E21" i="83"/>
  <c r="E22" i="83"/>
  <c r="E23" i="83"/>
  <c r="E24" i="83"/>
  <c r="E25" i="83"/>
  <c r="E26" i="83"/>
  <c r="E27" i="83"/>
  <c r="E28" i="83"/>
  <c r="E4" i="83"/>
  <c r="C5" i="83"/>
  <c r="C6" i="83"/>
  <c r="C7" i="83"/>
  <c r="C8" i="83"/>
  <c r="C9" i="83"/>
  <c r="C10" i="83"/>
  <c r="C11" i="83"/>
  <c r="C12" i="83"/>
  <c r="C13" i="83"/>
  <c r="C14" i="83"/>
  <c r="C15" i="83"/>
  <c r="C16" i="83"/>
  <c r="C17" i="83"/>
  <c r="C18" i="83"/>
  <c r="C19" i="83"/>
  <c r="C20" i="83"/>
  <c r="C21" i="83"/>
  <c r="C22" i="83"/>
  <c r="C23" i="83"/>
  <c r="C24" i="83"/>
  <c r="C25" i="83"/>
  <c r="C26" i="83"/>
  <c r="C27" i="83"/>
  <c r="C28" i="83"/>
  <c r="C4" i="83"/>
  <c r="D8" i="35"/>
  <c r="C8" i="35"/>
  <c r="B8" i="35"/>
  <c r="D7" i="35"/>
  <c r="D9" i="35" s="1"/>
  <c r="C7" i="35"/>
  <c r="C10" i="35" s="1"/>
  <c r="B7" i="35"/>
  <c r="B9" i="35" s="1"/>
  <c r="J3" i="35"/>
  <c r="J5" i="35" s="1"/>
  <c r="C9" i="35" l="1"/>
  <c r="B10" i="35"/>
  <c r="D10" i="35"/>
</calcChain>
</file>

<file path=xl/sharedStrings.xml><?xml version="1.0" encoding="utf-8"?>
<sst xmlns="http://schemas.openxmlformats.org/spreadsheetml/2006/main" count="183" uniqueCount="115">
  <si>
    <t>Date</t>
  </si>
  <si>
    <t>Beta</t>
  </si>
  <si>
    <t>WHICH INVESTMENT WAS BETTER?</t>
  </si>
  <si>
    <t>Investment A</t>
  </si>
  <si>
    <t>Investment B</t>
  </si>
  <si>
    <t>Average return</t>
  </si>
  <si>
    <t>Standard deviation</t>
  </si>
  <si>
    <t>Market portfolio</t>
  </si>
  <si>
    <t>Rho (i,m)</t>
  </si>
  <si>
    <t>Jensen's alpha</t>
  </si>
  <si>
    <t>Traynor</t>
  </si>
  <si>
    <t>Sharpe</t>
  </si>
  <si>
    <t>Risk-free asset</t>
  </si>
  <si>
    <t>Sharpe ratio</t>
  </si>
  <si>
    <t>Treynor ratio</t>
  </si>
  <si>
    <t>S&amp;P 500</t>
  </si>
  <si>
    <t>S&amp;P 500 adjusted price</t>
  </si>
  <si>
    <t>Annual return</t>
  </si>
  <si>
    <t>One year risk-free return</t>
  </si>
  <si>
    <t>S&amp;P minus risk-free</t>
  </si>
  <si>
    <t>Mean</t>
  </si>
  <si>
    <t>STANDARD &amp; POOR'S 500 (S&amp;P 500) SHARPE RATIO</t>
  </si>
  <si>
    <t>S&amp;P 500 minus risk-free return</t>
  </si>
  <si>
    <t>Mean return</t>
  </si>
  <si>
    <t>Risk-free rate</t>
  </si>
  <si>
    <t>Risk-free return</t>
  </si>
  <si>
    <t>Mutual fund</t>
  </si>
  <si>
    <t>"Normative return" (based on the SML)</t>
  </si>
  <si>
    <t>JENSEN'S ALPHA</t>
  </si>
  <si>
    <t>A</t>
  </si>
  <si>
    <t>B</t>
  </si>
  <si>
    <r>
      <t>Correlation coefficient with the market (ρ</t>
    </r>
    <r>
      <rPr>
        <vertAlign val="subscript"/>
        <sz val="10"/>
        <color rgb="FF231F20"/>
        <rFont val="Arial"/>
        <family val="2"/>
      </rPr>
      <t>i,m</t>
    </r>
    <r>
      <rPr>
        <sz val="10"/>
        <color rgb="FF231F20"/>
        <rFont val="Arial"/>
        <family val="2"/>
      </rPr>
      <t>)</t>
    </r>
  </si>
  <si>
    <t>TREYNOR RATIO</t>
  </si>
  <si>
    <t>X</t>
  </si>
  <si>
    <t>Y</t>
  </si>
  <si>
    <t>APPLE VS. S&amp;P 500 PERFORMANCE</t>
  </si>
  <si>
    <t xml:space="preserve">Date </t>
  </si>
  <si>
    <t>Apple stock</t>
  </si>
  <si>
    <t>S&amp;P 500 return</t>
  </si>
  <si>
    <t>Apple return</t>
  </si>
  <si>
    <r>
      <t>S&amp;P 500 minus r</t>
    </r>
    <r>
      <rPr>
        <b/>
        <vertAlign val="subscript"/>
        <sz val="10"/>
        <rFont val="Arial"/>
        <family val="2"/>
      </rPr>
      <t>f</t>
    </r>
  </si>
  <si>
    <r>
      <t>Apple minus r</t>
    </r>
    <r>
      <rPr>
        <b/>
        <vertAlign val="subscript"/>
        <sz val="10"/>
        <rFont val="Arial"/>
        <family val="2"/>
      </rPr>
      <t>f</t>
    </r>
  </si>
  <si>
    <t>Year</t>
  </si>
  <si>
    <t>S&amp;P total return</t>
  </si>
  <si>
    <t>FedEx return</t>
  </si>
  <si>
    <t>FEDEX AND S&amp;P 500</t>
  </si>
  <si>
    <t>1-year 
T-bill</t>
  </si>
  <si>
    <t>Excess return S&amp;P 500</t>
  </si>
  <si>
    <t>Excess return FedEx</t>
  </si>
  <si>
    <t>Section b.</t>
  </si>
  <si>
    <t xml:space="preserve">Section c. </t>
  </si>
  <si>
    <t>FedEx beta</t>
  </si>
  <si>
    <t xml:space="preserve">Since </t>
  </si>
  <si>
    <t xml:space="preserve">Section d. </t>
  </si>
  <si>
    <t>IBM AND S&amp;P 500</t>
  </si>
  <si>
    <t>IBM return</t>
  </si>
  <si>
    <t>Excess return IBM</t>
  </si>
  <si>
    <t>IBM beta</t>
  </si>
  <si>
    <t>Since</t>
  </si>
  <si>
    <t xml:space="preserve">Section e. </t>
  </si>
  <si>
    <t>Genjamin Braham</t>
    <phoneticPr fontId="14" type="noConversion"/>
  </si>
  <si>
    <t>Barren Wuffett</t>
    <phoneticPr fontId="14" type="noConversion"/>
  </si>
  <si>
    <t>Mean return</t>
    <phoneticPr fontId="14" type="noConversion"/>
  </si>
  <si>
    <t>Standard deviation</t>
    <phoneticPr fontId="14" type="noConversion"/>
  </si>
  <si>
    <t>Risk-free rate</t>
    <phoneticPr fontId="14" type="noConversion"/>
  </si>
  <si>
    <t>Section a.</t>
    <phoneticPr fontId="14" type="noConversion"/>
  </si>
  <si>
    <t>Sharpe ratio</t>
    <phoneticPr fontId="14" type="noConversion"/>
  </si>
  <si>
    <t>Barren Wuffett is better</t>
    <phoneticPr fontId="14" type="noConversion"/>
  </si>
  <si>
    <t>Section b.</t>
    <phoneticPr fontId="14" type="noConversion"/>
  </si>
  <si>
    <t>proportion of risk free asset</t>
    <phoneticPr fontId="14" type="noConversion"/>
  </si>
  <si>
    <t>proportion of Barren Wuffett</t>
    <phoneticPr fontId="14" type="noConversion"/>
  </si>
  <si>
    <t>return</t>
    <phoneticPr fontId="14" type="noConversion"/>
  </si>
  <si>
    <t>standard deviation</t>
    <phoneticPr fontId="14" type="noConversion"/>
  </si>
  <si>
    <t>Ms. Johns</t>
    <phoneticPr fontId="14" type="noConversion"/>
  </si>
  <si>
    <t>Her competitor</t>
  </si>
  <si>
    <t>beta</t>
    <phoneticPr fontId="14" type="noConversion"/>
  </si>
  <si>
    <t>alpha</t>
    <phoneticPr fontId="14" type="noConversion"/>
  </si>
  <si>
    <t>market return</t>
    <phoneticPr fontId="14" type="noConversion"/>
  </si>
  <si>
    <t>risk free rate</t>
    <phoneticPr fontId="14" type="noConversion"/>
  </si>
  <si>
    <t>market risk premium</t>
    <phoneticPr fontId="14" type="noConversion"/>
  </si>
  <si>
    <t>fee</t>
    <phoneticPr fontId="14" type="noConversion"/>
  </si>
  <si>
    <t>actual return</t>
    <phoneticPr fontId="14" type="noConversion"/>
  </si>
  <si>
    <t>self return</t>
    <phoneticPr fontId="14" type="noConversion"/>
  </si>
  <si>
    <t>not take his investment offer</t>
    <phoneticPr fontId="14" type="noConversion"/>
  </si>
  <si>
    <t>Treynor ratio</t>
    <phoneticPr fontId="14" type="noConversion"/>
  </si>
  <si>
    <t>average</t>
  </si>
  <si>
    <t>Jensen’s alpha</t>
    <phoneticPr fontId="14" type="noConversion"/>
  </si>
  <si>
    <t>defensive</t>
    <phoneticPr fontId="14" type="noConversion"/>
  </si>
  <si>
    <t>no</t>
    <phoneticPr fontId="14" type="noConversion"/>
  </si>
  <si>
    <t>excess return</t>
  </si>
  <si>
    <t>Year</t>
    <phoneticPr fontId="14" type="noConversion"/>
  </si>
  <si>
    <t>proportion IBM</t>
    <phoneticPr fontId="14" type="noConversion"/>
  </si>
  <si>
    <t>proportion FedEx</t>
    <phoneticPr fontId="14" type="noConversion"/>
  </si>
  <si>
    <t>Section c.</t>
    <phoneticPr fontId="14" type="noConversion"/>
  </si>
  <si>
    <t>Section d.</t>
    <phoneticPr fontId="14" type="noConversion"/>
  </si>
  <si>
    <t>R^2</t>
    <phoneticPr fontId="14" type="noConversion"/>
  </si>
  <si>
    <t>IBM R^2</t>
    <phoneticPr fontId="14" type="noConversion"/>
  </si>
  <si>
    <t>FedEx R^2</t>
    <phoneticPr fontId="14" type="noConversion"/>
  </si>
  <si>
    <t>average</t>
    <phoneticPr fontId="14" type="noConversion"/>
  </si>
  <si>
    <t>reduce nonsystem risk</t>
    <phoneticPr fontId="14" type="noConversion"/>
  </si>
  <si>
    <t>Section e.</t>
    <phoneticPr fontId="14" type="noConversion"/>
  </si>
  <si>
    <t>3M AND S&amp;P 500</t>
    <phoneticPr fontId="14" type="noConversion"/>
  </si>
  <si>
    <t>S&amp;P total return</t>
    <phoneticPr fontId="14" type="noConversion"/>
  </si>
  <si>
    <t>3M return</t>
    <phoneticPr fontId="14" type="noConversion"/>
  </si>
  <si>
    <t>1-year T-bill</t>
    <phoneticPr fontId="14" type="noConversion"/>
  </si>
  <si>
    <t>excess returns</t>
    <phoneticPr fontId="14" type="noConversion"/>
  </si>
  <si>
    <t>3M excess returns</t>
    <phoneticPr fontId="14" type="noConversion"/>
  </si>
  <si>
    <t>yes</t>
    <phoneticPr fontId="14" type="noConversion"/>
  </si>
  <si>
    <t>proportion of 3M</t>
    <phoneticPr fontId="14" type="noConversion"/>
  </si>
  <si>
    <t>proportion of FedEx</t>
    <phoneticPr fontId="14" type="noConversion"/>
  </si>
  <si>
    <t>proportion of IBM</t>
    <phoneticPr fontId="14" type="noConversion"/>
  </si>
  <si>
    <t>year</t>
    <phoneticPr fontId="14" type="noConversion"/>
  </si>
  <si>
    <t>weighted alpha</t>
    <phoneticPr fontId="14" type="noConversion"/>
  </si>
  <si>
    <t>weighted beta</t>
    <phoneticPr fontId="14" type="noConversion"/>
  </si>
  <si>
    <t>average alpha and beta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</si>
</sst>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76" formatCode="0.000%"/>
    <numFmt numFmtId="177" formatCode="#,##0.0000"/>
    <numFmt numFmtId="178" formatCode="[$-409]d\-mmm\-yyyy;@"/>
    <numFmt numFmtId="179" formatCode="0.0000%"/>
    <numFmt numFmtId="186" formatCode="0.000000%"/>
    <numFmt numFmtId="188" formatCode="0.00000%"/>
  </numFmts>
  <fonts count="17">
    <font>
      <sz val="10"/>
      <name val="Arial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77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宋体"/>
      <family val="2"/>
      <scheme val="minor"/>
    </font>
    <font>
      <sz val="10"/>
      <color theme="1"/>
      <name val="Arial"/>
      <family val="2"/>
    </font>
    <font>
      <b/>
      <sz val="10"/>
      <color rgb="FF231F20"/>
      <name val="Arial"/>
      <family val="2"/>
    </font>
    <font>
      <sz val="10"/>
      <color rgb="FF231F20"/>
      <name val="Arial"/>
      <family val="2"/>
    </font>
    <font>
      <b/>
      <sz val="12"/>
      <color rgb="FF231F20"/>
      <name val="Arial"/>
      <family val="2"/>
    </font>
    <font>
      <b/>
      <sz val="12"/>
      <name val="Arial"/>
      <family val="2"/>
    </font>
    <font>
      <vertAlign val="subscript"/>
      <sz val="10"/>
      <color rgb="FF231F20"/>
      <name val="Arial"/>
      <family val="2"/>
    </font>
    <font>
      <b/>
      <vertAlign val="subscript"/>
      <sz val="10"/>
      <name val="Arial"/>
      <family val="2"/>
    </font>
    <font>
      <sz val="9"/>
      <name val="宋体"/>
      <family val="3"/>
      <charset val="134"/>
    </font>
    <font>
      <sz val="10"/>
      <color rgb="FF1A1819"/>
      <name val="Helvetica"/>
      <family val="2"/>
    </font>
    <font>
      <sz val="13"/>
      <name val="Helvetica Neue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3" fillId="0" borderId="0"/>
    <xf numFmtId="0" fontId="2" fillId="0" borderId="0"/>
    <xf numFmtId="0" fontId="7" fillId="0" borderId="0"/>
    <xf numFmtId="9" fontId="7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0" fontId="5" fillId="0" borderId="0" xfId="0" applyFont="1"/>
    <xf numFmtId="176" fontId="0" fillId="0" borderId="0" xfId="0" applyNumberFormat="1"/>
    <xf numFmtId="4" fontId="0" fillId="0" borderId="0" xfId="0" applyNumberFormat="1"/>
    <xf numFmtId="0" fontId="5" fillId="0" borderId="0" xfId="0" applyFont="1" applyAlignment="1">
      <alignment horizontal="center" wrapText="1"/>
    </xf>
    <xf numFmtId="0" fontId="3" fillId="0" borderId="0" xfId="0" applyFont="1"/>
    <xf numFmtId="0" fontId="8" fillId="0" borderId="0" xfId="0" applyFont="1" applyAlignment="1">
      <alignment wrapText="1"/>
    </xf>
    <xf numFmtId="15" fontId="9" fillId="0" borderId="0" xfId="0" applyNumberFormat="1" applyFont="1" applyAlignment="1">
      <alignment wrapText="1"/>
    </xf>
    <xf numFmtId="0" fontId="9" fillId="0" borderId="0" xfId="0" applyFont="1" applyAlignment="1">
      <alignment wrapText="1"/>
    </xf>
    <xf numFmtId="4" fontId="9" fillId="0" borderId="0" xfId="0" applyNumberFormat="1" applyFont="1" applyAlignment="1">
      <alignment wrapText="1"/>
    </xf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10" fontId="9" fillId="0" borderId="0" xfId="0" applyNumberFormat="1" applyFont="1" applyAlignment="1">
      <alignment wrapText="1"/>
    </xf>
    <xf numFmtId="0" fontId="3" fillId="0" borderId="0" xfId="0" applyFont="1" applyAlignment="1">
      <alignment horizontal="center" wrapText="1"/>
    </xf>
    <xf numFmtId="0" fontId="3" fillId="2" borderId="0" xfId="0" applyFont="1" applyFill="1"/>
    <xf numFmtId="10" fontId="3" fillId="2" borderId="0" xfId="0" applyNumberFormat="1" applyFont="1" applyFill="1"/>
    <xf numFmtId="9" fontId="9" fillId="0" borderId="0" xfId="0" applyNumberFormat="1" applyFont="1" applyAlignment="1">
      <alignment wrapText="1"/>
    </xf>
    <xf numFmtId="9" fontId="3" fillId="0" borderId="0" xfId="0" applyNumberFormat="1" applyFont="1"/>
    <xf numFmtId="10" fontId="3" fillId="0" borderId="0" xfId="0" applyNumberFormat="1" applyFont="1"/>
    <xf numFmtId="0" fontId="8" fillId="0" borderId="0" xfId="0" applyFont="1" applyAlignment="1">
      <alignment horizontal="left" wrapText="1"/>
    </xf>
    <xf numFmtId="178" fontId="0" fillId="0" borderId="0" xfId="0" applyNumberFormat="1"/>
    <xf numFmtId="177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5" fillId="0" borderId="0" xfId="0" applyFont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6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/>
    </xf>
    <xf numFmtId="0" fontId="0" fillId="0" borderId="0" xfId="0" applyNumberFormat="1"/>
    <xf numFmtId="0" fontId="15" fillId="0" borderId="0" xfId="0" applyFont="1"/>
    <xf numFmtId="10" fontId="15" fillId="0" borderId="0" xfId="0" applyNumberFormat="1" applyFont="1"/>
    <xf numFmtId="186" fontId="0" fillId="0" borderId="0" xfId="0" applyNumberFormat="1"/>
    <xf numFmtId="179" fontId="0" fillId="0" borderId="0" xfId="1" applyNumberFormat="1" applyFont="1"/>
    <xf numFmtId="0" fontId="3" fillId="2" borderId="0" xfId="0" applyNumberFormat="1" applyFont="1" applyFill="1"/>
    <xf numFmtId="188" fontId="0" fillId="0" borderId="0" xfId="0" applyNumberFormat="1"/>
    <xf numFmtId="0" fontId="16" fillId="0" borderId="0" xfId="0" applyFont="1"/>
    <xf numFmtId="0" fontId="3" fillId="0" borderId="0" xfId="0" applyFont="1" applyAlignment="1">
      <alignment horizontal="center"/>
    </xf>
  </cellXfs>
  <cellStyles count="9">
    <cellStyle name="Comma 2" xfId="7" xr:uid="{00000000-0005-0000-0000-000000000000}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Normal 5" xfId="6" xr:uid="{00000000-0005-0000-0000-000005000000}"/>
    <cellStyle name="Percent 2" xfId="5" xr:uid="{00000000-0005-0000-0000-000007000000}"/>
    <cellStyle name="Percent 3" xfId="8" xr:uid="{00000000-0005-0000-0000-000008000000}"/>
    <cellStyle name="百分比" xfId="1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'Example solution'!$B$2</c:f>
              <c:strCache>
                <c:ptCount val="1"/>
                <c:pt idx="0">
                  <c:v>Investment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solution'!$B$4</c:f>
              <c:numCache>
                <c:formatCode>0%</c:formatCode>
                <c:ptCount val="1"/>
                <c:pt idx="0">
                  <c:v>0.1</c:v>
                </c:pt>
              </c:numCache>
            </c:numRef>
          </c:xVal>
          <c:yVal>
            <c:numRef>
              <c:f>'Example solution'!$B$3</c:f>
              <c:numCache>
                <c:formatCode>0%</c:formatCode>
                <c:ptCount val="1"/>
                <c:pt idx="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24-4000-AA40-07F794CC4051}"/>
            </c:ext>
          </c:extLst>
        </c:ser>
        <c:ser>
          <c:idx val="2"/>
          <c:order val="1"/>
          <c:tx>
            <c:strRef>
              <c:f>'Example solution'!$C$2</c:f>
              <c:strCache>
                <c:ptCount val="1"/>
                <c:pt idx="0">
                  <c:v>Investment 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solution'!$C$4</c:f>
              <c:numCache>
                <c:formatCode>0%</c:formatCode>
                <c:ptCount val="1"/>
                <c:pt idx="0">
                  <c:v>0.17</c:v>
                </c:pt>
              </c:numCache>
            </c:numRef>
          </c:xVal>
          <c:yVal>
            <c:numRef>
              <c:f>'Example solution'!$C$3</c:f>
              <c:numCache>
                <c:formatCode>0%</c:formatCode>
                <c:ptCount val="1"/>
                <c:pt idx="0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24-4000-AA40-07F794CC4051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24-4000-AA40-07F794CC4051}"/>
              </c:ext>
            </c:extLst>
          </c:dPt>
          <c:dLbls>
            <c:delete val="1"/>
          </c:dLbls>
          <c:xVal>
            <c:numRef>
              <c:f>('Example solution'!$E$4,'Example solution'!$J$4)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0.24</c:v>
                </c:pt>
              </c:numCache>
            </c:numRef>
          </c:xVal>
          <c:yVal>
            <c:numRef>
              <c:f>('Example solution'!$E$3,'Example solution'!$J$3)</c:f>
              <c:numCache>
                <c:formatCode>0.000%</c:formatCode>
                <c:ptCount val="2"/>
                <c:pt idx="0" formatCode="0%">
                  <c:v>0.02</c:v>
                </c:pt>
                <c:pt idx="1">
                  <c:v>0.16999999999999998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24-4000-AA40-07F794CC4051}"/>
            </c:ext>
          </c:extLst>
        </c:ser>
        <c:ser>
          <c:idx val="0"/>
          <c:order val="3"/>
          <c:tx>
            <c:strRef>
              <c:f>'Example solution'!$D$2</c:f>
              <c:strCache>
                <c:ptCount val="1"/>
                <c:pt idx="0">
                  <c:v>Market portfolio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solution'!$D$4</c:f>
              <c:numCache>
                <c:formatCode>0%</c:formatCode>
                <c:ptCount val="1"/>
                <c:pt idx="0">
                  <c:v>0.16</c:v>
                </c:pt>
              </c:numCache>
            </c:numRef>
          </c:xVal>
          <c:yVal>
            <c:numRef>
              <c:f>'Example solution'!$D$3</c:f>
              <c:numCache>
                <c:formatCode>0%</c:formatCode>
                <c:ptCount val="1"/>
                <c:pt idx="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24-4000-AA40-07F794CC4051}"/>
            </c:ext>
          </c:extLst>
        </c:ser>
        <c:ser>
          <c:idx val="4"/>
          <c:order val="4"/>
          <c:tx>
            <c:strRef>
              <c:f>'Example solution'!$E$2</c:f>
              <c:strCache>
                <c:ptCount val="1"/>
                <c:pt idx="0">
                  <c:v>Risk-free asset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'Example solution'!$E$3</c:f>
              <c:numCache>
                <c:formatCode>0%</c:formatCode>
                <c:ptCount val="1"/>
                <c:pt idx="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424-4000-AA40-07F794CC405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08913152"/>
        <c:axId val="208914688"/>
      </c:scatterChart>
      <c:valAx>
        <c:axId val="20891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8914688"/>
        <c:crosses val="autoZero"/>
        <c:crossBetween val="midCat"/>
      </c:valAx>
      <c:valAx>
        <c:axId val="20891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891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'Example solution'!$B$2</c:f>
              <c:strCache>
                <c:ptCount val="1"/>
                <c:pt idx="0">
                  <c:v>Investment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solution'!$B$7</c:f>
              <c:numCache>
                <c:formatCode>#,##0.00</c:formatCode>
                <c:ptCount val="1"/>
                <c:pt idx="0">
                  <c:v>0.25000000000000006</c:v>
                </c:pt>
              </c:numCache>
            </c:numRef>
          </c:xVal>
          <c:yVal>
            <c:numRef>
              <c:f>'Example solution'!$B$3</c:f>
              <c:numCache>
                <c:formatCode>0%</c:formatCode>
                <c:ptCount val="1"/>
                <c:pt idx="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D-40E0-8FEB-5D675BF9D642}"/>
            </c:ext>
          </c:extLst>
        </c:ser>
        <c:ser>
          <c:idx val="2"/>
          <c:order val="1"/>
          <c:tx>
            <c:strRef>
              <c:f>'Example solution'!$C$2</c:f>
              <c:strCache>
                <c:ptCount val="1"/>
                <c:pt idx="0">
                  <c:v>Investment 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solution'!$C$7</c:f>
              <c:numCache>
                <c:formatCode>#,##0.00</c:formatCode>
                <c:ptCount val="1"/>
                <c:pt idx="0">
                  <c:v>0.63750000000000007</c:v>
                </c:pt>
              </c:numCache>
            </c:numRef>
          </c:xVal>
          <c:yVal>
            <c:numRef>
              <c:f>'Example solution'!$C$3</c:f>
              <c:numCache>
                <c:formatCode>0%</c:formatCode>
                <c:ptCount val="1"/>
                <c:pt idx="0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D-40E0-8FEB-5D675BF9D642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5D-40E0-8FEB-5D675BF9D642}"/>
              </c:ext>
            </c:extLst>
          </c:dPt>
          <c:dLbls>
            <c:delete val="1"/>
          </c:dLbls>
          <c:xVal>
            <c:numRef>
              <c:f>('Example solution'!$E$4,'Example solution'!$J$5)</c:f>
              <c:numCache>
                <c:formatCode>General</c:formatCode>
                <c:ptCount val="2"/>
                <c:pt idx="0">
                  <c:v>0</c:v>
                </c:pt>
                <c:pt idx="1">
                  <c:v>1.5</c:v>
                </c:pt>
              </c:numCache>
            </c:numRef>
          </c:xVal>
          <c:yVal>
            <c:numRef>
              <c:f>('Example solution'!$E$3,'Example solution'!$J$3)</c:f>
              <c:numCache>
                <c:formatCode>0.000%</c:formatCode>
                <c:ptCount val="2"/>
                <c:pt idx="0" formatCode="0%">
                  <c:v>0.02</c:v>
                </c:pt>
                <c:pt idx="1">
                  <c:v>0.16999999999999998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5D-40E0-8FEB-5D675BF9D642}"/>
            </c:ext>
          </c:extLst>
        </c:ser>
        <c:ser>
          <c:idx val="0"/>
          <c:order val="3"/>
          <c:tx>
            <c:strRef>
              <c:f>'Example solution'!$D$2</c:f>
              <c:strCache>
                <c:ptCount val="1"/>
                <c:pt idx="0">
                  <c:v>Market portfolio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solution'!$D$7</c:f>
              <c:numCache>
                <c:formatCode>#,##0.00</c:formatCode>
                <c:ptCount val="1"/>
                <c:pt idx="0">
                  <c:v>1</c:v>
                </c:pt>
              </c:numCache>
            </c:numRef>
          </c:xVal>
          <c:yVal>
            <c:numRef>
              <c:f>'Example solution'!$D$3</c:f>
              <c:numCache>
                <c:formatCode>0%</c:formatCode>
                <c:ptCount val="1"/>
                <c:pt idx="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5D-40E0-8FEB-5D675BF9D642}"/>
            </c:ext>
          </c:extLst>
        </c:ser>
        <c:ser>
          <c:idx val="4"/>
          <c:order val="4"/>
          <c:tx>
            <c:strRef>
              <c:f>'Example solution'!$E$2</c:f>
              <c:strCache>
                <c:ptCount val="1"/>
                <c:pt idx="0">
                  <c:v>Risk-free asset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'Example solution'!$E$3</c:f>
              <c:numCache>
                <c:formatCode>0%</c:formatCode>
                <c:ptCount val="1"/>
                <c:pt idx="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A5D-40E0-8FEB-5D675BF9D64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7642112"/>
        <c:axId val="217643648"/>
      </c:scatterChart>
      <c:valAx>
        <c:axId val="2176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7643648"/>
        <c:crosses val="autoZero"/>
        <c:crossBetween val="midCat"/>
      </c:valAx>
      <c:valAx>
        <c:axId val="2176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764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1938035870516188"/>
                  <c:y val="-6.97455526392534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'Question 10 template'!$E$3:$E$15</c:f>
              <c:numCache>
                <c:formatCode>0.00%</c:formatCode>
                <c:ptCount val="13"/>
                <c:pt idx="0">
                  <c:v>-0.25540000000000002</c:v>
                </c:pt>
                <c:pt idx="1">
                  <c:v>0.25059999999999999</c:v>
                </c:pt>
                <c:pt idx="2">
                  <c:v>7.7299999999999994E-2</c:v>
                </c:pt>
                <c:pt idx="3">
                  <c:v>2.4999999999999988E-3</c:v>
                </c:pt>
                <c:pt idx="4">
                  <c:v>9.2399999999999982E-2</c:v>
                </c:pt>
                <c:pt idx="5">
                  <c:v>-1.4700000000000005E-2</c:v>
                </c:pt>
                <c:pt idx="6">
                  <c:v>-0.41830000000000001</c:v>
                </c:pt>
                <c:pt idx="7">
                  <c:v>0.23079999999999998</c:v>
                </c:pt>
                <c:pt idx="8">
                  <c:v>0.1231</c:v>
                </c:pt>
                <c:pt idx="9">
                  <c:v>-2.8999999999999998E-3</c:v>
                </c:pt>
                <c:pt idx="10">
                  <c:v>0.13289999999999999</c:v>
                </c:pt>
                <c:pt idx="11">
                  <c:v>0.2944</c:v>
                </c:pt>
                <c:pt idx="12">
                  <c:v>0.11260000000000001</c:v>
                </c:pt>
              </c:numCache>
            </c:numRef>
          </c:xVal>
          <c:yVal>
            <c:numRef>
              <c:f>'Question 10 template'!$F$3:$F$15</c:f>
              <c:numCache>
                <c:formatCode>0.00%</c:formatCode>
                <c:ptCount val="13"/>
                <c:pt idx="0">
                  <c:v>2.6399999999999996E-2</c:v>
                </c:pt>
                <c:pt idx="1">
                  <c:v>0.2359</c:v>
                </c:pt>
                <c:pt idx="2">
                  <c:v>0.45140000000000002</c:v>
                </c:pt>
                <c:pt idx="3">
                  <c:v>2.58E-2</c:v>
                </c:pt>
                <c:pt idx="4">
                  <c:v>1.0200000000000001E-2</c:v>
                </c:pt>
                <c:pt idx="5">
                  <c:v>-0.22610000000000002</c:v>
                </c:pt>
                <c:pt idx="6">
                  <c:v>-0.31009999999999999</c:v>
                </c:pt>
                <c:pt idx="7">
                  <c:v>0.30760000000000004</c:v>
                </c:pt>
                <c:pt idx="8">
                  <c:v>0.11610000000000001</c:v>
                </c:pt>
                <c:pt idx="9">
                  <c:v>-9.9500000000000005E-2</c:v>
                </c:pt>
                <c:pt idx="10">
                  <c:v>0.1041</c:v>
                </c:pt>
                <c:pt idx="11">
                  <c:v>0.57419999999999993</c:v>
                </c:pt>
                <c:pt idx="12">
                  <c:v>0.21260000000000001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C-2543-859A-FF254734D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576256"/>
        <c:axId val="1585538992"/>
      </c:scatterChart>
      <c:valAx>
        <c:axId val="161057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85538992"/>
        <c:crosses val="autoZero"/>
        <c:crossBetween val="midCat"/>
      </c:valAx>
      <c:valAx>
        <c:axId val="15855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1057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9315813648293962"/>
                  <c:y val="-0.195164406532516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'Question 11 template'!$E$3:$E$15</c:f>
              <c:numCache>
                <c:formatCode>0.00%</c:formatCode>
                <c:ptCount val="13"/>
                <c:pt idx="0">
                  <c:v>-0.25540000000000002</c:v>
                </c:pt>
                <c:pt idx="1">
                  <c:v>0.25059999999999999</c:v>
                </c:pt>
                <c:pt idx="2">
                  <c:v>7.7299999999999994E-2</c:v>
                </c:pt>
                <c:pt idx="3">
                  <c:v>2.4999999999999988E-3</c:v>
                </c:pt>
                <c:pt idx="4">
                  <c:v>9.2399999999999982E-2</c:v>
                </c:pt>
                <c:pt idx="5">
                  <c:v>-1.4700000000000005E-2</c:v>
                </c:pt>
                <c:pt idx="6">
                  <c:v>-0.41830000000000001</c:v>
                </c:pt>
                <c:pt idx="7">
                  <c:v>0.23079999999999998</c:v>
                </c:pt>
                <c:pt idx="8">
                  <c:v>0.1231</c:v>
                </c:pt>
                <c:pt idx="9">
                  <c:v>-2.8999999999999998E-3</c:v>
                </c:pt>
                <c:pt idx="10">
                  <c:v>0.13289999999999999</c:v>
                </c:pt>
                <c:pt idx="11">
                  <c:v>0.2944</c:v>
                </c:pt>
                <c:pt idx="12">
                  <c:v>0.11260000000000001</c:v>
                </c:pt>
              </c:numCache>
            </c:numRef>
          </c:xVal>
          <c:yVal>
            <c:numRef>
              <c:f>'Question 11 template'!$F$3:$F$15</c:f>
              <c:numCache>
                <c:formatCode>0.00%</c:formatCode>
                <c:ptCount val="13"/>
                <c:pt idx="0">
                  <c:v>-0.37630000000000002</c:v>
                </c:pt>
                <c:pt idx="1">
                  <c:v>0.1918</c:v>
                </c:pt>
                <c:pt idx="2">
                  <c:v>5.9300000000000005E-2</c:v>
                </c:pt>
                <c:pt idx="3">
                  <c:v>-0.18579999999999999</c:v>
                </c:pt>
                <c:pt idx="4">
                  <c:v>0.15389999999999998</c:v>
                </c:pt>
                <c:pt idx="5">
                  <c:v>7.8399999999999984E-2</c:v>
                </c:pt>
                <c:pt idx="6">
                  <c:v>-0.24120000000000003</c:v>
                </c:pt>
                <c:pt idx="7">
                  <c:v>0.5827</c:v>
                </c:pt>
                <c:pt idx="8">
                  <c:v>0.13789999999999999</c:v>
                </c:pt>
                <c:pt idx="9">
                  <c:v>0.2712</c:v>
                </c:pt>
                <c:pt idx="10">
                  <c:v>5.8000000000000003E-2</c:v>
                </c:pt>
                <c:pt idx="11">
                  <c:v>-3.4000000000000002E-3</c:v>
                </c:pt>
                <c:pt idx="12">
                  <c:v>-0.12520000000000001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B-CD4D-8BCB-6D05B8D69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024592"/>
        <c:axId val="399026320"/>
      </c:scatterChart>
      <c:valAx>
        <c:axId val="39902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9026320"/>
        <c:crosses val="autoZero"/>
        <c:crossBetween val="midCat"/>
      </c:valAx>
      <c:valAx>
        <c:axId val="3990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902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0352140585474394"/>
                  <c:y val="-1.3605688592664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'Question 13 template'!$E$3:$E$15</c:f>
              <c:numCache>
                <c:formatCode>0.00%</c:formatCode>
                <c:ptCount val="13"/>
                <c:pt idx="0">
                  <c:v>-0.25540000000000002</c:v>
                </c:pt>
                <c:pt idx="1">
                  <c:v>0.25059999999999999</c:v>
                </c:pt>
                <c:pt idx="2">
                  <c:v>7.7299999999999994E-2</c:v>
                </c:pt>
                <c:pt idx="3">
                  <c:v>2.4999999999999988E-3</c:v>
                </c:pt>
                <c:pt idx="4">
                  <c:v>9.2399999999999982E-2</c:v>
                </c:pt>
                <c:pt idx="5">
                  <c:v>-1.4700000000000005E-2</c:v>
                </c:pt>
                <c:pt idx="6">
                  <c:v>-0.41830000000000001</c:v>
                </c:pt>
                <c:pt idx="7">
                  <c:v>0.23079999999999998</c:v>
                </c:pt>
                <c:pt idx="8">
                  <c:v>0.1231</c:v>
                </c:pt>
                <c:pt idx="9">
                  <c:v>-2.8999999999999998E-3</c:v>
                </c:pt>
                <c:pt idx="10">
                  <c:v>0.13289999999999999</c:v>
                </c:pt>
                <c:pt idx="11">
                  <c:v>0.2944</c:v>
                </c:pt>
                <c:pt idx="12">
                  <c:v>0.11260000000000001</c:v>
                </c:pt>
              </c:numCache>
            </c:numRef>
          </c:xVal>
          <c:yVal>
            <c:numRef>
              <c:f>'Question 13 template'!$F$3:$F$15</c:f>
              <c:numCache>
                <c:formatCode>0.00%</c:formatCode>
                <c:ptCount val="13"/>
                <c:pt idx="0">
                  <c:v>4.2499999999999996E-2</c:v>
                </c:pt>
                <c:pt idx="1">
                  <c:v>0.39300000000000002</c:v>
                </c:pt>
                <c:pt idx="2">
                  <c:v>-0.03</c:v>
                </c:pt>
                <c:pt idx="3">
                  <c:v>-6.25E-2</c:v>
                </c:pt>
                <c:pt idx="4">
                  <c:v>-1.4099999999999998E-2</c:v>
                </c:pt>
                <c:pt idx="5">
                  <c:v>5.7399999999999993E-2</c:v>
                </c:pt>
                <c:pt idx="6">
                  <c:v>-0.33169999999999999</c:v>
                </c:pt>
                <c:pt idx="7">
                  <c:v>0.48160000000000003</c:v>
                </c:pt>
                <c:pt idx="8">
                  <c:v>6.6000000000000003E-2</c:v>
                </c:pt>
                <c:pt idx="9">
                  <c:v>-3.1300000000000001E-2</c:v>
                </c:pt>
                <c:pt idx="10">
                  <c:v>0.16549999999999998</c:v>
                </c:pt>
                <c:pt idx="11">
                  <c:v>0.54289999999999994</c:v>
                </c:pt>
                <c:pt idx="12">
                  <c:v>0.19870000000000002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A2-6346-88B8-73BEAD061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982928"/>
        <c:axId val="1602383024"/>
      </c:scatterChart>
      <c:valAx>
        <c:axId val="150298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2383024"/>
        <c:crosses val="autoZero"/>
        <c:crossBetween val="midCat"/>
      </c:valAx>
      <c:valAx>
        <c:axId val="16023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298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22225</xdr:colOff>
      <xdr:row>11</xdr:row>
      <xdr:rowOff>60325</xdr:rowOff>
    </xdr:from>
    <xdr:to>
      <xdr:col>5</xdr:col>
      <xdr:colOff>180975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14</xdr:col>
      <xdr:colOff>304800</xdr:colOff>
      <xdr:row>28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138907</xdr:colOff>
      <xdr:row>17</xdr:row>
      <xdr:rowOff>80963</xdr:rowOff>
    </xdr:from>
    <xdr:to>
      <xdr:col>5</xdr:col>
      <xdr:colOff>551657</xdr:colOff>
      <xdr:row>33</xdr:row>
      <xdr:rowOff>157163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5D42408-338A-687C-5E12-5C5844B21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169333</xdr:colOff>
      <xdr:row>17</xdr:row>
      <xdr:rowOff>57149</xdr:rowOff>
    </xdr:from>
    <xdr:to>
      <xdr:col>5</xdr:col>
      <xdr:colOff>585611</xdr:colOff>
      <xdr:row>34</xdr:row>
      <xdr:rowOff>41627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79B623D-AF69-4360-A9C5-C2D01EB2E9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188170</xdr:colOff>
      <xdr:row>17</xdr:row>
      <xdr:rowOff>36339</xdr:rowOff>
    </xdr:from>
    <xdr:to>
      <xdr:col>5</xdr:col>
      <xdr:colOff>602275</xdr:colOff>
      <xdr:row>33</xdr:row>
      <xdr:rowOff>142887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8292AC3-565F-4DCA-38F1-9D807E489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J10"/>
  <sheetViews>
    <sheetView workbookViewId="0">
      <selection activeCell="I6" sqref="I6"/>
    </sheetView>
  </sheetViews>
  <sheetFormatPr baseColWidth="10" defaultColWidth="8.83203125" defaultRowHeight="13"/>
  <cols>
    <col min="1" max="1" width="15.6640625" bestFit="1" customWidth="1"/>
    <col min="2" max="2" width="12" bestFit="1" customWidth="1"/>
    <col min="3" max="3" width="12.1640625" bestFit="1" customWidth="1"/>
    <col min="4" max="4" width="14.5" bestFit="1" customWidth="1"/>
    <col min="5" max="5" width="13.83203125" bestFit="1" customWidth="1"/>
    <col min="10" max="10" width="8" bestFit="1" customWidth="1"/>
  </cols>
  <sheetData>
    <row r="1" spans="1:10" ht="17">
      <c r="A1" s="34" t="s">
        <v>2</v>
      </c>
      <c r="B1" s="34"/>
      <c r="C1" s="34"/>
      <c r="D1" s="34"/>
      <c r="E1" s="34"/>
    </row>
    <row r="2" spans="1:10">
      <c r="B2" s="4" t="s">
        <v>3</v>
      </c>
      <c r="C2" s="4" t="s">
        <v>4</v>
      </c>
      <c r="D2" s="4" t="s">
        <v>7</v>
      </c>
      <c r="E2" s="4" t="s">
        <v>12</v>
      </c>
    </row>
    <row r="3" spans="1:10">
      <c r="A3" t="s">
        <v>5</v>
      </c>
      <c r="B3" s="3">
        <v>0.09</v>
      </c>
      <c r="C3" s="3">
        <v>0.15</v>
      </c>
      <c r="D3" s="3">
        <v>0.12</v>
      </c>
      <c r="E3" s="3">
        <v>0.02</v>
      </c>
      <c r="J3" s="5">
        <f>J4/D4*(D3-E3)+E3</f>
        <v>0.16999999999999998</v>
      </c>
    </row>
    <row r="4" spans="1:10">
      <c r="A4" t="s">
        <v>6</v>
      </c>
      <c r="B4" s="3">
        <v>0.1</v>
      </c>
      <c r="C4" s="3">
        <v>0.17</v>
      </c>
      <c r="D4" s="3">
        <v>0.16</v>
      </c>
      <c r="E4">
        <v>0</v>
      </c>
      <c r="J4" s="3">
        <v>0.24</v>
      </c>
    </row>
    <row r="5" spans="1:10">
      <c r="J5">
        <f>(J3-E3)/(D3-E3)</f>
        <v>1.5</v>
      </c>
    </row>
    <row r="6" spans="1:10">
      <c r="A6" t="s">
        <v>8</v>
      </c>
      <c r="B6">
        <v>0.4</v>
      </c>
      <c r="C6">
        <v>0.6</v>
      </c>
      <c r="D6">
        <v>1</v>
      </c>
    </row>
    <row r="7" spans="1:10">
      <c r="A7" t="s">
        <v>1</v>
      </c>
      <c r="B7" s="6">
        <f>B6*B4/$D$4</f>
        <v>0.25000000000000006</v>
      </c>
      <c r="C7" s="6">
        <f>C6*C4/$D$4</f>
        <v>0.63750000000000007</v>
      </c>
      <c r="D7" s="6">
        <f>D6*D4/$D$4</f>
        <v>1</v>
      </c>
    </row>
    <row r="8" spans="1:10">
      <c r="A8" t="s">
        <v>11</v>
      </c>
      <c r="B8" s="6">
        <f>(B3-$E$3)/B4</f>
        <v>0.69999999999999984</v>
      </c>
      <c r="C8" s="6">
        <f>(C3-$E$3)/C4</f>
        <v>0.76470588235294112</v>
      </c>
      <c r="D8" s="6">
        <f>(D3-$E$3)/D4</f>
        <v>0.62499999999999989</v>
      </c>
    </row>
    <row r="9" spans="1:10">
      <c r="A9" t="s">
        <v>9</v>
      </c>
      <c r="B9" s="1">
        <f>B3-($E$3+B7*($D$3-$E$3))</f>
        <v>4.4999999999999991E-2</v>
      </c>
      <c r="C9" s="1">
        <f>C3-($E$3+C7*($D$3-$E$3))</f>
        <v>6.6249999999999989E-2</v>
      </c>
      <c r="D9" s="1">
        <f>D3-($E$3+D7*($D$3-$E$3))</f>
        <v>0</v>
      </c>
    </row>
    <row r="10" spans="1:10">
      <c r="A10" t="s">
        <v>10</v>
      </c>
      <c r="B10" s="2">
        <f>(B3-$E$3)/B7</f>
        <v>0.27999999999999992</v>
      </c>
      <c r="C10" s="2">
        <f>(C3-$E$3)/C7</f>
        <v>0.20392156862745098</v>
      </c>
      <c r="D10" s="2">
        <f>(D3-$E$3)/D7</f>
        <v>9.9999999999999992E-2</v>
      </c>
    </row>
  </sheetData>
  <mergeCells count="1">
    <mergeCell ref="A1:E1"/>
  </mergeCells>
  <phoneticPr fontId="14" type="noConversion"/>
  <conditionalFormatting sqref="B10:D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D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D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8"/>
  <sheetViews>
    <sheetView workbookViewId="0">
      <selection activeCell="H6" sqref="H6"/>
    </sheetView>
  </sheetViews>
  <sheetFormatPr baseColWidth="10" defaultColWidth="8.83203125" defaultRowHeight="13"/>
  <cols>
    <col min="1" max="1" width="9.1640625" style="8" bestFit="1" customWidth="1"/>
    <col min="2" max="2" width="13" style="8" bestFit="1" customWidth="1"/>
    <col min="3" max="3" width="6.83203125" style="8" bestFit="1" customWidth="1"/>
    <col min="4" max="4" width="8.5" style="8" bestFit="1" customWidth="1"/>
    <col min="5" max="5" width="7.83203125" style="8" bestFit="1" customWidth="1"/>
    <col min="6" max="6" width="8.83203125" style="8"/>
    <col min="7" max="7" width="15.5" style="8" bestFit="1" customWidth="1"/>
    <col min="8" max="8" width="13.33203125" style="8" bestFit="1" customWidth="1"/>
    <col min="9" max="16384" width="8.83203125" style="8"/>
  </cols>
  <sheetData>
    <row r="1" spans="1:8" ht="21" customHeight="1">
      <c r="A1" s="35" t="s">
        <v>21</v>
      </c>
      <c r="B1" s="35"/>
      <c r="C1" s="35"/>
      <c r="D1" s="35"/>
      <c r="E1" s="35"/>
      <c r="F1" s="35"/>
      <c r="G1" s="35"/>
      <c r="H1" s="35"/>
    </row>
    <row r="2" spans="1:8" s="13" customFormat="1" ht="42">
      <c r="A2" s="14" t="s">
        <v>0</v>
      </c>
      <c r="B2" s="14" t="s">
        <v>16</v>
      </c>
      <c r="C2" s="14" t="s">
        <v>17</v>
      </c>
      <c r="D2" s="14" t="s">
        <v>18</v>
      </c>
      <c r="E2" s="14" t="s">
        <v>19</v>
      </c>
      <c r="H2" s="16" t="s">
        <v>22</v>
      </c>
    </row>
    <row r="3" spans="1:8">
      <c r="A3" s="10">
        <v>32873</v>
      </c>
      <c r="B3" s="11">
        <v>329.08</v>
      </c>
      <c r="C3" s="9"/>
      <c r="D3" s="9"/>
      <c r="E3" s="9"/>
      <c r="G3" s="8" t="s">
        <v>20</v>
      </c>
      <c r="H3" s="18">
        <f>AVERAGE(E4:E28)</f>
        <v>5.9314545111652475E-2</v>
      </c>
    </row>
    <row r="4" spans="1:8">
      <c r="A4" s="10">
        <v>33238</v>
      </c>
      <c r="B4" s="11">
        <v>343.93</v>
      </c>
      <c r="C4" s="17">
        <f>B4/B3-1</f>
        <v>4.5125805275312958E-2</v>
      </c>
      <c r="D4" s="15">
        <v>6.8199999999999997E-2</v>
      </c>
      <c r="E4" s="18">
        <f>C4-D4</f>
        <v>-2.3074194724687039E-2</v>
      </c>
      <c r="G4" s="8" t="s">
        <v>6</v>
      </c>
      <c r="H4" s="17">
        <f>_xlfn.STDEV.S(C4:C28)</f>
        <v>0.17879859835911485</v>
      </c>
    </row>
    <row r="5" spans="1:8">
      <c r="A5" s="10">
        <v>33603</v>
      </c>
      <c r="B5" s="11">
        <v>408.78</v>
      </c>
      <c r="C5" s="17">
        <f t="shared" ref="C5:C28" si="0">B5/B4-1</f>
        <v>0.18855581077544836</v>
      </c>
      <c r="D5" s="15">
        <v>4.1200000000000001E-2</v>
      </c>
      <c r="E5" s="18">
        <f t="shared" ref="E5:E28" si="1">C5-D5</f>
        <v>0.14735581077544835</v>
      </c>
      <c r="G5" s="8" t="s">
        <v>13</v>
      </c>
      <c r="H5" s="17">
        <f>H3/H4</f>
        <v>0.33173943004027312</v>
      </c>
    </row>
    <row r="6" spans="1:8">
      <c r="A6" s="10">
        <v>33969</v>
      </c>
      <c r="B6" s="11">
        <v>438.78</v>
      </c>
      <c r="C6" s="17">
        <f t="shared" si="0"/>
        <v>7.3389109056215984E-2</v>
      </c>
      <c r="D6" s="15">
        <v>3.61E-2</v>
      </c>
      <c r="E6" s="18">
        <f t="shared" si="1"/>
        <v>3.7289109056215984E-2</v>
      </c>
    </row>
    <row r="7" spans="1:8">
      <c r="A7" s="10">
        <v>34334</v>
      </c>
      <c r="B7" s="11">
        <v>481.61</v>
      </c>
      <c r="C7" s="17">
        <f t="shared" si="0"/>
        <v>9.7611559323579122E-2</v>
      </c>
      <c r="D7" s="15">
        <v>3.6299999999999999E-2</v>
      </c>
      <c r="E7" s="18">
        <f t="shared" si="1"/>
        <v>6.1311559323579123E-2</v>
      </c>
    </row>
    <row r="8" spans="1:8">
      <c r="A8" s="10">
        <v>34699</v>
      </c>
      <c r="B8" s="11">
        <v>470.42</v>
      </c>
      <c r="C8" s="17">
        <f t="shared" si="0"/>
        <v>-2.3234567388550897E-2</v>
      </c>
      <c r="D8" s="15">
        <v>7.1999999999999995E-2</v>
      </c>
      <c r="E8" s="18">
        <f t="shared" si="1"/>
        <v>-9.5234567388550892E-2</v>
      </c>
    </row>
    <row r="9" spans="1:8">
      <c r="A9" s="10">
        <v>35064</v>
      </c>
      <c r="B9" s="11">
        <v>636.02</v>
      </c>
      <c r="C9" s="17">
        <f t="shared" si="0"/>
        <v>0.35202584924110369</v>
      </c>
      <c r="D9" s="15">
        <v>5.1799999999999999E-2</v>
      </c>
      <c r="E9" s="18">
        <f t="shared" si="1"/>
        <v>0.30022584924110368</v>
      </c>
    </row>
    <row r="10" spans="1:8">
      <c r="A10" s="10">
        <v>35430</v>
      </c>
      <c r="B10" s="11">
        <v>786.16</v>
      </c>
      <c r="C10" s="17">
        <f t="shared" si="0"/>
        <v>0.23606175906418025</v>
      </c>
      <c r="D10" s="15">
        <v>5.5100000000000003E-2</v>
      </c>
      <c r="E10" s="18">
        <f t="shared" si="1"/>
        <v>0.18096175906418024</v>
      </c>
    </row>
    <row r="11" spans="1:8">
      <c r="A11" s="10">
        <v>35795</v>
      </c>
      <c r="B11" s="11">
        <v>980.28</v>
      </c>
      <c r="C11" s="17">
        <f t="shared" si="0"/>
        <v>0.24692174620942309</v>
      </c>
      <c r="D11" s="15">
        <v>5.5100000000000003E-2</v>
      </c>
      <c r="E11" s="18">
        <f t="shared" si="1"/>
        <v>0.19182174620942308</v>
      </c>
    </row>
    <row r="12" spans="1:8">
      <c r="A12" s="10">
        <v>36160</v>
      </c>
      <c r="B12" s="12">
        <v>1279.6400000000001</v>
      </c>
      <c r="C12" s="17">
        <f t="shared" si="0"/>
        <v>0.305382135716326</v>
      </c>
      <c r="D12" s="15">
        <v>4.53E-2</v>
      </c>
      <c r="E12" s="18">
        <f t="shared" si="1"/>
        <v>0.26008213571632599</v>
      </c>
    </row>
    <row r="13" spans="1:8">
      <c r="A13" s="10">
        <v>36525</v>
      </c>
      <c r="B13" s="12">
        <v>1394.46</v>
      </c>
      <c r="C13" s="17">
        <f t="shared" si="0"/>
        <v>8.9728361101559795E-2</v>
      </c>
      <c r="D13" s="15">
        <v>5.9799999999999999E-2</v>
      </c>
      <c r="E13" s="18">
        <f t="shared" si="1"/>
        <v>2.9928361101559796E-2</v>
      </c>
    </row>
    <row r="14" spans="1:8">
      <c r="A14" s="10">
        <v>36891</v>
      </c>
      <c r="B14" s="12">
        <v>1366.01</v>
      </c>
      <c r="C14" s="17">
        <f t="shared" si="0"/>
        <v>-2.0402162844398553E-2</v>
      </c>
      <c r="D14" s="15">
        <v>5.3199999999999997E-2</v>
      </c>
      <c r="E14" s="18">
        <f t="shared" si="1"/>
        <v>-7.360216284439855E-2</v>
      </c>
    </row>
    <row r="15" spans="1:8">
      <c r="A15" s="10">
        <v>37256</v>
      </c>
      <c r="B15" s="12">
        <v>1130.2</v>
      </c>
      <c r="C15" s="17">
        <f t="shared" si="0"/>
        <v>-0.17262684753405899</v>
      </c>
      <c r="D15" s="15">
        <v>2.1700000000000001E-2</v>
      </c>
      <c r="E15" s="18">
        <f t="shared" si="1"/>
        <v>-0.19432684753405899</v>
      </c>
    </row>
    <row r="16" spans="1:8">
      <c r="A16" s="10">
        <v>37621</v>
      </c>
      <c r="B16" s="11">
        <v>855.7</v>
      </c>
      <c r="C16" s="17">
        <f t="shared" si="0"/>
        <v>-0.24287736683772787</v>
      </c>
      <c r="D16" s="15">
        <v>1.32E-2</v>
      </c>
      <c r="E16" s="18">
        <f t="shared" si="1"/>
        <v>-0.25607736683772786</v>
      </c>
    </row>
    <row r="17" spans="1:5">
      <c r="A17" s="10">
        <v>37986</v>
      </c>
      <c r="B17" s="12">
        <v>1131.1300000000001</v>
      </c>
      <c r="C17" s="17">
        <f t="shared" si="0"/>
        <v>0.32187682599041723</v>
      </c>
      <c r="D17" s="15">
        <v>1.26E-2</v>
      </c>
      <c r="E17" s="18">
        <f t="shared" si="1"/>
        <v>0.30927682599041723</v>
      </c>
    </row>
    <row r="18" spans="1:5">
      <c r="A18" s="10">
        <v>38352</v>
      </c>
      <c r="B18" s="12">
        <v>1181.27</v>
      </c>
      <c r="C18" s="17">
        <f t="shared" si="0"/>
        <v>4.4327354061867164E-2</v>
      </c>
      <c r="D18" s="15">
        <v>2.75E-2</v>
      </c>
      <c r="E18" s="18">
        <f t="shared" si="1"/>
        <v>1.6827354061867163E-2</v>
      </c>
    </row>
    <row r="19" spans="1:5">
      <c r="A19" s="10">
        <v>38717</v>
      </c>
      <c r="B19" s="12">
        <v>1280.08</v>
      </c>
      <c r="C19" s="17">
        <f t="shared" si="0"/>
        <v>8.3647260998755524E-2</v>
      </c>
      <c r="D19" s="15">
        <v>4.3799999999999999E-2</v>
      </c>
      <c r="E19" s="18">
        <f t="shared" si="1"/>
        <v>3.9847260998755525E-2</v>
      </c>
    </row>
    <row r="20" spans="1:5">
      <c r="A20" s="10">
        <v>39082</v>
      </c>
      <c r="B20" s="12">
        <v>1438.24</v>
      </c>
      <c r="C20" s="17">
        <f t="shared" si="0"/>
        <v>0.12355477782638591</v>
      </c>
      <c r="D20" s="15">
        <v>0.05</v>
      </c>
      <c r="E20" s="18">
        <f t="shared" si="1"/>
        <v>7.3554777826385906E-2</v>
      </c>
    </row>
    <row r="21" spans="1:5">
      <c r="A21" s="10">
        <v>39447</v>
      </c>
      <c r="B21" s="12">
        <v>1378.55</v>
      </c>
      <c r="C21" s="17">
        <f t="shared" si="0"/>
        <v>-4.1502113694515508E-2</v>
      </c>
      <c r="D21" s="15">
        <v>3.3399999999999999E-2</v>
      </c>
      <c r="E21" s="18">
        <f t="shared" si="1"/>
        <v>-7.4902113694515507E-2</v>
      </c>
    </row>
    <row r="22" spans="1:5">
      <c r="A22" s="10">
        <v>39813</v>
      </c>
      <c r="B22" s="11">
        <v>825.88</v>
      </c>
      <c r="C22" s="17">
        <f t="shared" si="0"/>
        <v>-0.40090674984585251</v>
      </c>
      <c r="D22" s="15">
        <v>3.7000000000000002E-3</v>
      </c>
      <c r="E22" s="18">
        <f t="shared" si="1"/>
        <v>-0.40460674984585249</v>
      </c>
    </row>
    <row r="23" spans="1:5">
      <c r="A23" s="10">
        <v>40178</v>
      </c>
      <c r="B23" s="12">
        <v>1073.8699999999999</v>
      </c>
      <c r="C23" s="17">
        <f t="shared" si="0"/>
        <v>0.30027364750326901</v>
      </c>
      <c r="D23" s="15">
        <v>4.7000000000000002E-3</v>
      </c>
      <c r="E23" s="18">
        <f t="shared" si="1"/>
        <v>0.29557364750326903</v>
      </c>
    </row>
    <row r="24" spans="1:5">
      <c r="A24" s="10">
        <v>40543</v>
      </c>
      <c r="B24" s="12">
        <v>1286.1199999999999</v>
      </c>
      <c r="C24" s="17">
        <f t="shared" si="0"/>
        <v>0.19764962239377204</v>
      </c>
      <c r="D24" s="15">
        <v>2.8999999999999998E-3</v>
      </c>
      <c r="E24" s="18">
        <f t="shared" si="1"/>
        <v>0.19474962239377203</v>
      </c>
    </row>
    <row r="25" spans="1:5">
      <c r="A25" s="10">
        <v>40908</v>
      </c>
      <c r="B25" s="12">
        <v>1312.41</v>
      </c>
      <c r="C25" s="17">
        <f t="shared" si="0"/>
        <v>2.0441327403352805E-2</v>
      </c>
      <c r="D25" s="15">
        <v>1.1999999999999999E-3</v>
      </c>
      <c r="E25" s="18">
        <f t="shared" si="1"/>
        <v>1.9241327403352805E-2</v>
      </c>
    </row>
    <row r="26" spans="1:5">
      <c r="A26" s="10">
        <v>41274</v>
      </c>
      <c r="B26" s="12">
        <v>1498.11</v>
      </c>
      <c r="C26" s="17">
        <f t="shared" si="0"/>
        <v>0.14149541682858247</v>
      </c>
      <c r="D26" s="15">
        <v>1.6000000000000001E-3</v>
      </c>
      <c r="E26" s="18">
        <f t="shared" si="1"/>
        <v>0.13989541682858248</v>
      </c>
    </row>
    <row r="27" spans="1:5">
      <c r="A27" s="10">
        <v>41639</v>
      </c>
      <c r="B27" s="12">
        <v>1782.59</v>
      </c>
      <c r="C27" s="17">
        <f t="shared" si="0"/>
        <v>0.18989259800682201</v>
      </c>
      <c r="D27" s="15">
        <v>1.2999999999999999E-3</v>
      </c>
      <c r="E27" s="18">
        <f t="shared" si="1"/>
        <v>0.18859259800682202</v>
      </c>
    </row>
    <row r="28" spans="1:5">
      <c r="A28" s="10">
        <v>42004</v>
      </c>
      <c r="B28" s="12">
        <v>1994.99</v>
      </c>
      <c r="C28" s="17">
        <f t="shared" si="0"/>
        <v>0.11915246916004252</v>
      </c>
      <c r="D28" s="15">
        <v>1E-3</v>
      </c>
      <c r="E28" s="18">
        <f t="shared" si="1"/>
        <v>0.11815246916004252</v>
      </c>
    </row>
  </sheetData>
  <mergeCells count="1">
    <mergeCell ref="A1:H1"/>
  </mergeCells>
  <phoneticPr fontId="1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3C5F2-8337-BB40-A0BD-A11C6B74AFF5}">
  <dimension ref="A1:C16"/>
  <sheetViews>
    <sheetView zoomScaleNormal="100" workbookViewId="0">
      <selection activeCell="B16" sqref="B16"/>
    </sheetView>
  </sheetViews>
  <sheetFormatPr baseColWidth="10" defaultRowHeight="13"/>
  <cols>
    <col min="1" max="1" width="24.83203125" bestFit="1" customWidth="1"/>
    <col min="2" max="2" width="16.1640625" bestFit="1" customWidth="1"/>
    <col min="3" max="3" width="13.1640625" bestFit="1" customWidth="1"/>
  </cols>
  <sheetData>
    <row r="1" spans="1:3">
      <c r="B1" s="8" t="s">
        <v>60</v>
      </c>
      <c r="C1" s="8" t="s">
        <v>61</v>
      </c>
    </row>
    <row r="2" spans="1:3">
      <c r="A2" s="8" t="s">
        <v>62</v>
      </c>
      <c r="B2" s="3">
        <v>0.14000000000000001</v>
      </c>
      <c r="C2" s="3">
        <v>0.12</v>
      </c>
    </row>
    <row r="3" spans="1:3">
      <c r="A3" s="8" t="s">
        <v>63</v>
      </c>
      <c r="B3" s="3">
        <v>0.16</v>
      </c>
      <c r="C3" s="3">
        <v>0.11</v>
      </c>
    </row>
    <row r="5" spans="1:3">
      <c r="A5" s="8" t="s">
        <v>64</v>
      </c>
      <c r="B5" s="3">
        <v>0.03</v>
      </c>
    </row>
    <row r="7" spans="1:3">
      <c r="A7" s="8" t="s">
        <v>65</v>
      </c>
    </row>
    <row r="8" spans="1:3">
      <c r="A8" s="8" t="s">
        <v>66</v>
      </c>
      <c r="B8" s="37">
        <f>(B2-$B$5)/B3</f>
        <v>0.68750000000000011</v>
      </c>
      <c r="C8" s="37">
        <f>(C2-$B$5)/C3</f>
        <v>0.81818181818181812</v>
      </c>
    </row>
    <row r="9" spans="1:3">
      <c r="A9" s="8" t="s">
        <v>67</v>
      </c>
    </row>
    <row r="11" spans="1:3">
      <c r="A11" s="8" t="s">
        <v>68</v>
      </c>
    </row>
    <row r="12" spans="1:3">
      <c r="A12" s="8" t="s">
        <v>69</v>
      </c>
      <c r="B12" s="20">
        <v>-0.45454545454545453</v>
      </c>
    </row>
    <row r="13" spans="1:3">
      <c r="A13" s="8" t="s">
        <v>70</v>
      </c>
      <c r="B13" s="3">
        <f>1-B12</f>
        <v>1.4545454545454546</v>
      </c>
    </row>
    <row r="15" spans="1:3">
      <c r="A15" s="8" t="s">
        <v>71</v>
      </c>
      <c r="B15" s="5">
        <f>B12*B5+B13*C2</f>
        <v>0.16090909090909089</v>
      </c>
    </row>
    <row r="16" spans="1:3">
      <c r="A16" s="8" t="s">
        <v>72</v>
      </c>
      <c r="B16" s="5">
        <f>B13*C3</f>
        <v>0.16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FB55C-A0C6-7940-A0BA-A09CA2928D6E}">
  <dimension ref="A1:C3"/>
  <sheetViews>
    <sheetView zoomScaleNormal="100" workbookViewId="0">
      <selection activeCell="B4" sqref="B4"/>
    </sheetView>
  </sheetViews>
  <sheetFormatPr baseColWidth="10" defaultRowHeight="13"/>
  <cols>
    <col min="1" max="1" width="16.83203125" bestFit="1" customWidth="1"/>
    <col min="2" max="2" width="9.83203125" bestFit="1" customWidth="1"/>
    <col min="3" max="3" width="13.1640625" bestFit="1" customWidth="1"/>
  </cols>
  <sheetData>
    <row r="1" spans="1:3">
      <c r="B1" s="8" t="s">
        <v>73</v>
      </c>
      <c r="C1" s="38" t="s">
        <v>74</v>
      </c>
    </row>
    <row r="2" spans="1:3">
      <c r="A2" s="8" t="s">
        <v>72</v>
      </c>
      <c r="B2" s="3">
        <v>0.15</v>
      </c>
      <c r="C2" s="3">
        <v>0.1</v>
      </c>
    </row>
    <row r="3" spans="1:3">
      <c r="A3" s="8" t="s">
        <v>71</v>
      </c>
      <c r="B3" s="2">
        <f>B2*C3/C2</f>
        <v>0.12</v>
      </c>
      <c r="C3" s="3">
        <v>0.08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00501-E25B-234E-AC18-CEDA9E5E9A8A}">
  <dimension ref="A1:C6"/>
  <sheetViews>
    <sheetView zoomScaleNormal="100" workbookViewId="0">
      <selection sqref="A1:C7"/>
    </sheetView>
  </sheetViews>
  <sheetFormatPr baseColWidth="10" defaultRowHeight="13"/>
  <cols>
    <col min="3" max="3" width="12" bestFit="1" customWidth="1"/>
  </cols>
  <sheetData>
    <row r="1" spans="1:3">
      <c r="A1" s="8" t="s">
        <v>75</v>
      </c>
      <c r="B1">
        <v>1.27</v>
      </c>
    </row>
    <row r="2" spans="1:3">
      <c r="A2" s="8" t="s">
        <v>76</v>
      </c>
      <c r="B2" s="41">
        <v>0.52968700000000002</v>
      </c>
    </row>
    <row r="3" spans="1:3">
      <c r="A3" s="8" t="s">
        <v>71</v>
      </c>
      <c r="B3" s="39">
        <v>0.67279999999999995</v>
      </c>
      <c r="C3" s="40">
        <f>B6+B2+B1*(B5-B6)</f>
        <v>0.67280000000000006</v>
      </c>
    </row>
    <row r="5" spans="1:3">
      <c r="A5" s="8" t="s">
        <v>77</v>
      </c>
      <c r="B5" s="2">
        <v>0.1129</v>
      </c>
    </row>
    <row r="6" spans="1:3">
      <c r="A6" s="8" t="s">
        <v>78</v>
      </c>
      <c r="B6" s="2">
        <v>1E-3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BEFB-38A1-904C-A494-9A1C696ABA5B}">
  <dimension ref="A1:D11"/>
  <sheetViews>
    <sheetView zoomScaleNormal="100" workbookViewId="0">
      <selection activeCell="C11" sqref="C11"/>
    </sheetView>
  </sheetViews>
  <sheetFormatPr baseColWidth="10" defaultRowHeight="13"/>
  <cols>
    <col min="1" max="1" width="17.6640625" bestFit="1" customWidth="1"/>
    <col min="2" max="2" width="8" bestFit="1" customWidth="1"/>
  </cols>
  <sheetData>
    <row r="1" spans="1:4">
      <c r="A1" s="8" t="s">
        <v>75</v>
      </c>
      <c r="B1">
        <v>0.7</v>
      </c>
    </row>
    <row r="2" spans="1:4">
      <c r="A2" s="8" t="s">
        <v>79</v>
      </c>
      <c r="B2" s="3">
        <v>0.06</v>
      </c>
    </row>
    <row r="3" spans="1:4">
      <c r="A3" s="8" t="s">
        <v>78</v>
      </c>
      <c r="B3" s="20">
        <v>0.02</v>
      </c>
    </row>
    <row r="4" spans="1:4">
      <c r="D4" s="5"/>
    </row>
    <row r="5" spans="1:4">
      <c r="A5" s="8" t="s">
        <v>71</v>
      </c>
      <c r="B5" s="3">
        <v>7.0000000000000007E-2</v>
      </c>
    </row>
    <row r="6" spans="1:4">
      <c r="A6" s="8" t="s">
        <v>80</v>
      </c>
      <c r="B6" s="3">
        <v>0.01</v>
      </c>
    </row>
    <row r="7" spans="1:4">
      <c r="A7" s="8" t="s">
        <v>81</v>
      </c>
      <c r="B7" s="3">
        <f>B5-B6</f>
        <v>6.0000000000000005E-2</v>
      </c>
    </row>
    <row r="9" spans="1:4">
      <c r="A9" s="8" t="s">
        <v>82</v>
      </c>
      <c r="B9" s="5">
        <f>B3+B1*B2</f>
        <v>6.2E-2</v>
      </c>
    </row>
    <row r="11" spans="1:4">
      <c r="A11" s="8" t="s">
        <v>83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9"/>
  <sheetViews>
    <sheetView zoomScaleNormal="100" workbookViewId="0">
      <selection activeCell="B9" sqref="B9:D9"/>
    </sheetView>
  </sheetViews>
  <sheetFormatPr baseColWidth="10" defaultColWidth="8.83203125" defaultRowHeight="13"/>
  <cols>
    <col min="1" max="1" width="35.83203125" style="8" customWidth="1"/>
    <col min="2" max="4" width="8.33203125" style="8" customWidth="1"/>
    <col min="5" max="16384" width="8.83203125" style="8"/>
  </cols>
  <sheetData>
    <row r="1" spans="1:4" ht="16">
      <c r="A1" s="36" t="s">
        <v>28</v>
      </c>
      <c r="B1" s="36"/>
      <c r="C1" s="36"/>
      <c r="D1" s="36"/>
    </row>
    <row r="2" spans="1:4" ht="14">
      <c r="A2" s="11" t="s">
        <v>25</v>
      </c>
      <c r="B2" s="20">
        <v>0.02</v>
      </c>
      <c r="D2" s="9"/>
    </row>
    <row r="3" spans="1:4" s="13" customFormat="1" ht="28">
      <c r="A3" s="22" t="s">
        <v>26</v>
      </c>
      <c r="B3" s="14" t="s">
        <v>29</v>
      </c>
      <c r="C3" s="14" t="s">
        <v>30</v>
      </c>
      <c r="D3" s="14" t="s">
        <v>7</v>
      </c>
    </row>
    <row r="4" spans="1:4" ht="14">
      <c r="A4" s="11" t="s">
        <v>23</v>
      </c>
      <c r="B4" s="19">
        <v>7.0000000000000007E-2</v>
      </c>
      <c r="C4" s="19">
        <v>0.2</v>
      </c>
      <c r="D4" s="19">
        <v>0.1</v>
      </c>
    </row>
    <row r="5" spans="1:4" ht="14">
      <c r="A5" s="11" t="s">
        <v>6</v>
      </c>
      <c r="B5" s="19">
        <v>0.25</v>
      </c>
      <c r="C5" s="19">
        <v>0.72</v>
      </c>
      <c r="D5" s="19">
        <v>0.18</v>
      </c>
    </row>
    <row r="6" spans="1:4" ht="16">
      <c r="A6" s="11" t="s">
        <v>31</v>
      </c>
      <c r="B6" s="11">
        <v>0.36</v>
      </c>
      <c r="C6" s="11">
        <v>0.5</v>
      </c>
      <c r="D6" s="11">
        <v>1</v>
      </c>
    </row>
    <row r="7" spans="1:4" ht="14">
      <c r="A7" s="11" t="s">
        <v>1</v>
      </c>
      <c r="B7" s="42">
        <f>(B6*B5*$D$5)/($D$5^2)</f>
        <v>0.5</v>
      </c>
      <c r="C7" s="42">
        <f>(C6*C5*$D$5)/($D$5^2)</f>
        <v>2</v>
      </c>
      <c r="D7" s="42">
        <f>(D6*D5*$D$5)/($D$5^2)</f>
        <v>1</v>
      </c>
    </row>
    <row r="8" spans="1:4" ht="14">
      <c r="A8" s="11" t="s">
        <v>27</v>
      </c>
      <c r="B8" s="18">
        <f>$B$2+B7*($D$4-$B$2)</f>
        <v>0.06</v>
      </c>
      <c r="C8" s="18">
        <f>$B$2+C7*($D$4-$B$2)</f>
        <v>0.18</v>
      </c>
      <c r="D8" s="18">
        <f>$B$2+D7*($D$4-$B$2)</f>
        <v>0.1</v>
      </c>
    </row>
    <row r="9" spans="1:4" ht="14">
      <c r="A9" s="11" t="s">
        <v>9</v>
      </c>
      <c r="B9" s="18">
        <f>B4-B8</f>
        <v>1.0000000000000009E-2</v>
      </c>
      <c r="C9" s="18">
        <f t="shared" ref="C9:D9" si="0">C4-C8</f>
        <v>2.0000000000000018E-2</v>
      </c>
      <c r="D9" s="18">
        <f t="shared" si="0"/>
        <v>0</v>
      </c>
    </row>
  </sheetData>
  <mergeCells count="1">
    <mergeCell ref="A1:D1"/>
  </mergeCells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A0959-7F40-F94F-B133-A4554E555C81}">
  <dimension ref="A1:C5"/>
  <sheetViews>
    <sheetView zoomScaleNormal="100" workbookViewId="0">
      <selection activeCell="B6" sqref="B6"/>
    </sheetView>
  </sheetViews>
  <sheetFormatPr baseColWidth="10" defaultRowHeight="13"/>
  <sheetData>
    <row r="1" spans="1:3">
      <c r="A1" s="8" t="s">
        <v>75</v>
      </c>
      <c r="B1">
        <v>1.27</v>
      </c>
    </row>
    <row r="2" spans="1:3">
      <c r="A2" s="8" t="s">
        <v>78</v>
      </c>
      <c r="B2" s="2">
        <v>1.4999999999999999E-2</v>
      </c>
    </row>
    <row r="3" spans="1:3">
      <c r="A3" s="8" t="s">
        <v>71</v>
      </c>
      <c r="B3" s="39">
        <v>0.67279999999999995</v>
      </c>
      <c r="C3" s="40"/>
    </row>
    <row r="5" spans="1:3">
      <c r="A5" s="8" t="s">
        <v>84</v>
      </c>
      <c r="B5" s="2">
        <f>(B3-B2)/B1</f>
        <v>0.51795275590551171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8"/>
  <sheetViews>
    <sheetView topLeftCell="A2" zoomScaleNormal="100" workbookViewId="0">
      <selection activeCell="D8" sqref="D8"/>
    </sheetView>
  </sheetViews>
  <sheetFormatPr baseColWidth="10" defaultColWidth="8.83203125" defaultRowHeight="13"/>
  <cols>
    <col min="1" max="1" width="35.1640625" style="8" customWidth="1"/>
    <col min="2" max="4" width="8.83203125" style="8" customWidth="1"/>
    <col min="5" max="5" width="15.83203125" style="8" customWidth="1"/>
    <col min="6" max="16384" width="8.83203125" style="8"/>
  </cols>
  <sheetData>
    <row r="1" spans="1:4" ht="16">
      <c r="A1" s="36" t="s">
        <v>32</v>
      </c>
      <c r="B1" s="36"/>
      <c r="C1" s="36"/>
      <c r="D1" s="36"/>
    </row>
    <row r="2" spans="1:4">
      <c r="A2" s="8" t="s">
        <v>25</v>
      </c>
      <c r="B2" s="20">
        <v>0.01</v>
      </c>
    </row>
    <row r="3" spans="1:4" ht="28">
      <c r="A3" s="9" t="s">
        <v>26</v>
      </c>
      <c r="B3" s="14" t="s">
        <v>33</v>
      </c>
      <c r="C3" s="14" t="s">
        <v>34</v>
      </c>
      <c r="D3" s="14" t="s">
        <v>7</v>
      </c>
    </row>
    <row r="4" spans="1:4" ht="14">
      <c r="A4" s="11" t="s">
        <v>23</v>
      </c>
      <c r="B4" s="19">
        <v>7.0000000000000007E-2</v>
      </c>
      <c r="C4" s="19">
        <v>0.15</v>
      </c>
      <c r="D4" s="19">
        <v>0.1</v>
      </c>
    </row>
    <row r="5" spans="1:4" ht="14">
      <c r="A5" s="11" t="s">
        <v>6</v>
      </c>
      <c r="B5" s="19">
        <v>0.25</v>
      </c>
      <c r="C5" s="19">
        <v>0.45</v>
      </c>
      <c r="D5" s="19">
        <v>0.18</v>
      </c>
    </row>
    <row r="6" spans="1:4" ht="16">
      <c r="A6" s="11" t="s">
        <v>31</v>
      </c>
      <c r="B6" s="11">
        <v>0.36</v>
      </c>
      <c r="C6" s="11">
        <v>0.5</v>
      </c>
      <c r="D6" s="11">
        <v>1</v>
      </c>
    </row>
    <row r="7" spans="1:4" ht="14">
      <c r="A7" s="11" t="s">
        <v>1</v>
      </c>
      <c r="B7" s="17">
        <f>(B6*B5*$D$5)/($D$5^2)</f>
        <v>0.5</v>
      </c>
      <c r="C7" s="17">
        <f t="shared" ref="C7:D7" si="0">(C6*C5*$D$5)/($D$5^2)</f>
        <v>1.25</v>
      </c>
      <c r="D7" s="17">
        <f t="shared" si="0"/>
        <v>1</v>
      </c>
    </row>
    <row r="8" spans="1:4" ht="14">
      <c r="A8" s="11" t="s">
        <v>14</v>
      </c>
      <c r="B8" s="17">
        <f>(B4-$B$2)/B7</f>
        <v>0.12000000000000001</v>
      </c>
      <c r="C8" s="17">
        <f t="shared" ref="C8:D8" si="1">(C4-$B$2)/C7</f>
        <v>0.11199999999999999</v>
      </c>
      <c r="D8" s="17">
        <f t="shared" si="1"/>
        <v>9.0000000000000011E-2</v>
      </c>
    </row>
  </sheetData>
  <mergeCells count="1">
    <mergeCell ref="A1:D1"/>
  </mergeCells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9"/>
  <sheetViews>
    <sheetView topLeftCell="A2" zoomScaleNormal="100" workbookViewId="0">
      <selection activeCell="G19" sqref="G19:H19"/>
    </sheetView>
  </sheetViews>
  <sheetFormatPr baseColWidth="10" defaultColWidth="8.83203125" defaultRowHeight="13"/>
  <cols>
    <col min="1" max="1" width="11.1640625" customWidth="1"/>
    <col min="6" max="6" width="16.83203125" bestFit="1" customWidth="1"/>
  </cols>
  <sheetData>
    <row r="1" spans="1:8" ht="16">
      <c r="A1" s="36" t="s">
        <v>35</v>
      </c>
      <c r="B1" s="36"/>
      <c r="C1" s="36"/>
      <c r="D1" s="36"/>
      <c r="E1" s="36"/>
      <c r="F1" s="36"/>
      <c r="G1" s="36"/>
      <c r="H1" s="36"/>
    </row>
    <row r="2" spans="1:8" s="7" customFormat="1" ht="30">
      <c r="A2" s="7" t="s">
        <v>36</v>
      </c>
      <c r="B2" s="7" t="s">
        <v>37</v>
      </c>
      <c r="C2" s="7" t="s">
        <v>24</v>
      </c>
      <c r="D2" s="7" t="s">
        <v>15</v>
      </c>
      <c r="E2" s="7" t="s">
        <v>38</v>
      </c>
      <c r="F2" s="7" t="s">
        <v>39</v>
      </c>
      <c r="G2" s="7" t="s">
        <v>40</v>
      </c>
      <c r="H2" s="7" t="s">
        <v>41</v>
      </c>
    </row>
    <row r="3" spans="1:8">
      <c r="A3" s="23">
        <v>38717</v>
      </c>
      <c r="B3" s="24">
        <v>10.175000000000001</v>
      </c>
      <c r="C3" s="2">
        <v>4.3799999999999999E-2</v>
      </c>
      <c r="D3" s="6">
        <v>1248.29</v>
      </c>
    </row>
    <row r="4" spans="1:8">
      <c r="A4" s="23">
        <v>39082</v>
      </c>
      <c r="B4" s="24">
        <v>11.552199999999999</v>
      </c>
      <c r="C4" s="2">
        <v>0.05</v>
      </c>
      <c r="D4" s="6">
        <v>1418.3</v>
      </c>
      <c r="E4" s="2">
        <f>D4/D3-1</f>
        <v>0.13619431382130753</v>
      </c>
      <c r="F4" s="2">
        <f>B4/B3-1</f>
        <v>0.13535135135135112</v>
      </c>
      <c r="G4" s="2">
        <f>E4-$C4</f>
        <v>8.619431382130753E-2</v>
      </c>
      <c r="H4" s="2">
        <f>F4-$C4</f>
        <v>8.5351351351351121E-2</v>
      </c>
    </row>
    <row r="5" spans="1:8">
      <c r="A5" s="23">
        <v>39447</v>
      </c>
      <c r="B5" s="24">
        <v>18.239899999999999</v>
      </c>
      <c r="C5" s="2">
        <v>3.3399999999999999E-2</v>
      </c>
      <c r="D5" s="6">
        <v>1468.36</v>
      </c>
      <c r="E5" s="2">
        <f t="shared" ref="E5:E12" si="0">D5/D4-1</f>
        <v>3.5295776633998521E-2</v>
      </c>
      <c r="F5" s="2">
        <f t="shared" ref="F5:F12" si="1">B5/B4-1</f>
        <v>0.5789113761880853</v>
      </c>
      <c r="G5" s="2">
        <f t="shared" ref="G5:G12" si="2">E5-$C5</f>
        <v>1.8957766339985221E-3</v>
      </c>
      <c r="H5" s="2">
        <f t="shared" ref="H5:H12" si="3">F5-$C5</f>
        <v>0.54551137618808532</v>
      </c>
    </row>
    <row r="6" spans="1:8">
      <c r="A6" s="23">
        <v>39813</v>
      </c>
      <c r="B6" s="24">
        <v>12.145099999999999</v>
      </c>
      <c r="C6" s="2">
        <v>3.7000000000000002E-3</v>
      </c>
      <c r="D6" s="6">
        <v>903.25</v>
      </c>
      <c r="E6" s="2">
        <f t="shared" si="0"/>
        <v>-0.38485793674575708</v>
      </c>
      <c r="F6" s="2">
        <f t="shared" si="1"/>
        <v>-0.33414656878601312</v>
      </c>
      <c r="G6" s="2">
        <f t="shared" si="2"/>
        <v>-0.38855793674575706</v>
      </c>
      <c r="H6" s="2">
        <f t="shared" si="3"/>
        <v>-0.3378465687860131</v>
      </c>
    </row>
    <row r="7" spans="1:8">
      <c r="A7" s="23">
        <v>40178</v>
      </c>
      <c r="B7" s="24">
        <v>25.880299999999998</v>
      </c>
      <c r="C7" s="2">
        <v>4.7000000000000002E-3</v>
      </c>
      <c r="D7" s="6">
        <v>1115.0999999999999</v>
      </c>
      <c r="E7" s="2">
        <f t="shared" si="0"/>
        <v>0.23454193191253792</v>
      </c>
      <c r="F7" s="2">
        <f t="shared" si="1"/>
        <v>1.1309252291047418</v>
      </c>
      <c r="G7" s="2">
        <f t="shared" si="2"/>
        <v>0.22984193191253791</v>
      </c>
      <c r="H7" s="2">
        <f t="shared" si="3"/>
        <v>1.1262252291047419</v>
      </c>
    </row>
    <row r="8" spans="1:8">
      <c r="A8" s="23">
        <v>40543</v>
      </c>
      <c r="B8" s="24">
        <v>45.723700000000001</v>
      </c>
      <c r="C8" s="2">
        <v>2.8999999999999998E-3</v>
      </c>
      <c r="D8" s="6">
        <v>1257.6400000000001</v>
      </c>
      <c r="E8" s="2">
        <f t="shared" si="0"/>
        <v>0.12782710070845682</v>
      </c>
      <c r="F8" s="2">
        <f t="shared" si="1"/>
        <v>0.7667376344169119</v>
      </c>
      <c r="G8" s="2">
        <f t="shared" si="2"/>
        <v>0.12492710070845682</v>
      </c>
      <c r="H8" s="2">
        <f t="shared" si="3"/>
        <v>0.76383763441691188</v>
      </c>
    </row>
    <row r="9" spans="1:8">
      <c r="A9" s="23">
        <v>40908</v>
      </c>
      <c r="B9" s="24">
        <v>61.511099999999999</v>
      </c>
      <c r="C9" s="2">
        <v>1.1999999999999999E-3</v>
      </c>
      <c r="D9" s="6">
        <v>1257.5999999999999</v>
      </c>
      <c r="E9" s="2">
        <f t="shared" si="0"/>
        <v>-3.1805604147616684E-5</v>
      </c>
      <c r="F9" s="2">
        <f t="shared" si="1"/>
        <v>0.34527826925642491</v>
      </c>
      <c r="G9" s="2">
        <f t="shared" si="2"/>
        <v>-1.2318056041476166E-3</v>
      </c>
      <c r="H9" s="2">
        <f t="shared" si="3"/>
        <v>0.34407826925642493</v>
      </c>
    </row>
    <row r="10" spans="1:8">
      <c r="A10" s="23">
        <v>41274</v>
      </c>
      <c r="B10" s="24">
        <v>61.922800000000002</v>
      </c>
      <c r="C10" s="2">
        <v>1.6000000000000001E-3</v>
      </c>
      <c r="D10" s="6">
        <v>1426.19</v>
      </c>
      <c r="E10" s="2">
        <f t="shared" si="0"/>
        <v>0.13405693384223927</v>
      </c>
      <c r="F10" s="2">
        <f t="shared" si="1"/>
        <v>6.6931009199966418E-3</v>
      </c>
      <c r="G10" s="2">
        <f t="shared" si="2"/>
        <v>0.13245693384223928</v>
      </c>
      <c r="H10" s="2">
        <f t="shared" si="3"/>
        <v>5.0931009199966419E-3</v>
      </c>
    </row>
    <row r="11" spans="1:8">
      <c r="A11" s="23">
        <v>41639</v>
      </c>
      <c r="B11" s="24">
        <v>69.795000000000002</v>
      </c>
      <c r="C11" s="2">
        <v>1.2999999999999999E-3</v>
      </c>
      <c r="D11" s="6">
        <v>1848.36</v>
      </c>
      <c r="E11" s="2">
        <f t="shared" si="0"/>
        <v>0.29601245275874866</v>
      </c>
      <c r="F11" s="2">
        <f t="shared" si="1"/>
        <v>0.12712926418056036</v>
      </c>
      <c r="G11" s="2">
        <f t="shared" si="2"/>
        <v>0.29471245275874863</v>
      </c>
      <c r="H11" s="2">
        <f t="shared" si="3"/>
        <v>0.12582926418056037</v>
      </c>
    </row>
    <row r="12" spans="1:8">
      <c r="A12" s="23">
        <v>42004</v>
      </c>
      <c r="B12" s="24">
        <v>116.6992</v>
      </c>
      <c r="C12" s="2">
        <v>1E-3</v>
      </c>
      <c r="D12" s="6">
        <v>2058.9</v>
      </c>
      <c r="E12" s="2">
        <f t="shared" si="0"/>
        <v>0.11390638187366098</v>
      </c>
      <c r="F12" s="2">
        <f t="shared" si="1"/>
        <v>0.6720280822408482</v>
      </c>
      <c r="G12" s="2">
        <f t="shared" si="2"/>
        <v>0.11290638187366098</v>
      </c>
      <c r="H12" s="2">
        <f t="shared" si="3"/>
        <v>0.6710280822408482</v>
      </c>
    </row>
    <row r="14" spans="1:8">
      <c r="F14" s="38" t="s">
        <v>85</v>
      </c>
      <c r="G14" s="2">
        <f>AVERAGE(G4:G12)</f>
        <v>6.5905016577893882E-2</v>
      </c>
      <c r="H14" s="2">
        <f>AVERAGE(H4:H12)</f>
        <v>0.36990085987476751</v>
      </c>
    </row>
    <row r="15" spans="1:8">
      <c r="F15" s="8" t="s">
        <v>72</v>
      </c>
      <c r="G15">
        <f>_xlfn.STDEV.S(E4:E12)</f>
        <v>0.19508868021164674</v>
      </c>
      <c r="H15">
        <f>_xlfn.STDEV.S(F4:F12)</f>
        <v>0.44897905700962754</v>
      </c>
    </row>
    <row r="16" spans="1:8">
      <c r="F16" s="8" t="s">
        <v>76</v>
      </c>
      <c r="G16">
        <f>INTERCEPT(G4:G12,$G$4:$G$12)</f>
        <v>0</v>
      </c>
      <c r="H16">
        <f>INTERCEPT(H4:H12,$G$4:$G$12)</f>
        <v>0.28611333261995425</v>
      </c>
    </row>
    <row r="17" spans="6:8">
      <c r="F17" s="8" t="s">
        <v>75</v>
      </c>
      <c r="G17">
        <f>SLOPE(G4:G12,$G$4:$G$12)</f>
        <v>1</v>
      </c>
      <c r="H17">
        <f>SLOPE(H4:H12,$G$4:$G$12)</f>
        <v>1.2713376250468555</v>
      </c>
    </row>
    <row r="18" spans="6:8">
      <c r="F18" s="8" t="s">
        <v>66</v>
      </c>
      <c r="G18">
        <f>G14/G15</f>
        <v>0.33782081311122308</v>
      </c>
      <c r="H18">
        <f>H14/H15</f>
        <v>0.82387107839383178</v>
      </c>
    </row>
    <row r="19" spans="6:8">
      <c r="F19" s="8" t="s">
        <v>84</v>
      </c>
      <c r="G19">
        <f>G14/G17</f>
        <v>6.5905016577893882E-2</v>
      </c>
      <c r="H19">
        <f>H14/H17</f>
        <v>0.29095407277129448</v>
      </c>
    </row>
  </sheetData>
  <mergeCells count="1">
    <mergeCell ref="A1:H1"/>
  </mergeCells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47"/>
  <sheetViews>
    <sheetView zoomScaleNormal="100" workbookViewId="0">
      <selection activeCell="B43" sqref="B43"/>
    </sheetView>
  </sheetViews>
  <sheetFormatPr baseColWidth="10" defaultColWidth="8.83203125" defaultRowHeight="13"/>
  <cols>
    <col min="1" max="1" width="12.5" customWidth="1"/>
    <col min="2" max="4" width="9.33203125" customWidth="1"/>
    <col min="5" max="5" width="14" customWidth="1"/>
    <col min="6" max="6" width="12.6640625" customWidth="1"/>
  </cols>
  <sheetData>
    <row r="1" spans="1:6" ht="16">
      <c r="A1" s="36" t="s">
        <v>45</v>
      </c>
      <c r="B1" s="36"/>
      <c r="C1" s="36"/>
      <c r="D1" s="36"/>
    </row>
    <row r="2" spans="1:6" s="13" customFormat="1" ht="28">
      <c r="A2" s="14" t="s">
        <v>90</v>
      </c>
      <c r="B2" s="14" t="s">
        <v>43</v>
      </c>
      <c r="C2" s="14" t="s">
        <v>44</v>
      </c>
      <c r="D2" s="14" t="s">
        <v>46</v>
      </c>
      <c r="E2" s="7" t="s">
        <v>47</v>
      </c>
      <c r="F2" s="7" t="s">
        <v>48</v>
      </c>
    </row>
    <row r="3" spans="1:6" s="8" customFormat="1">
      <c r="A3" s="11">
        <v>2002</v>
      </c>
      <c r="B3" s="15">
        <v>-0.23369999999999999</v>
      </c>
      <c r="C3" s="15">
        <v>4.8099999999999997E-2</v>
      </c>
      <c r="D3" s="15">
        <v>2.1700000000000001E-2</v>
      </c>
      <c r="E3" s="21">
        <f>B3-$D3</f>
        <v>-0.25540000000000002</v>
      </c>
      <c r="F3" s="21">
        <f>C3-$D3</f>
        <v>2.6399999999999996E-2</v>
      </c>
    </row>
    <row r="4" spans="1:6" s="8" customFormat="1">
      <c r="A4" s="11">
        <v>2003</v>
      </c>
      <c r="B4" s="15">
        <v>0.26379999999999998</v>
      </c>
      <c r="C4" s="15">
        <v>0.24909999999999999</v>
      </c>
      <c r="D4" s="15">
        <v>1.32E-2</v>
      </c>
      <c r="E4" s="21">
        <f t="shared" ref="E4:E15" si="0">B4-$D4</f>
        <v>0.25059999999999999</v>
      </c>
      <c r="F4" s="21">
        <f t="shared" ref="F4:F15" si="1">C4-$D4</f>
        <v>0.2359</v>
      </c>
    </row>
    <row r="5" spans="1:6" s="8" customFormat="1">
      <c r="A5" s="11">
        <v>2004</v>
      </c>
      <c r="B5" s="15">
        <v>8.9899999999999994E-2</v>
      </c>
      <c r="C5" s="15">
        <v>0.46400000000000002</v>
      </c>
      <c r="D5" s="15">
        <v>1.26E-2</v>
      </c>
      <c r="E5" s="21">
        <f t="shared" si="0"/>
        <v>7.7299999999999994E-2</v>
      </c>
      <c r="F5" s="21">
        <f t="shared" si="1"/>
        <v>0.45140000000000002</v>
      </c>
    </row>
    <row r="6" spans="1:6" s="8" customFormat="1">
      <c r="A6" s="11">
        <v>2005</v>
      </c>
      <c r="B6" s="15">
        <v>0.03</v>
      </c>
      <c r="C6" s="15">
        <v>5.33E-2</v>
      </c>
      <c r="D6" s="15">
        <v>2.75E-2</v>
      </c>
      <c r="E6" s="21">
        <f t="shared" si="0"/>
        <v>2.4999999999999988E-3</v>
      </c>
      <c r="F6" s="21">
        <f t="shared" si="1"/>
        <v>2.58E-2</v>
      </c>
    </row>
    <row r="7" spans="1:6" s="8" customFormat="1">
      <c r="A7" s="11">
        <v>2006</v>
      </c>
      <c r="B7" s="15">
        <v>0.13619999999999999</v>
      </c>
      <c r="C7" s="15">
        <v>5.3999999999999999E-2</v>
      </c>
      <c r="D7" s="15">
        <v>4.3799999999999999E-2</v>
      </c>
      <c r="E7" s="21">
        <f t="shared" si="0"/>
        <v>9.2399999999999982E-2</v>
      </c>
      <c r="F7" s="21">
        <f t="shared" si="1"/>
        <v>1.0200000000000001E-2</v>
      </c>
    </row>
    <row r="8" spans="1:6" s="8" customFormat="1">
      <c r="A8" s="11">
        <v>2007</v>
      </c>
      <c r="B8" s="15">
        <v>3.5299999999999998E-2</v>
      </c>
      <c r="C8" s="15">
        <v>-0.17610000000000001</v>
      </c>
      <c r="D8" s="15">
        <v>0.05</v>
      </c>
      <c r="E8" s="21">
        <f t="shared" si="0"/>
        <v>-1.4700000000000005E-2</v>
      </c>
      <c r="F8" s="21">
        <f t="shared" si="1"/>
        <v>-0.22610000000000002</v>
      </c>
    </row>
    <row r="9" spans="1:6" s="8" customFormat="1">
      <c r="A9" s="11">
        <v>2008</v>
      </c>
      <c r="B9" s="15">
        <v>-0.38490000000000002</v>
      </c>
      <c r="C9" s="15">
        <v>-0.2767</v>
      </c>
      <c r="D9" s="15">
        <v>3.3399999999999999E-2</v>
      </c>
      <c r="E9" s="21">
        <f t="shared" si="0"/>
        <v>-0.41830000000000001</v>
      </c>
      <c r="F9" s="21">
        <f t="shared" si="1"/>
        <v>-0.31009999999999999</v>
      </c>
    </row>
    <row r="10" spans="1:6" s="8" customFormat="1">
      <c r="A10" s="11">
        <v>2009</v>
      </c>
      <c r="B10" s="15">
        <v>0.23449999999999999</v>
      </c>
      <c r="C10" s="15">
        <v>0.31130000000000002</v>
      </c>
      <c r="D10" s="15">
        <v>3.7000000000000002E-3</v>
      </c>
      <c r="E10" s="21">
        <f t="shared" si="0"/>
        <v>0.23079999999999998</v>
      </c>
      <c r="F10" s="21">
        <f t="shared" si="1"/>
        <v>0.30760000000000004</v>
      </c>
    </row>
    <row r="11" spans="1:6" s="8" customFormat="1">
      <c r="A11" s="11">
        <v>2010</v>
      </c>
      <c r="B11" s="15">
        <v>0.1278</v>
      </c>
      <c r="C11" s="15">
        <v>0.1208</v>
      </c>
      <c r="D11" s="15">
        <v>4.7000000000000002E-3</v>
      </c>
      <c r="E11" s="21">
        <f t="shared" si="0"/>
        <v>0.1231</v>
      </c>
      <c r="F11" s="21">
        <f t="shared" si="1"/>
        <v>0.11610000000000001</v>
      </c>
    </row>
    <row r="12" spans="1:6" s="8" customFormat="1">
      <c r="A12" s="11">
        <v>2011</v>
      </c>
      <c r="B12" s="15">
        <v>0</v>
      </c>
      <c r="C12" s="15">
        <v>-9.6600000000000005E-2</v>
      </c>
      <c r="D12" s="15">
        <v>2.8999999999999998E-3</v>
      </c>
      <c r="E12" s="21">
        <f t="shared" si="0"/>
        <v>-2.8999999999999998E-3</v>
      </c>
      <c r="F12" s="21">
        <f t="shared" si="1"/>
        <v>-9.9500000000000005E-2</v>
      </c>
    </row>
    <row r="13" spans="1:6" s="8" customFormat="1">
      <c r="A13" s="11">
        <v>2012</v>
      </c>
      <c r="B13" s="15">
        <v>0.1341</v>
      </c>
      <c r="C13" s="15">
        <v>0.1053</v>
      </c>
      <c r="D13" s="15">
        <v>1.1999999999999999E-3</v>
      </c>
      <c r="E13" s="21">
        <f t="shared" si="0"/>
        <v>0.13289999999999999</v>
      </c>
      <c r="F13" s="21">
        <f t="shared" si="1"/>
        <v>0.1041</v>
      </c>
    </row>
    <row r="14" spans="1:6" s="8" customFormat="1">
      <c r="A14" s="11">
        <v>2013</v>
      </c>
      <c r="B14" s="15">
        <v>0.29599999999999999</v>
      </c>
      <c r="C14" s="15">
        <v>0.57579999999999998</v>
      </c>
      <c r="D14" s="15">
        <v>1.6000000000000001E-3</v>
      </c>
      <c r="E14" s="21">
        <f t="shared" si="0"/>
        <v>0.2944</v>
      </c>
      <c r="F14" s="21">
        <f t="shared" si="1"/>
        <v>0.57419999999999993</v>
      </c>
    </row>
    <row r="15" spans="1:6" s="8" customFormat="1">
      <c r="A15" s="11">
        <v>2014</v>
      </c>
      <c r="B15" s="15">
        <v>0.1139</v>
      </c>
      <c r="C15" s="15">
        <v>0.21390000000000001</v>
      </c>
      <c r="D15" s="15">
        <v>1.2999999999999999E-3</v>
      </c>
      <c r="E15" s="21">
        <f t="shared" si="0"/>
        <v>0.11260000000000001</v>
      </c>
      <c r="F15" s="21">
        <f>C15-$D15</f>
        <v>0.21260000000000001</v>
      </c>
    </row>
    <row r="17" spans="1:7" ht="14" thickBot="1">
      <c r="A17" s="4" t="s">
        <v>49</v>
      </c>
    </row>
    <row r="18" spans="1:7">
      <c r="A18" s="25"/>
      <c r="B18" s="26"/>
      <c r="C18" s="26"/>
      <c r="D18" s="26"/>
      <c r="E18" s="26"/>
      <c r="F18" s="26"/>
      <c r="G18" s="27"/>
    </row>
    <row r="19" spans="1:7">
      <c r="A19" s="28"/>
      <c r="G19" s="29"/>
    </row>
    <row r="20" spans="1:7">
      <c r="A20" s="28"/>
      <c r="B20" s="30"/>
      <c r="G20" s="29"/>
    </row>
    <row r="21" spans="1:7">
      <c r="A21" s="28"/>
      <c r="G21" s="29"/>
    </row>
    <row r="22" spans="1:7">
      <c r="A22" s="28"/>
      <c r="G22" s="29"/>
    </row>
    <row r="23" spans="1:7">
      <c r="A23" s="28"/>
      <c r="G23" s="29"/>
    </row>
    <row r="24" spans="1:7">
      <c r="A24" s="28"/>
      <c r="G24" s="29"/>
    </row>
    <row r="25" spans="1:7">
      <c r="A25" s="28"/>
      <c r="G25" s="29"/>
    </row>
    <row r="26" spans="1:7">
      <c r="A26" s="28"/>
      <c r="G26" s="29"/>
    </row>
    <row r="27" spans="1:7">
      <c r="A27" s="28"/>
      <c r="G27" s="29"/>
    </row>
    <row r="28" spans="1:7">
      <c r="A28" s="28"/>
      <c r="G28" s="29"/>
    </row>
    <row r="29" spans="1:7">
      <c r="A29" s="28"/>
      <c r="G29" s="29"/>
    </row>
    <row r="30" spans="1:7">
      <c r="A30" s="28"/>
      <c r="G30" s="29"/>
    </row>
    <row r="31" spans="1:7">
      <c r="A31" s="28"/>
      <c r="G31" s="29"/>
    </row>
    <row r="32" spans="1:7">
      <c r="A32" s="28"/>
      <c r="G32" s="29"/>
    </row>
    <row r="33" spans="1:7">
      <c r="A33" s="28"/>
      <c r="G33" s="29"/>
    </row>
    <row r="34" spans="1:7">
      <c r="A34" s="28"/>
      <c r="G34" s="29"/>
    </row>
    <row r="35" spans="1:7" ht="14" thickBot="1">
      <c r="A35" s="31"/>
      <c r="B35" s="32"/>
      <c r="C35" s="32"/>
      <c r="D35" s="32"/>
      <c r="E35" s="32"/>
      <c r="F35" s="32"/>
      <c r="G35" s="33"/>
    </row>
    <row r="37" spans="1:7">
      <c r="A37" s="4" t="s">
        <v>50</v>
      </c>
    </row>
    <row r="38" spans="1:7">
      <c r="A38" t="s">
        <v>51</v>
      </c>
      <c r="B38" s="6">
        <f>SLOPE(F3:F15,E3:E15)</f>
        <v>0.94057068303035463</v>
      </c>
    </row>
    <row r="39" spans="1:7">
      <c r="A39" t="s">
        <v>52</v>
      </c>
      <c r="B39" s="8" t="s">
        <v>87</v>
      </c>
    </row>
    <row r="41" spans="1:7">
      <c r="A41" s="4" t="s">
        <v>53</v>
      </c>
    </row>
    <row r="42" spans="1:7">
      <c r="A42" t="s">
        <v>13</v>
      </c>
      <c r="B42">
        <f>B46/B47</f>
        <v>0.45704210306453796</v>
      </c>
    </row>
    <row r="43" spans="1:7">
      <c r="A43" t="s">
        <v>9</v>
      </c>
      <c r="B43" s="37">
        <f>INTERCEPT(F3:F15,E3:E15)</f>
        <v>6.4650857838547626E-2</v>
      </c>
    </row>
    <row r="44" spans="1:7">
      <c r="A44" t="s">
        <v>14</v>
      </c>
      <c r="B44">
        <f>B46/B38</f>
        <v>0.11683577818761461</v>
      </c>
    </row>
    <row r="46" spans="1:7">
      <c r="A46" s="8" t="s">
        <v>71</v>
      </c>
      <c r="B46" s="2">
        <f>AVERAGE(F3:F15)</f>
        <v>0.10989230769230768</v>
      </c>
    </row>
    <row r="47" spans="1:7">
      <c r="A47" s="8" t="s">
        <v>72</v>
      </c>
      <c r="B47">
        <f>_xlfn.STDEV.S(C3:C15)</f>
        <v>0.2404424164764313</v>
      </c>
    </row>
  </sheetData>
  <mergeCells count="1">
    <mergeCell ref="A1:D1"/>
  </mergeCells>
  <phoneticPr fontId="14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50"/>
  <sheetViews>
    <sheetView zoomScaleNormal="100" workbookViewId="0">
      <selection activeCell="B46" sqref="B46"/>
    </sheetView>
  </sheetViews>
  <sheetFormatPr baseColWidth="10" defaultColWidth="8.83203125" defaultRowHeight="13"/>
  <cols>
    <col min="1" max="1" width="12.5" customWidth="1"/>
    <col min="2" max="4" width="9.33203125" customWidth="1"/>
    <col min="5" max="5" width="14" customWidth="1"/>
    <col min="6" max="6" width="12.6640625" customWidth="1"/>
  </cols>
  <sheetData>
    <row r="1" spans="1:6" ht="16">
      <c r="A1" s="36" t="s">
        <v>54</v>
      </c>
      <c r="B1" s="36"/>
      <c r="C1" s="36"/>
      <c r="D1" s="36"/>
    </row>
    <row r="2" spans="1:6" s="13" customFormat="1" ht="28">
      <c r="A2" s="14" t="s">
        <v>42</v>
      </c>
      <c r="B2" s="14" t="s">
        <v>43</v>
      </c>
      <c r="C2" s="14" t="s">
        <v>55</v>
      </c>
      <c r="D2" s="14" t="s">
        <v>46</v>
      </c>
      <c r="E2" s="7" t="s">
        <v>47</v>
      </c>
      <c r="F2" s="7" t="s">
        <v>56</v>
      </c>
    </row>
    <row r="3" spans="1:6" s="8" customFormat="1">
      <c r="A3" s="11">
        <v>2002</v>
      </c>
      <c r="B3" s="15">
        <v>-0.23369999999999999</v>
      </c>
      <c r="C3" s="15">
        <v>-0.35460000000000003</v>
      </c>
      <c r="D3" s="15">
        <v>2.1700000000000001E-2</v>
      </c>
      <c r="E3" s="21">
        <f>B3-$D3</f>
        <v>-0.25540000000000002</v>
      </c>
      <c r="F3" s="21">
        <f>C3-$D3</f>
        <v>-0.37630000000000002</v>
      </c>
    </row>
    <row r="4" spans="1:6" s="8" customFormat="1">
      <c r="A4" s="11">
        <v>2003</v>
      </c>
      <c r="B4" s="15">
        <v>0.26379999999999998</v>
      </c>
      <c r="C4" s="15">
        <v>0.20499999999999999</v>
      </c>
      <c r="D4" s="15">
        <v>1.32E-2</v>
      </c>
      <c r="E4" s="21">
        <f t="shared" ref="E4:E15" si="0">B4-$D4</f>
        <v>0.25059999999999999</v>
      </c>
      <c r="F4" s="21">
        <f t="shared" ref="F4:F15" si="1">C4-$D4</f>
        <v>0.1918</v>
      </c>
    </row>
    <row r="5" spans="1:6" s="8" customFormat="1">
      <c r="A5" s="11">
        <v>2004</v>
      </c>
      <c r="B5" s="15">
        <v>8.9899999999999994E-2</v>
      </c>
      <c r="C5" s="15">
        <v>7.1900000000000006E-2</v>
      </c>
      <c r="D5" s="15">
        <v>1.26E-2</v>
      </c>
      <c r="E5" s="21">
        <f t="shared" si="0"/>
        <v>7.7299999999999994E-2</v>
      </c>
      <c r="F5" s="21">
        <f t="shared" si="1"/>
        <v>5.9300000000000005E-2</v>
      </c>
    </row>
    <row r="6" spans="1:6" s="8" customFormat="1">
      <c r="A6" s="11">
        <v>2005</v>
      </c>
      <c r="B6" s="15">
        <v>0.03</v>
      </c>
      <c r="C6" s="15">
        <v>-0.1583</v>
      </c>
      <c r="D6" s="15">
        <v>2.75E-2</v>
      </c>
      <c r="E6" s="21">
        <f t="shared" si="0"/>
        <v>2.4999999999999988E-3</v>
      </c>
      <c r="F6" s="21">
        <f t="shared" si="1"/>
        <v>-0.18579999999999999</v>
      </c>
    </row>
    <row r="7" spans="1:6" s="8" customFormat="1">
      <c r="A7" s="11">
        <v>2006</v>
      </c>
      <c r="B7" s="15">
        <v>0.13619999999999999</v>
      </c>
      <c r="C7" s="15">
        <v>0.19769999999999999</v>
      </c>
      <c r="D7" s="15">
        <v>4.3799999999999999E-2</v>
      </c>
      <c r="E7" s="21">
        <f t="shared" si="0"/>
        <v>9.2399999999999982E-2</v>
      </c>
      <c r="F7" s="21">
        <f t="shared" si="1"/>
        <v>0.15389999999999998</v>
      </c>
    </row>
    <row r="8" spans="1:6" s="8" customFormat="1">
      <c r="A8" s="11">
        <v>2007</v>
      </c>
      <c r="B8" s="15">
        <v>3.5299999999999998E-2</v>
      </c>
      <c r="C8" s="15">
        <v>0.12839999999999999</v>
      </c>
      <c r="D8" s="15">
        <v>0.05</v>
      </c>
      <c r="E8" s="21">
        <f t="shared" si="0"/>
        <v>-1.4700000000000005E-2</v>
      </c>
      <c r="F8" s="21">
        <f t="shared" si="1"/>
        <v>7.8399999999999984E-2</v>
      </c>
    </row>
    <row r="9" spans="1:6" s="8" customFormat="1">
      <c r="A9" s="11">
        <v>2008</v>
      </c>
      <c r="B9" s="15">
        <v>-0.38490000000000002</v>
      </c>
      <c r="C9" s="15">
        <v>-0.20780000000000001</v>
      </c>
      <c r="D9" s="15">
        <v>3.3399999999999999E-2</v>
      </c>
      <c r="E9" s="21">
        <f t="shared" si="0"/>
        <v>-0.41830000000000001</v>
      </c>
      <c r="F9" s="21">
        <f t="shared" si="1"/>
        <v>-0.24120000000000003</v>
      </c>
    </row>
    <row r="10" spans="1:6" s="8" customFormat="1">
      <c r="A10" s="11">
        <v>2009</v>
      </c>
      <c r="B10" s="15">
        <v>0.23449999999999999</v>
      </c>
      <c r="C10" s="15">
        <v>0.58640000000000003</v>
      </c>
      <c r="D10" s="15">
        <v>3.7000000000000002E-3</v>
      </c>
      <c r="E10" s="21">
        <f t="shared" si="0"/>
        <v>0.23079999999999998</v>
      </c>
      <c r="F10" s="21">
        <f t="shared" si="1"/>
        <v>0.5827</v>
      </c>
    </row>
    <row r="11" spans="1:6" s="8" customFormat="1">
      <c r="A11" s="11">
        <v>2010</v>
      </c>
      <c r="B11" s="15">
        <v>0.1278</v>
      </c>
      <c r="C11" s="15">
        <v>0.1426</v>
      </c>
      <c r="D11" s="15">
        <v>4.7000000000000002E-3</v>
      </c>
      <c r="E11" s="21">
        <f t="shared" si="0"/>
        <v>0.1231</v>
      </c>
      <c r="F11" s="21">
        <f t="shared" si="1"/>
        <v>0.13789999999999999</v>
      </c>
    </row>
    <row r="12" spans="1:6" s="8" customFormat="1">
      <c r="A12" s="11">
        <v>2011</v>
      </c>
      <c r="B12" s="15">
        <v>0</v>
      </c>
      <c r="C12" s="15">
        <v>0.27410000000000001</v>
      </c>
      <c r="D12" s="15">
        <v>2.8999999999999998E-3</v>
      </c>
      <c r="E12" s="21">
        <f t="shared" si="0"/>
        <v>-2.8999999999999998E-3</v>
      </c>
      <c r="F12" s="21">
        <f t="shared" si="1"/>
        <v>0.2712</v>
      </c>
    </row>
    <row r="13" spans="1:6" s="8" customFormat="1">
      <c r="A13" s="11">
        <v>2012</v>
      </c>
      <c r="B13" s="15">
        <v>0.1341</v>
      </c>
      <c r="C13" s="15">
        <v>5.9200000000000003E-2</v>
      </c>
      <c r="D13" s="15">
        <v>1.1999999999999999E-3</v>
      </c>
      <c r="E13" s="21">
        <f t="shared" si="0"/>
        <v>0.13289999999999999</v>
      </c>
      <c r="F13" s="21">
        <f t="shared" si="1"/>
        <v>5.8000000000000003E-2</v>
      </c>
    </row>
    <row r="14" spans="1:6" s="8" customFormat="1">
      <c r="A14" s="11">
        <v>2013</v>
      </c>
      <c r="B14" s="15">
        <v>0.29599999999999999</v>
      </c>
      <c r="C14" s="15">
        <v>-1.8E-3</v>
      </c>
      <c r="D14" s="15">
        <v>1.6000000000000001E-3</v>
      </c>
      <c r="E14" s="21">
        <f t="shared" si="0"/>
        <v>0.2944</v>
      </c>
      <c r="F14" s="21">
        <f t="shared" si="1"/>
        <v>-3.4000000000000002E-3</v>
      </c>
    </row>
    <row r="15" spans="1:6" s="8" customFormat="1">
      <c r="A15" s="11">
        <v>2014</v>
      </c>
      <c r="B15" s="15">
        <v>0.1139</v>
      </c>
      <c r="C15" s="15">
        <v>-0.1239</v>
      </c>
      <c r="D15" s="15">
        <v>1.2999999999999999E-3</v>
      </c>
      <c r="E15" s="21">
        <f t="shared" si="0"/>
        <v>0.11260000000000001</v>
      </c>
      <c r="F15" s="21">
        <f t="shared" si="1"/>
        <v>-0.12520000000000001</v>
      </c>
    </row>
    <row r="17" spans="1:7" ht="14" thickBot="1">
      <c r="A17" s="4" t="s">
        <v>49</v>
      </c>
    </row>
    <row r="18" spans="1:7">
      <c r="A18" s="25"/>
      <c r="B18" s="26"/>
      <c r="C18" s="26"/>
      <c r="D18" s="26"/>
      <c r="E18" s="26"/>
      <c r="F18" s="26"/>
      <c r="G18" s="27"/>
    </row>
    <row r="19" spans="1:7">
      <c r="A19" s="28"/>
      <c r="G19" s="29"/>
    </row>
    <row r="20" spans="1:7">
      <c r="A20" s="28"/>
      <c r="B20" s="30"/>
      <c r="G20" s="29"/>
    </row>
    <row r="21" spans="1:7">
      <c r="A21" s="28"/>
      <c r="G21" s="29"/>
    </row>
    <row r="22" spans="1:7">
      <c r="A22" s="28"/>
      <c r="G22" s="29"/>
    </row>
    <row r="23" spans="1:7">
      <c r="A23" s="28"/>
      <c r="G23" s="29"/>
    </row>
    <row r="24" spans="1:7">
      <c r="A24" s="28"/>
      <c r="G24" s="29"/>
    </row>
    <row r="25" spans="1:7">
      <c r="A25" s="28"/>
      <c r="G25" s="29"/>
    </row>
    <row r="26" spans="1:7">
      <c r="A26" s="28"/>
      <c r="G26" s="29"/>
    </row>
    <row r="27" spans="1:7">
      <c r="A27" s="28"/>
      <c r="G27" s="29"/>
    </row>
    <row r="28" spans="1:7">
      <c r="A28" s="28"/>
      <c r="G28" s="29"/>
    </row>
    <row r="29" spans="1:7">
      <c r="A29" s="28"/>
      <c r="G29" s="29"/>
    </row>
    <row r="30" spans="1:7">
      <c r="A30" s="28"/>
      <c r="G30" s="29"/>
    </row>
    <row r="31" spans="1:7">
      <c r="A31" s="28"/>
      <c r="G31" s="29"/>
    </row>
    <row r="32" spans="1:7">
      <c r="A32" s="28"/>
      <c r="G32" s="29"/>
    </row>
    <row r="33" spans="1:7">
      <c r="A33" s="28"/>
      <c r="G33" s="29"/>
    </row>
    <row r="34" spans="1:7">
      <c r="A34" s="28"/>
      <c r="G34" s="29"/>
    </row>
    <row r="35" spans="1:7" ht="14" thickBot="1">
      <c r="A35" s="31"/>
      <c r="B35" s="32"/>
      <c r="C35" s="32"/>
      <c r="D35" s="32"/>
      <c r="E35" s="32"/>
      <c r="F35" s="32"/>
      <c r="G35" s="33"/>
    </row>
    <row r="37" spans="1:7">
      <c r="A37" s="4" t="s">
        <v>50</v>
      </c>
    </row>
    <row r="38" spans="1:7">
      <c r="A38" t="s">
        <v>57</v>
      </c>
      <c r="B38" s="24">
        <f>SLOPE(F3:F15,E3:E15)</f>
        <v>0.79605129133201136</v>
      </c>
    </row>
    <row r="39" spans="1:7">
      <c r="A39" t="s">
        <v>52</v>
      </c>
      <c r="B39" s="8" t="s">
        <v>88</v>
      </c>
    </row>
    <row r="41" spans="1:7">
      <c r="A41" s="4" t="s">
        <v>53</v>
      </c>
    </row>
    <row r="42" spans="1:7">
      <c r="A42" s="8" t="s">
        <v>58</v>
      </c>
      <c r="B42" s="8" t="s">
        <v>87</v>
      </c>
    </row>
    <row r="43" spans="1:7">
      <c r="A43" s="4"/>
    </row>
    <row r="44" spans="1:7">
      <c r="A44" s="4" t="s">
        <v>59</v>
      </c>
    </row>
    <row r="45" spans="1:7">
      <c r="A45" t="s">
        <v>13</v>
      </c>
      <c r="B45">
        <f>B49/B50</f>
        <v>0.19105215267823111</v>
      </c>
    </row>
    <row r="46" spans="1:7">
      <c r="A46" t="s">
        <v>9</v>
      </c>
      <c r="B46" s="37">
        <f>INTERCEPT(F3:F15,E3:E15)</f>
        <v>7.9637790407764072E-3</v>
      </c>
    </row>
    <row r="47" spans="1:7">
      <c r="A47" t="s">
        <v>14</v>
      </c>
      <c r="B47">
        <f>B49/B38</f>
        <v>5.8104102910819765E-2</v>
      </c>
    </row>
    <row r="49" spans="1:2">
      <c r="A49" s="8" t="s">
        <v>71</v>
      </c>
      <c r="B49" s="2">
        <f>AVERAGE(F3:F15)</f>
        <v>4.6253846153846152E-2</v>
      </c>
    </row>
    <row r="50" spans="1:2">
      <c r="A50" s="8" t="s">
        <v>72</v>
      </c>
      <c r="B50">
        <f>_xlfn.STDEV.S(C3:C15)</f>
        <v>0.24210062805074278</v>
      </c>
    </row>
  </sheetData>
  <mergeCells count="1">
    <mergeCell ref="A1:D1"/>
  </mergeCells>
  <phoneticPr fontId="14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98AF-E402-4A48-BBBE-576D72150B2E}">
  <dimension ref="A1:B41"/>
  <sheetViews>
    <sheetView zoomScaleNormal="100" workbookViewId="0">
      <selection activeCell="B22" sqref="B22"/>
    </sheetView>
  </sheetViews>
  <sheetFormatPr baseColWidth="10" defaultRowHeight="13"/>
  <cols>
    <col min="1" max="1" width="15.6640625" bestFit="1" customWidth="1"/>
    <col min="2" max="2" width="22" bestFit="1" customWidth="1"/>
  </cols>
  <sheetData>
    <row r="1" spans="1:2">
      <c r="A1" t="s">
        <v>42</v>
      </c>
      <c r="B1" s="38" t="s">
        <v>89</v>
      </c>
    </row>
    <row r="2" spans="1:2">
      <c r="A2">
        <f>'Question 11 template'!A3</f>
        <v>2002</v>
      </c>
      <c r="B2" s="43">
        <f>$B$16*'Question 11 template'!F3+'Question 12 template'!$B$17*'Question 10 template'!F3</f>
        <v>-9.4410000000000008E-2</v>
      </c>
    </row>
    <row r="3" spans="1:2">
      <c r="A3">
        <f>'Question 11 template'!A4</f>
        <v>2003</v>
      </c>
      <c r="B3" s="43">
        <f>$B$16*'Question 11 template'!F4+'Question 12 template'!$B$17*'Question 10 template'!F4</f>
        <v>0.22266999999999998</v>
      </c>
    </row>
    <row r="4" spans="1:2">
      <c r="A4">
        <f>'Question 11 template'!A5</f>
        <v>2004</v>
      </c>
      <c r="B4" s="43">
        <f>$B$16*'Question 11 template'!F5+'Question 12 template'!$B$17*'Question 10 template'!F5</f>
        <v>0.33377000000000001</v>
      </c>
    </row>
    <row r="5" spans="1:2">
      <c r="A5">
        <f>'Question 11 template'!A6</f>
        <v>2005</v>
      </c>
      <c r="B5" s="43">
        <f>$B$16*'Question 11 template'!F6+'Question 12 template'!$B$17*'Question 10 template'!F6</f>
        <v>-3.7679999999999998E-2</v>
      </c>
    </row>
    <row r="6" spans="1:2">
      <c r="A6">
        <f>'Question 11 template'!A7</f>
        <v>2006</v>
      </c>
      <c r="B6" s="43">
        <f>$B$16*'Question 11 template'!F7+'Question 12 template'!$B$17*'Question 10 template'!F7</f>
        <v>5.3309999999999996E-2</v>
      </c>
    </row>
    <row r="7" spans="1:2">
      <c r="A7">
        <f>'Question 11 template'!A8</f>
        <v>2007</v>
      </c>
      <c r="B7" s="43">
        <f>$B$16*'Question 11 template'!F8+'Question 12 template'!$B$17*'Question 10 template'!F8</f>
        <v>-0.13475000000000001</v>
      </c>
    </row>
    <row r="8" spans="1:2">
      <c r="A8">
        <f>'Question 11 template'!A9</f>
        <v>2008</v>
      </c>
      <c r="B8" s="43">
        <f>$B$16*'Question 11 template'!F9+'Question 12 template'!$B$17*'Question 10 template'!F9</f>
        <v>-0.28942999999999997</v>
      </c>
    </row>
    <row r="9" spans="1:2">
      <c r="A9">
        <f>'Question 11 template'!A10</f>
        <v>2009</v>
      </c>
      <c r="B9" s="43">
        <f>$B$16*'Question 11 template'!F10+'Question 12 template'!$B$17*'Question 10 template'!F10</f>
        <v>0.39012999999999998</v>
      </c>
    </row>
    <row r="10" spans="1:2">
      <c r="A10">
        <f>'Question 11 template'!A11</f>
        <v>2010</v>
      </c>
      <c r="B10" s="43">
        <f>$B$16*'Question 11 template'!F11+'Question 12 template'!$B$17*'Question 10 template'!F11</f>
        <v>0.12264</v>
      </c>
    </row>
    <row r="11" spans="1:2">
      <c r="A11">
        <f>'Question 11 template'!A12</f>
        <v>2011</v>
      </c>
      <c r="B11" s="43">
        <f>$B$16*'Question 11 template'!F12+'Question 12 template'!$B$17*'Question 10 template'!F12</f>
        <v>1.1709999999999998E-2</v>
      </c>
    </row>
    <row r="12" spans="1:2">
      <c r="A12">
        <f>'Question 11 template'!A13</f>
        <v>2012</v>
      </c>
      <c r="B12" s="43">
        <f>$B$16*'Question 11 template'!F13+'Question 12 template'!$B$17*'Question 10 template'!F13</f>
        <v>9.0269999999999989E-2</v>
      </c>
    </row>
    <row r="13" spans="1:2">
      <c r="A13">
        <f>'Question 11 template'!A14</f>
        <v>2013</v>
      </c>
      <c r="B13" s="43">
        <f>$B$16*'Question 11 template'!F14+'Question 12 template'!$B$17*'Question 10 template'!F14</f>
        <v>0.40091999999999989</v>
      </c>
    </row>
    <row r="14" spans="1:2">
      <c r="A14">
        <f>'Question 11 template'!A15</f>
        <v>2014</v>
      </c>
      <c r="B14" s="43">
        <f>$B$16*'Question 11 template'!F15+'Question 12 template'!$B$17*'Question 10 template'!F15</f>
        <v>0.11126</v>
      </c>
    </row>
    <row r="16" spans="1:2">
      <c r="A16" s="8" t="s">
        <v>91</v>
      </c>
      <c r="B16" s="3">
        <v>0.3</v>
      </c>
    </row>
    <row r="17" spans="1:2">
      <c r="A17" s="8" t="s">
        <v>92</v>
      </c>
      <c r="B17" s="3">
        <f>1-B16</f>
        <v>0.7</v>
      </c>
    </row>
    <row r="19" spans="1:2">
      <c r="A19" s="8" t="s">
        <v>68</v>
      </c>
    </row>
    <row r="20" spans="1:2">
      <c r="A20" s="8" t="s">
        <v>75</v>
      </c>
      <c r="B20">
        <f>SLOPE(B2:B14,'Question 11 template'!E3:E15)</f>
        <v>0.89721486552085161</v>
      </c>
    </row>
    <row r="21" spans="1:2">
      <c r="A21" s="8" t="s">
        <v>75</v>
      </c>
      <c r="B21" s="37">
        <f>_xlfn.COVARIANCE.S(B2:B14,'Question 11 template'!E3:E15)/_xlfn.VAR.S('Question 11 template'!E3:E15)</f>
        <v>0.8972148655208515</v>
      </c>
    </row>
    <row r="22" spans="1:2">
      <c r="A22" s="8" t="s">
        <v>75</v>
      </c>
      <c r="B22">
        <f>B16*'Question 11 template'!B38+'Question 12 template'!B17*'Question 10 template'!B38</f>
        <v>0.89721486552085161</v>
      </c>
    </row>
    <row r="24" spans="1:2">
      <c r="A24" s="8" t="s">
        <v>93</v>
      </c>
    </row>
    <row r="25" spans="1:2">
      <c r="A25" s="8" t="s">
        <v>76</v>
      </c>
      <c r="B25">
        <f>INTERCEPT(B2:B14,'Question 11 template'!E3:E15)</f>
        <v>4.7644734199216256E-2</v>
      </c>
    </row>
    <row r="26" spans="1:2">
      <c r="A26" s="8" t="s">
        <v>76</v>
      </c>
      <c r="B26" s="37">
        <f>B16*'Question 11 template'!B46+'Question 12 template'!B17*'Question 10 template'!B43</f>
        <v>4.7644734199216256E-2</v>
      </c>
    </row>
    <row r="28" spans="1:2">
      <c r="A28" s="8" t="s">
        <v>94</v>
      </c>
    </row>
    <row r="29" spans="1:2">
      <c r="A29" s="8" t="s">
        <v>95</v>
      </c>
      <c r="B29">
        <f>RSQ(B2:B14,'Question 11 template'!E3:E15)</f>
        <v>0.73586963692432472</v>
      </c>
    </row>
    <row r="30" spans="1:2">
      <c r="A30" s="8" t="s">
        <v>96</v>
      </c>
      <c r="B30">
        <f>RSQ('Question 11 template'!F3:F15,'Question 11 template'!E3:E15)</f>
        <v>0.41194643793180685</v>
      </c>
    </row>
    <row r="31" spans="1:2">
      <c r="A31" s="8" t="s">
        <v>97</v>
      </c>
      <c r="B31">
        <f>RSQ('Question 10 template'!F3:F15,'Question 10 template'!E3:E15)</f>
        <v>0.55443161474207658</v>
      </c>
    </row>
    <row r="32" spans="1:2">
      <c r="A32" s="8" t="s">
        <v>98</v>
      </c>
      <c r="B32">
        <f>AVERAGE(B30:B31)</f>
        <v>0.48318902633694172</v>
      </c>
    </row>
    <row r="33" spans="1:2">
      <c r="A33" s="8" t="s">
        <v>99</v>
      </c>
    </row>
    <row r="35" spans="1:2">
      <c r="A35" s="8" t="s">
        <v>100</v>
      </c>
    </row>
    <row r="36" spans="1:2">
      <c r="A36" s="8" t="s">
        <v>66</v>
      </c>
      <c r="B36">
        <f>B40/B41</f>
        <v>0.4372248893472398</v>
      </c>
    </row>
    <row r="37" spans="1:2">
      <c r="A37" s="8" t="s">
        <v>86</v>
      </c>
      <c r="B37">
        <f>INTERCEPT(B2:B14,'Question 11 template'!E3:E15)</f>
        <v>4.7644734199216256E-2</v>
      </c>
    </row>
    <row r="38" spans="1:2">
      <c r="A38" s="8" t="s">
        <v>84</v>
      </c>
      <c r="B38">
        <f>B40/B20</f>
        <v>0.1012029255423198</v>
      </c>
    </row>
    <row r="40" spans="1:2">
      <c r="A40" s="8" t="s">
        <v>71</v>
      </c>
      <c r="B40" s="43">
        <f>AVERAGE(B2:B14)</f>
        <v>9.0800769230769213E-2</v>
      </c>
    </row>
    <row r="41" spans="1:2">
      <c r="A41" s="8" t="s">
        <v>72</v>
      </c>
      <c r="B41">
        <f>_xlfn.STDEV.S(B2:B14)</f>
        <v>0.20767520661125061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FD62-B132-F648-9979-9DB29B6CEB71}">
  <dimension ref="A1:F45"/>
  <sheetViews>
    <sheetView zoomScaleNormal="100" workbookViewId="0">
      <selection activeCell="A40" sqref="A40:B40"/>
    </sheetView>
  </sheetViews>
  <sheetFormatPr baseColWidth="10" defaultRowHeight="13"/>
  <cols>
    <col min="1" max="1" width="16.83203125" bestFit="1" customWidth="1"/>
    <col min="2" max="2" width="14.5" bestFit="1" customWidth="1"/>
    <col min="3" max="3" width="9.33203125" bestFit="1" customWidth="1"/>
    <col min="5" max="5" width="13.1640625" bestFit="1" customWidth="1"/>
    <col min="6" max="6" width="16.33203125" bestFit="1" customWidth="1"/>
  </cols>
  <sheetData>
    <row r="1" spans="1:6">
      <c r="A1" s="45" t="s">
        <v>101</v>
      </c>
      <c r="B1" s="45"/>
      <c r="C1" s="45"/>
      <c r="D1" s="45"/>
    </row>
    <row r="2" spans="1:6" ht="17">
      <c r="A2" s="44" t="s">
        <v>42</v>
      </c>
      <c r="B2" s="8" t="s">
        <v>102</v>
      </c>
      <c r="C2" s="8" t="s">
        <v>103</v>
      </c>
      <c r="D2" s="8" t="s">
        <v>104</v>
      </c>
      <c r="E2" s="8" t="s">
        <v>105</v>
      </c>
      <c r="F2" s="8" t="s">
        <v>106</v>
      </c>
    </row>
    <row r="3" spans="1:6" ht="17">
      <c r="A3" s="44">
        <v>2002</v>
      </c>
      <c r="B3" s="2">
        <v>-0.23369999999999999</v>
      </c>
      <c r="C3" s="2">
        <v>6.4199999999999993E-2</v>
      </c>
      <c r="D3" s="2">
        <v>2.1700000000000001E-2</v>
      </c>
      <c r="E3" s="2">
        <f>B3-$D3</f>
        <v>-0.25540000000000002</v>
      </c>
      <c r="F3" s="2">
        <f>C3-$D3</f>
        <v>4.2499999999999996E-2</v>
      </c>
    </row>
    <row r="4" spans="1:6" ht="17">
      <c r="A4" s="44">
        <v>2003</v>
      </c>
      <c r="B4" s="2">
        <v>0.26379999999999998</v>
      </c>
      <c r="C4" s="2">
        <v>0.40620000000000001</v>
      </c>
      <c r="D4" s="2">
        <v>1.32E-2</v>
      </c>
      <c r="E4" s="2">
        <f t="shared" ref="E4:E15" si="0">B4-$D4</f>
        <v>0.25059999999999999</v>
      </c>
      <c r="F4" s="2">
        <f t="shared" ref="F4:F15" si="1">C4-$D4</f>
        <v>0.39300000000000002</v>
      </c>
    </row>
    <row r="5" spans="1:6" ht="17">
      <c r="A5" s="44">
        <v>2004</v>
      </c>
      <c r="B5" s="2">
        <v>8.9899999999999994E-2</v>
      </c>
      <c r="C5" s="2">
        <v>-1.7399999999999999E-2</v>
      </c>
      <c r="D5" s="2">
        <v>1.26E-2</v>
      </c>
      <c r="E5" s="2">
        <f t="shared" si="0"/>
        <v>7.7299999999999994E-2</v>
      </c>
      <c r="F5" s="2">
        <f t="shared" si="1"/>
        <v>-0.03</v>
      </c>
    </row>
    <row r="6" spans="1:6" ht="17">
      <c r="A6" s="44">
        <v>2005</v>
      </c>
      <c r="B6" s="2">
        <v>0.03</v>
      </c>
      <c r="C6" s="2">
        <v>-3.5000000000000003E-2</v>
      </c>
      <c r="D6" s="2">
        <v>2.75E-2</v>
      </c>
      <c r="E6" s="2">
        <f t="shared" si="0"/>
        <v>2.4999999999999988E-3</v>
      </c>
      <c r="F6" s="2">
        <f t="shared" si="1"/>
        <v>-6.25E-2</v>
      </c>
    </row>
    <row r="7" spans="1:6" ht="17">
      <c r="A7" s="44">
        <v>2006</v>
      </c>
      <c r="B7" s="2">
        <v>0.13619999999999999</v>
      </c>
      <c r="C7" s="2">
        <v>2.9700000000000001E-2</v>
      </c>
      <c r="D7" s="2">
        <v>4.3799999999999999E-2</v>
      </c>
      <c r="E7" s="2">
        <f t="shared" si="0"/>
        <v>9.2399999999999982E-2</v>
      </c>
      <c r="F7" s="2">
        <f t="shared" si="1"/>
        <v>-1.4099999999999998E-2</v>
      </c>
    </row>
    <row r="8" spans="1:6" ht="17">
      <c r="A8" s="44">
        <v>2007</v>
      </c>
      <c r="B8" s="2">
        <v>3.5299999999999998E-2</v>
      </c>
      <c r="C8" s="2">
        <v>0.1074</v>
      </c>
      <c r="D8" s="2">
        <v>0.05</v>
      </c>
      <c r="E8" s="2">
        <f t="shared" si="0"/>
        <v>-1.4700000000000005E-2</v>
      </c>
      <c r="F8" s="2">
        <f t="shared" si="1"/>
        <v>5.7399999999999993E-2</v>
      </c>
    </row>
    <row r="9" spans="1:6" ht="17">
      <c r="A9" s="44">
        <v>2008</v>
      </c>
      <c r="B9" s="2">
        <v>-0.38490000000000002</v>
      </c>
      <c r="C9" s="2">
        <v>-0.29830000000000001</v>
      </c>
      <c r="D9" s="2">
        <v>3.3399999999999999E-2</v>
      </c>
      <c r="E9" s="2">
        <f t="shared" si="0"/>
        <v>-0.41830000000000001</v>
      </c>
      <c r="F9" s="2">
        <f t="shared" si="1"/>
        <v>-0.33169999999999999</v>
      </c>
    </row>
    <row r="10" spans="1:6" ht="17">
      <c r="A10" s="44">
        <v>2009</v>
      </c>
      <c r="B10" s="2">
        <v>0.23449999999999999</v>
      </c>
      <c r="C10" s="2">
        <v>0.48530000000000001</v>
      </c>
      <c r="D10" s="2">
        <v>3.7000000000000002E-3</v>
      </c>
      <c r="E10" s="2">
        <f t="shared" si="0"/>
        <v>0.23079999999999998</v>
      </c>
      <c r="F10" s="2">
        <f t="shared" si="1"/>
        <v>0.48160000000000003</v>
      </c>
    </row>
    <row r="11" spans="1:6" ht="17">
      <c r="A11" s="44">
        <v>2010</v>
      </c>
      <c r="B11" s="2">
        <v>0.1278</v>
      </c>
      <c r="C11" s="2">
        <v>7.0699999999999999E-2</v>
      </c>
      <c r="D11" s="2">
        <v>4.7000000000000002E-3</v>
      </c>
      <c r="E11" s="2">
        <f t="shared" si="0"/>
        <v>0.1231</v>
      </c>
      <c r="F11" s="2">
        <f t="shared" si="1"/>
        <v>6.6000000000000003E-2</v>
      </c>
    </row>
    <row r="12" spans="1:6" ht="17">
      <c r="A12" s="44">
        <v>2011</v>
      </c>
      <c r="B12" s="2">
        <v>0</v>
      </c>
      <c r="C12" s="2">
        <v>-2.8400000000000002E-2</v>
      </c>
      <c r="D12" s="2">
        <v>2.8999999999999998E-3</v>
      </c>
      <c r="E12" s="2">
        <f t="shared" si="0"/>
        <v>-2.8999999999999998E-3</v>
      </c>
      <c r="F12" s="2">
        <f t="shared" si="1"/>
        <v>-3.1300000000000001E-2</v>
      </c>
    </row>
    <row r="13" spans="1:6" ht="17">
      <c r="A13" s="44">
        <v>2012</v>
      </c>
      <c r="B13" s="2">
        <v>0.1341</v>
      </c>
      <c r="C13" s="2">
        <v>0.16669999999999999</v>
      </c>
      <c r="D13" s="2">
        <v>1.1999999999999999E-3</v>
      </c>
      <c r="E13" s="2">
        <f t="shared" si="0"/>
        <v>0.13289999999999999</v>
      </c>
      <c r="F13" s="2">
        <f t="shared" si="1"/>
        <v>0.16549999999999998</v>
      </c>
    </row>
    <row r="14" spans="1:6" ht="17">
      <c r="A14" s="44">
        <v>2013</v>
      </c>
      <c r="B14" s="2">
        <v>0.29599999999999999</v>
      </c>
      <c r="C14" s="2">
        <v>0.54449999999999998</v>
      </c>
      <c r="D14" s="2">
        <v>1.6000000000000001E-3</v>
      </c>
      <c r="E14" s="2">
        <f t="shared" si="0"/>
        <v>0.2944</v>
      </c>
      <c r="F14" s="2">
        <f t="shared" si="1"/>
        <v>0.54289999999999994</v>
      </c>
    </row>
    <row r="15" spans="1:6" ht="17">
      <c r="A15" s="44">
        <v>2014</v>
      </c>
      <c r="B15" s="2">
        <v>0.1139</v>
      </c>
      <c r="C15" s="2">
        <v>0.2</v>
      </c>
      <c r="D15" s="2">
        <v>1.2999999999999999E-3</v>
      </c>
      <c r="E15" s="2">
        <f t="shared" si="0"/>
        <v>0.11260000000000001</v>
      </c>
      <c r="F15" s="2">
        <f t="shared" si="1"/>
        <v>0.19870000000000002</v>
      </c>
    </row>
    <row r="17" spans="1:1">
      <c r="A17" s="8" t="s">
        <v>65</v>
      </c>
    </row>
    <row r="36" spans="1:2">
      <c r="A36" s="8" t="s">
        <v>68</v>
      </c>
    </row>
    <row r="37" spans="1:2">
      <c r="A37" s="8" t="s">
        <v>71</v>
      </c>
      <c r="B37" s="2">
        <f>AVERAGE(F3:F15)</f>
        <v>0.1136923076923077</v>
      </c>
    </row>
    <row r="38" spans="1:2">
      <c r="A38" s="8" t="s">
        <v>72</v>
      </c>
      <c r="B38">
        <f>_xlfn.STDEV.S(C3:C15)</f>
        <v>0.23389446475071968</v>
      </c>
    </row>
    <row r="39" spans="1:2">
      <c r="A39" s="8" t="s">
        <v>66</v>
      </c>
      <c r="B39">
        <f>B37/B38</f>
        <v>0.48608378917166267</v>
      </c>
    </row>
    <row r="40" spans="1:2">
      <c r="A40" s="8" t="s">
        <v>86</v>
      </c>
      <c r="B40">
        <f>INTERCEPT(F3:F15,E3:E15)</f>
        <v>6.5477558483641896E-2</v>
      </c>
    </row>
    <row r="41" spans="1:2">
      <c r="A41" s="8" t="s">
        <v>75</v>
      </c>
      <c r="B41">
        <f>SLOPE(F3:F15,E3:E15)</f>
        <v>1.0023856384338008</v>
      </c>
    </row>
    <row r="42" spans="1:2">
      <c r="A42" s="8" t="s">
        <v>84</v>
      </c>
      <c r="B42">
        <f>B37/B41</f>
        <v>0.11342172446719082</v>
      </c>
    </row>
    <row r="44" spans="1:2">
      <c r="A44" s="8" t="s">
        <v>93</v>
      </c>
    </row>
    <row r="45" spans="1:2">
      <c r="A45" s="8" t="s">
        <v>107</v>
      </c>
    </row>
  </sheetData>
  <mergeCells count="1">
    <mergeCell ref="A1:D1"/>
  </mergeCells>
  <phoneticPr fontId="14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C725F-1578-7743-86EE-CCF4F29FDE20}">
  <dimension ref="A1:B25"/>
  <sheetViews>
    <sheetView tabSelected="1" zoomScaleNormal="100" workbookViewId="0">
      <selection activeCell="A25" sqref="A25"/>
    </sheetView>
  </sheetViews>
  <sheetFormatPr baseColWidth="10" defaultRowHeight="13"/>
  <cols>
    <col min="1" max="1" width="17.83203125" bestFit="1" customWidth="1"/>
    <col min="2" max="2" width="10.5" bestFit="1" customWidth="1"/>
  </cols>
  <sheetData>
    <row r="1" spans="1:2">
      <c r="A1" s="8" t="s">
        <v>108</v>
      </c>
      <c r="B1" s="20">
        <v>0.3</v>
      </c>
    </row>
    <row r="2" spans="1:2">
      <c r="A2" s="8" t="s">
        <v>109</v>
      </c>
      <c r="B2" s="3">
        <v>0.5</v>
      </c>
    </row>
    <row r="3" spans="1:2">
      <c r="A3" s="8" t="s">
        <v>110</v>
      </c>
      <c r="B3" s="3">
        <v>0.2</v>
      </c>
    </row>
    <row r="5" spans="1:2">
      <c r="A5" s="8" t="s">
        <v>111</v>
      </c>
      <c r="B5" s="8" t="s">
        <v>71</v>
      </c>
    </row>
    <row r="6" spans="1:2">
      <c r="A6">
        <f>'Question 13 template'!A3</f>
        <v>2002</v>
      </c>
      <c r="B6" s="43">
        <f>$B$1*'Question 13 template'!F3+'Question 14 template'!$B$2*'Question 10 template'!F3+'Question 14 template'!$B$3*'Question 11 template'!F3</f>
        <v>-4.9310000000000007E-2</v>
      </c>
    </row>
    <row r="7" spans="1:2">
      <c r="A7">
        <f>'Question 13 template'!A4</f>
        <v>2003</v>
      </c>
      <c r="B7" s="43">
        <f>$B$1*'Question 13 template'!F4+'Question 14 template'!$B$2*'Question 10 template'!F4+'Question 14 template'!$B$3*'Question 11 template'!F4</f>
        <v>0.27421000000000001</v>
      </c>
    </row>
    <row r="8" spans="1:2">
      <c r="A8">
        <f>'Question 13 template'!A5</f>
        <v>2004</v>
      </c>
      <c r="B8" s="43">
        <f>$B$1*'Question 13 template'!F5+'Question 14 template'!$B$2*'Question 10 template'!F5+'Question 14 template'!$B$3*'Question 11 template'!F5</f>
        <v>0.22856000000000001</v>
      </c>
    </row>
    <row r="9" spans="1:2">
      <c r="A9">
        <f>'Question 13 template'!A6</f>
        <v>2005</v>
      </c>
      <c r="B9" s="43">
        <f>$B$1*'Question 13 template'!F6+'Question 14 template'!$B$2*'Question 10 template'!F6+'Question 14 template'!$B$3*'Question 11 template'!F6</f>
        <v>-4.301E-2</v>
      </c>
    </row>
    <row r="10" spans="1:2">
      <c r="A10">
        <f>'Question 13 template'!A7</f>
        <v>2006</v>
      </c>
      <c r="B10" s="43">
        <f>$B$1*'Question 13 template'!F7+'Question 14 template'!$B$2*'Question 10 template'!F7+'Question 14 template'!$B$3*'Question 11 template'!F7</f>
        <v>3.1649999999999998E-2</v>
      </c>
    </row>
    <row r="11" spans="1:2">
      <c r="A11">
        <f>'Question 13 template'!A8</f>
        <v>2007</v>
      </c>
      <c r="B11" s="43">
        <f>$B$1*'Question 13 template'!F8+'Question 14 template'!$B$2*'Question 10 template'!F8+'Question 14 template'!$B$3*'Question 11 template'!F8</f>
        <v>-8.0150000000000013E-2</v>
      </c>
    </row>
    <row r="12" spans="1:2">
      <c r="A12">
        <f>'Question 13 template'!A9</f>
        <v>2008</v>
      </c>
      <c r="B12" s="43">
        <f>$B$1*'Question 13 template'!F9+'Question 14 template'!$B$2*'Question 10 template'!F9+'Question 14 template'!$B$3*'Question 11 template'!F9</f>
        <v>-0.30280000000000001</v>
      </c>
    </row>
    <row r="13" spans="1:2">
      <c r="A13">
        <f>'Question 13 template'!A10</f>
        <v>2009</v>
      </c>
      <c r="B13" s="43">
        <f>$B$1*'Question 13 template'!F10+'Question 14 template'!$B$2*'Question 10 template'!F10+'Question 14 template'!$B$3*'Question 11 template'!F10</f>
        <v>0.41481999999999997</v>
      </c>
    </row>
    <row r="14" spans="1:2">
      <c r="A14">
        <f>'Question 13 template'!A11</f>
        <v>2010</v>
      </c>
      <c r="B14" s="43">
        <f>$B$1*'Question 13 template'!F11+'Question 14 template'!$B$2*'Question 10 template'!F11+'Question 14 template'!$B$3*'Question 11 template'!F11</f>
        <v>0.10543</v>
      </c>
    </row>
    <row r="15" spans="1:2">
      <c r="A15">
        <f>'Question 13 template'!A12</f>
        <v>2011</v>
      </c>
      <c r="B15" s="43">
        <f>$B$1*'Question 13 template'!F12+'Question 14 template'!$B$2*'Question 10 template'!F12+'Question 14 template'!$B$3*'Question 11 template'!F12</f>
        <v>-4.9000000000000016E-3</v>
      </c>
    </row>
    <row r="16" spans="1:2">
      <c r="A16">
        <f>'Question 13 template'!A13</f>
        <v>2012</v>
      </c>
      <c r="B16" s="43">
        <f>$B$1*'Question 13 template'!F13+'Question 14 template'!$B$2*'Question 10 template'!F13+'Question 14 template'!$B$3*'Question 11 template'!F13</f>
        <v>0.11329999999999998</v>
      </c>
    </row>
    <row r="17" spans="1:2">
      <c r="A17">
        <f>'Question 13 template'!A14</f>
        <v>2013</v>
      </c>
      <c r="B17" s="43">
        <f>$B$1*'Question 13 template'!F14+'Question 14 template'!$B$2*'Question 10 template'!F14+'Question 14 template'!$B$3*'Question 11 template'!F14</f>
        <v>0.44928999999999997</v>
      </c>
    </row>
    <row r="18" spans="1:2">
      <c r="A18">
        <f>'Question 13 template'!A15</f>
        <v>2014</v>
      </c>
      <c r="B18" s="43">
        <f>$B$1*'Question 13 template'!F15+'Question 14 template'!$B$2*'Question 10 template'!F15+'Question 14 template'!$B$3*'Question 11 template'!F15</f>
        <v>0.14087</v>
      </c>
    </row>
    <row r="20" spans="1:2">
      <c r="A20" s="8" t="s">
        <v>76</v>
      </c>
      <c r="B20">
        <f>INTERCEPT(B6:B18,'Question 11 template'!E3:E15)</f>
        <v>5.356145227252164E-2</v>
      </c>
    </row>
    <row r="21" spans="1:2">
      <c r="A21" s="8" t="s">
        <v>75</v>
      </c>
      <c r="B21">
        <f>SLOPE(B6:B18,'Question 11 template'!E3:E15)</f>
        <v>0.93021129131171987</v>
      </c>
    </row>
    <row r="22" spans="1:2">
      <c r="A22" s="8" t="s">
        <v>112</v>
      </c>
      <c r="B22">
        <f>B1*'Question 13 template'!B40+'Question 14 template'!B2*'Question 10 template'!B43+'Question 14 template'!B3*'Question 11 template'!B46</f>
        <v>5.356145227252166E-2</v>
      </c>
    </row>
    <row r="23" spans="1:2">
      <c r="A23" s="8" t="s">
        <v>113</v>
      </c>
      <c r="B23">
        <f>B1*'Question 13 template'!B41+'Question 14 template'!B2*'Question 10 template'!B38+'Question 14 template'!B3*'Question 11 template'!B38</f>
        <v>0.93021129131171976</v>
      </c>
    </row>
    <row r="25" spans="1:2">
      <c r="A25" s="8" t="s">
        <v>114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Example solution</vt:lpstr>
      <vt:lpstr>Question 1 template</vt:lpstr>
      <vt:lpstr>Question 2 template</vt:lpstr>
      <vt:lpstr>Question 3 template</vt:lpstr>
      <vt:lpstr>Question 4 template</vt:lpstr>
      <vt:lpstr>Question 5 template</vt:lpstr>
      <vt:lpstr>Question 6 template</vt:lpstr>
      <vt:lpstr>Question 7 template</vt:lpstr>
      <vt:lpstr>Question 8 template</vt:lpstr>
      <vt:lpstr>Question 9 template</vt:lpstr>
      <vt:lpstr>Question 10 template</vt:lpstr>
      <vt:lpstr>Question 11 template</vt:lpstr>
      <vt:lpstr>Question 12 template</vt:lpstr>
      <vt:lpstr>Question 13 template</vt:lpstr>
      <vt:lpstr>Question 14 template</vt:lpstr>
      <vt:lpstr>Ariel</vt:lpstr>
    </vt:vector>
  </TitlesOfParts>
  <Company>Tel-Aviv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cp:lastPrinted>2015-05-02T06:55:48Z</cp:lastPrinted>
  <dcterms:created xsi:type="dcterms:W3CDTF">2003-08-08T07:34:04Z</dcterms:created>
  <dcterms:modified xsi:type="dcterms:W3CDTF">2023-11-16T16:44:28Z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Ch12_IM_exercises.xlsm</vt:lpwstr>
  </property>
</Properties>
</file>