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85" yWindow="90" windowWidth="15480" windowHeight="8775" firstSheet="22" activeTab="27"/>
  </bookViews>
  <sheets>
    <sheet name="Page 61" sheetId="70" r:id="rId1"/>
    <sheet name="Page 62" sheetId="71" r:id="rId2"/>
    <sheet name="Page 63" sheetId="46" r:id="rId3"/>
    <sheet name="Page 64" sheetId="73" r:id="rId4"/>
    <sheet name="Page 67" sheetId="47" r:id="rId5"/>
    <sheet name="Page 70" sheetId="74" r:id="rId6"/>
    <sheet name="Page 70 bottom" sheetId="48" r:id="rId7"/>
    <sheet name="Page 72" sheetId="50" r:id="rId8"/>
    <sheet name="Page 75" sheetId="51" r:id="rId9"/>
    <sheet name="Page 76" sheetId="52" r:id="rId10"/>
    <sheet name="Page 77" sheetId="75" r:id="rId11"/>
    <sheet name="Page 79" sheetId="53" r:id="rId12"/>
    <sheet name="Page 79 bottom" sheetId="54" r:id="rId13"/>
    <sheet name="Page 80" sheetId="55" r:id="rId14"/>
    <sheet name="Page 81" sheetId="56" r:id="rId15"/>
    <sheet name="Page 82" sheetId="76" r:id="rId16"/>
    <sheet name="Page 83+84" sheetId="57" r:id="rId17"/>
    <sheet name="Page 84 bottom" sheetId="58" r:id="rId18"/>
    <sheet name="Page 85" sheetId="72" r:id="rId19"/>
    <sheet name="Page 87" sheetId="59" r:id="rId20"/>
    <sheet name="Page 89" sheetId="66" r:id="rId21"/>
    <sheet name="Page 90" sheetId="67" r:id="rId22"/>
    <sheet name="Page 91" sheetId="68" r:id="rId23"/>
    <sheet name="Page 92" sheetId="61" r:id="rId24"/>
    <sheet name="Page 92 bottom" sheetId="62" r:id="rId25"/>
    <sheet name="Page 94" sheetId="63" r:id="rId26"/>
    <sheet name="Page 95" sheetId="64" r:id="rId27"/>
    <sheet name="Page 97+98" sheetId="14" r:id="rId28"/>
  </sheets>
  <functionGroups builtInGroupCount="17"/>
  <definedNames>
    <definedName name="solver_adj" localSheetId="7" hidden="1">'Page 72'!$H$12</definedName>
    <definedName name="solver_cvg" localSheetId="7" hidden="1">0.0001</definedName>
    <definedName name="solver_drv" localSheetId="7" hidden="1">1</definedName>
    <definedName name="solver_est" localSheetId="7" hidden="1">1</definedName>
    <definedName name="solver_itr" localSheetId="7" hidden="1">100</definedName>
    <definedName name="solver_lin" localSheetId="7" hidden="1">2</definedName>
    <definedName name="solver_neg" localSheetId="7" hidden="1">2</definedName>
    <definedName name="solver_num" localSheetId="7" hidden="1">0</definedName>
    <definedName name="solver_nwt" localSheetId="7" hidden="1">1</definedName>
    <definedName name="solver_opt" localSheetId="7" hidden="1">'Page 72'!$H$15</definedName>
    <definedName name="solver_pre" localSheetId="7" hidden="1">0.000001</definedName>
    <definedName name="solver_scl" localSheetId="7" hidden="1">2</definedName>
    <definedName name="solver_sho" localSheetId="7" hidden="1">2</definedName>
    <definedName name="solver_tim" localSheetId="7" hidden="1">100</definedName>
    <definedName name="solver_tol" localSheetId="7" hidden="1">0.05</definedName>
    <definedName name="solver_typ" localSheetId="7" hidden="1">3</definedName>
    <definedName name="solver_val" localSheetId="7" hidden="1">0.2</definedName>
  </definedNames>
  <calcPr calcId="144525" iterate="1"/>
</workbook>
</file>

<file path=xl/calcChain.xml><?xml version="1.0" encoding="utf-8"?>
<calcChain xmlns="http://schemas.openxmlformats.org/spreadsheetml/2006/main">
  <c r="C13" i="76" l="1"/>
  <c r="B13" i="76"/>
  <c r="C12" i="76"/>
  <c r="B12" i="76"/>
  <c r="B29" i="75"/>
  <c r="B28" i="75"/>
  <c r="B27" i="75"/>
  <c r="B26" i="75"/>
  <c r="B25" i="75"/>
  <c r="B24" i="75"/>
  <c r="B23" i="75"/>
  <c r="B22" i="75"/>
  <c r="B21" i="75"/>
  <c r="B20" i="75"/>
  <c r="B19" i="75"/>
  <c r="B15" i="75"/>
  <c r="B14" i="75"/>
  <c r="B13" i="75"/>
  <c r="C15" i="75"/>
  <c r="C20" i="75"/>
  <c r="C19" i="75"/>
  <c r="D13" i="76"/>
  <c r="D12" i="76"/>
  <c r="C13" i="75"/>
  <c r="C14" i="75"/>
  <c r="B9" i="74" l="1"/>
  <c r="B11" i="74" s="1"/>
  <c r="B19" i="73"/>
  <c r="B20" i="73"/>
  <c r="B21" i="73"/>
  <c r="B22" i="73"/>
  <c r="B23" i="73"/>
  <c r="B24" i="73"/>
  <c r="B25" i="73"/>
  <c r="B26" i="73"/>
  <c r="B27" i="73"/>
  <c r="B28" i="73"/>
  <c r="B29" i="73"/>
  <c r="B30" i="73"/>
  <c r="B31" i="73"/>
  <c r="B32" i="73"/>
  <c r="B33" i="73"/>
  <c r="B18" i="73"/>
  <c r="C19" i="73"/>
  <c r="C18" i="73"/>
  <c r="C9" i="74"/>
  <c r="C11" i="74"/>
  <c r="B17" i="73" l="1"/>
  <c r="C14" i="73"/>
  <c r="C10" i="73"/>
  <c r="C9" i="73"/>
  <c r="C8" i="73"/>
  <c r="C7" i="73"/>
  <c r="C6" i="73"/>
  <c r="C5" i="73"/>
  <c r="C13" i="73" s="1"/>
  <c r="C17" i="73"/>
  <c r="D6" i="73"/>
  <c r="D13" i="73"/>
  <c r="D5" i="73"/>
  <c r="D14" i="73"/>
  <c r="G13" i="72" l="1"/>
  <c r="F40" i="72"/>
  <c r="F13" i="72"/>
  <c r="B40" i="72"/>
  <c r="G12" i="72"/>
  <c r="F12" i="72"/>
  <c r="D12" i="72"/>
  <c r="C12" i="72"/>
  <c r="B12" i="72"/>
  <c r="E5" i="72"/>
  <c r="E13" i="72" s="1"/>
  <c r="B14" i="71"/>
  <c r="B10" i="71"/>
  <c r="G6" i="71"/>
  <c r="F6" i="71"/>
  <c r="E6" i="71"/>
  <c r="D6" i="71"/>
  <c r="C6" i="71"/>
  <c r="B6" i="71"/>
  <c r="B14" i="70"/>
  <c r="B10" i="70"/>
  <c r="C6" i="70"/>
  <c r="B9" i="70" s="1"/>
  <c r="D6" i="70"/>
  <c r="E6" i="70"/>
  <c r="F6" i="70"/>
  <c r="G6" i="70"/>
  <c r="B6" i="70"/>
  <c r="B13" i="70" s="1"/>
  <c r="D7" i="68"/>
  <c r="D8" i="68"/>
  <c r="D9" i="68"/>
  <c r="D10" i="68"/>
  <c r="E5" i="68"/>
  <c r="D12" i="68" s="1"/>
  <c r="E7" i="68"/>
  <c r="E8" i="68"/>
  <c r="E9" i="68"/>
  <c r="E10" i="68"/>
  <c r="E6" i="68"/>
  <c r="D6" i="68"/>
  <c r="D13" i="68" s="1"/>
  <c r="D15" i="68"/>
  <c r="B14" i="68"/>
  <c r="D5" i="68"/>
  <c r="F7" i="68"/>
  <c r="C10" i="71"/>
  <c r="H6" i="71"/>
  <c r="F6" i="68"/>
  <c r="E14" i="68"/>
  <c r="C14" i="68"/>
  <c r="F8" i="68"/>
  <c r="F5" i="68"/>
  <c r="C13" i="71"/>
  <c r="C9" i="71"/>
  <c r="C14" i="70"/>
  <c r="E13" i="68"/>
  <c r="C14" i="71"/>
  <c r="C18" i="72"/>
  <c r="H6" i="70"/>
  <c r="E15" i="68"/>
  <c r="C13" i="70"/>
  <c r="E12" i="68"/>
  <c r="C9" i="70"/>
  <c r="C10" i="70"/>
  <c r="B9" i="71" l="1"/>
  <c r="B18" i="72"/>
  <c r="E12" i="72"/>
  <c r="B13" i="71"/>
  <c r="D14" i="68"/>
  <c r="D13" i="67" l="1"/>
  <c r="D9" i="67"/>
  <c r="D8" i="67"/>
  <c r="D7" i="67"/>
  <c r="D6" i="67"/>
  <c r="D5" i="67"/>
  <c r="B12" i="67"/>
  <c r="D4" i="67"/>
  <c r="D3" i="66"/>
  <c r="B11" i="66"/>
  <c r="D8" i="66" s="1"/>
  <c r="E6" i="14"/>
  <c r="B12" i="14" s="1"/>
  <c r="E7" i="14"/>
  <c r="B13" i="14" s="1"/>
  <c r="E5" i="14"/>
  <c r="B11" i="14" s="1"/>
  <c r="B19" i="64"/>
  <c r="B21" i="64" s="1"/>
  <c r="B12" i="64"/>
  <c r="B11" i="64"/>
  <c r="B3" i="64"/>
  <c r="B7" i="63"/>
  <c r="C6" i="63"/>
  <c r="C8" i="62"/>
  <c r="C7" i="62"/>
  <c r="C13" i="62" s="1"/>
  <c r="B7" i="62"/>
  <c r="C7" i="61"/>
  <c r="B7" i="61"/>
  <c r="C11" i="66"/>
  <c r="E5" i="66"/>
  <c r="A16" i="63"/>
  <c r="E13" i="67"/>
  <c r="E3" i="66"/>
  <c r="E6" i="67"/>
  <c r="E11" i="66"/>
  <c r="D13" i="63"/>
  <c r="D13" i="62"/>
  <c r="E4" i="66"/>
  <c r="C3" i="64"/>
  <c r="C12" i="64"/>
  <c r="C22" i="64"/>
  <c r="C14" i="64"/>
  <c r="E10" i="66"/>
  <c r="C23" i="64"/>
  <c r="C13" i="64"/>
  <c r="E11" i="67"/>
  <c r="F5" i="14"/>
  <c r="D14" i="63"/>
  <c r="C24" i="64"/>
  <c r="E9" i="67"/>
  <c r="D8" i="62"/>
  <c r="D13" i="61"/>
  <c r="E8" i="66"/>
  <c r="C12" i="67"/>
  <c r="E12" i="67"/>
  <c r="E4" i="67"/>
  <c r="E5" i="67"/>
  <c r="B22" i="64" l="1"/>
  <c r="D7" i="66"/>
  <c r="D6" i="66"/>
  <c r="D4" i="66"/>
  <c r="D5" i="66"/>
  <c r="B23" i="64"/>
  <c r="B8" i="61"/>
  <c r="B9" i="61" s="1"/>
  <c r="B10" i="61" s="1"/>
  <c r="B11" i="61" s="1"/>
  <c r="C8" i="61"/>
  <c r="C13" i="61" s="1"/>
  <c r="C7" i="63"/>
  <c r="C8" i="63" s="1"/>
  <c r="B24" i="64"/>
  <c r="B8" i="62"/>
  <c r="B9" i="62" s="1"/>
  <c r="B10" i="62" s="1"/>
  <c r="B11" i="62" s="1"/>
  <c r="B8" i="63"/>
  <c r="B9" i="63" s="1"/>
  <c r="B10" i="63" s="1"/>
  <c r="B11" i="63" s="1"/>
  <c r="B13" i="64"/>
  <c r="B14" i="64" s="1"/>
  <c r="B13" i="62" l="1"/>
  <c r="D11" i="67"/>
  <c r="D12" i="67" s="1"/>
  <c r="D10" i="66"/>
  <c r="D11" i="66" s="1"/>
  <c r="C13" i="63"/>
  <c r="C14" i="63" s="1"/>
  <c r="B13" i="61"/>
  <c r="B13" i="63"/>
  <c r="B14" i="63" s="1"/>
  <c r="B17" i="59" l="1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B31" i="59"/>
  <c r="B32" i="59"/>
  <c r="B33" i="59"/>
  <c r="B34" i="59"/>
  <c r="B16" i="59"/>
  <c r="B11" i="59"/>
  <c r="B12" i="59"/>
  <c r="D8" i="58"/>
  <c r="D11" i="58"/>
  <c r="D10" i="58"/>
  <c r="D9" i="58"/>
  <c r="D20" i="57"/>
  <c r="C21" i="57"/>
  <c r="D21" i="57" s="1"/>
  <c r="D9" i="57"/>
  <c r="D10" i="57"/>
  <c r="D11" i="57"/>
  <c r="D8" i="57"/>
  <c r="C8" i="57"/>
  <c r="B8" i="57"/>
  <c r="D4" i="56"/>
  <c r="D10" i="56" s="1"/>
  <c r="D5" i="56"/>
  <c r="D6" i="56"/>
  <c r="D7" i="56"/>
  <c r="D8" i="56"/>
  <c r="D3" i="56"/>
  <c r="C13" i="55"/>
  <c r="B13" i="55"/>
  <c r="C12" i="55"/>
  <c r="C18" i="55" s="1"/>
  <c r="B12" i="55"/>
  <c r="B18" i="55" s="1"/>
  <c r="C13" i="54"/>
  <c r="B13" i="54"/>
  <c r="C12" i="54"/>
  <c r="B12" i="54"/>
  <c r="C13" i="53"/>
  <c r="C12" i="53"/>
  <c r="B13" i="53"/>
  <c r="B12" i="53"/>
  <c r="C12" i="52"/>
  <c r="B12" i="52"/>
  <c r="C12" i="51"/>
  <c r="B12" i="51"/>
  <c r="B2" i="50"/>
  <c r="C5" i="50"/>
  <c r="D13" i="55"/>
  <c r="A8" i="50"/>
  <c r="C11" i="59"/>
  <c r="E4" i="56"/>
  <c r="E13" i="58"/>
  <c r="E21" i="57"/>
  <c r="D13" i="54"/>
  <c r="D8" i="50"/>
  <c r="C17" i="59"/>
  <c r="C16" i="59"/>
  <c r="D12" i="51"/>
  <c r="F10" i="50"/>
  <c r="E20" i="57"/>
  <c r="E15" i="57"/>
  <c r="E3" i="56"/>
  <c r="C10" i="50"/>
  <c r="D13" i="53"/>
  <c r="E13" i="57"/>
  <c r="C19" i="59"/>
  <c r="E8" i="57"/>
  <c r="D12" i="52"/>
  <c r="D12" i="54"/>
  <c r="E8" i="50"/>
  <c r="E10" i="56"/>
  <c r="D18" i="55"/>
  <c r="E11" i="50"/>
  <c r="D12" i="55"/>
  <c r="C2" i="50"/>
  <c r="C12" i="59"/>
  <c r="D12" i="53"/>
  <c r="C18" i="59"/>
  <c r="E8" i="58"/>
  <c r="E15" i="58"/>
  <c r="E9" i="58"/>
  <c r="E9" i="57"/>
  <c r="D13" i="57" l="1"/>
  <c r="C22" i="57"/>
  <c r="D13" i="58"/>
  <c r="D15" i="58"/>
  <c r="D15" i="57"/>
  <c r="D4" i="50"/>
  <c r="E4" i="50" s="1"/>
  <c r="B5" i="50" s="1"/>
  <c r="C23" i="57" l="1"/>
  <c r="D23" i="57" s="1"/>
  <c r="D22" i="57"/>
  <c r="D5" i="50"/>
  <c r="E5" i="50" s="1"/>
  <c r="B6" i="50" s="1"/>
  <c r="C9" i="48" l="1"/>
  <c r="B9" i="48"/>
  <c r="B16" i="47"/>
  <c r="B17" i="47"/>
  <c r="B18" i="47"/>
  <c r="B19" i="47"/>
  <c r="B20" i="47"/>
  <c r="B21" i="47"/>
  <c r="B22" i="47"/>
  <c r="B23" i="47"/>
  <c r="B24" i="47"/>
  <c r="B25" i="47"/>
  <c r="B26" i="47"/>
  <c r="B27" i="47"/>
  <c r="B28" i="47"/>
  <c r="B29" i="47"/>
  <c r="B30" i="47"/>
  <c r="B31" i="47"/>
  <c r="B15" i="47"/>
  <c r="B10" i="47"/>
  <c r="B12" i="47" s="1"/>
  <c r="C14" i="46"/>
  <c r="D14" i="46"/>
  <c r="C16" i="47"/>
  <c r="C10" i="47"/>
  <c r="D9" i="48"/>
  <c r="C15" i="47"/>
  <c r="D13" i="46"/>
  <c r="C12" i="47"/>
  <c r="C6" i="46" l="1"/>
  <c r="C7" i="46"/>
  <c r="C8" i="46"/>
  <c r="C9" i="46"/>
  <c r="C10" i="46"/>
  <c r="C5" i="46"/>
  <c r="D6" i="46"/>
  <c r="F13" i="14"/>
  <c r="F11" i="14"/>
  <c r="D5" i="46"/>
  <c r="F12" i="14"/>
  <c r="C13" i="46" l="1"/>
  <c r="A13" i="14"/>
  <c r="D13" i="14"/>
  <c r="A12" i="14"/>
  <c r="A11" i="14"/>
  <c r="A10" i="14"/>
  <c r="D12" i="14" l="1"/>
  <c r="D11" i="14"/>
  <c r="E11" i="14" s="1"/>
  <c r="E12" i="14" l="1"/>
  <c r="E13" i="14"/>
</calcChain>
</file>

<file path=xl/sharedStrings.xml><?xml version="1.0" encoding="utf-8"?>
<sst xmlns="http://schemas.openxmlformats.org/spreadsheetml/2006/main" count="249" uniqueCount="119">
  <si>
    <t>Project</t>
  </si>
  <si>
    <t>A</t>
  </si>
  <si>
    <t>B</t>
  </si>
  <si>
    <t>Investment (t=0)</t>
  </si>
  <si>
    <t>t=1</t>
  </si>
  <si>
    <t>t=2</t>
  </si>
  <si>
    <t>NPV</t>
  </si>
  <si>
    <t>PI</t>
  </si>
  <si>
    <t>Resource requirement 
(hours/week)</t>
  </si>
  <si>
    <t>C</t>
  </si>
  <si>
    <t>Rank</t>
  </si>
  <si>
    <t>NPV EXAMPLE</t>
  </si>
  <si>
    <t>IRR</t>
  </si>
  <si>
    <t>Year</t>
  </si>
  <si>
    <t>Discount rate, r</t>
  </si>
  <si>
    <t>CALCULATING THE NET PRESENT VALUE (NPV) WITH EXCEL</t>
  </si>
  <si>
    <t>Interest rate, r</t>
  </si>
  <si>
    <t>Payment</t>
  </si>
  <si>
    <t>Summing the present values</t>
  </si>
  <si>
    <t>CALCULATING THE IRR WITH EXCEL</t>
  </si>
  <si>
    <t>Check:  The NPV using IRR as discount rate</t>
  </si>
  <si>
    <t>Discount rate</t>
  </si>
  <si>
    <t>USING IRR TO CHOOSE BETWEEN INVESTMENTS</t>
  </si>
  <si>
    <t>Investment A cash flows</t>
  </si>
  <si>
    <t>Investment B cash flows</t>
  </si>
  <si>
    <t>THE IRR AS A RATE OF RETURN ON AN INVESTMENT</t>
  </si>
  <si>
    <t>Investment
at beginning
of year</t>
  </si>
  <si>
    <t>Payment at
end of year</t>
  </si>
  <si>
    <t>Part of payment
which is interest</t>
  </si>
  <si>
    <t>Part of payment
which is repayment
of principal</t>
  </si>
  <si>
    <t>TWO PROJECTS</t>
  </si>
  <si>
    <t>Project A</t>
  </si>
  <si>
    <t>Project B</t>
  </si>
  <si>
    <t>RANKING PROJECTS WITH NPV AND IRR</t>
  </si>
  <si>
    <t>Data table:  NPV and discount rates</t>
  </si>
  <si>
    <t>Project A NPV</t>
  </si>
  <si>
    <t>Project B NPV</t>
  </si>
  <si>
    <t>Differential cash flows:
cash flow(A) - cash flow (B)</t>
  </si>
  <si>
    <t>CALCULATING THE CROSSOVER POINT FOR A AND B</t>
  </si>
  <si>
    <t>BUYING A CAR</t>
  </si>
  <si>
    <t>List price of car</t>
  </si>
  <si>
    <t>Downpayment</t>
  </si>
  <si>
    <t>Cash cost of car</t>
  </si>
  <si>
    <t>Bank rate of interest</t>
  </si>
  <si>
    <t>Payment in cash</t>
  </si>
  <si>
    <t>Payment with credit</t>
  </si>
  <si>
    <t>Cash spent or saved with credit plan</t>
  </si>
  <si>
    <t>Internal rate of return</t>
  </si>
  <si>
    <t>NPV of cash saved</t>
  </si>
  <si>
    <t>Borrowing the money from the bank</t>
  </si>
  <si>
    <t>Bank loan cash flows</t>
  </si>
  <si>
    <t>Total cash flows to car owner</t>
  </si>
  <si>
    <t>IRR VERSUS NPV--THE DEALER'S PROBLEM</t>
  </si>
  <si>
    <t>Differential dealer cash flow</t>
  </si>
  <si>
    <t>SANITARY LANDFILL, INC.</t>
  </si>
  <si>
    <t>Cash flow</t>
  </si>
  <si>
    <t>First IRR</t>
  </si>
  <si>
    <t>Second IRR</t>
  </si>
  <si>
    <t>DIFFERENT LIFE SPANS</t>
  </si>
  <si>
    <t>Truck A</t>
  </si>
  <si>
    <t>Truck B</t>
  </si>
  <si>
    <t>DIFFERENT LIFE SPANS
at end of year 3, truck B is replaced</t>
  </si>
  <si>
    <t>Cash flow (A)</t>
  </si>
  <si>
    <t>Cash flow (B)</t>
  </si>
  <si>
    <t>DIFFERENT LIFE SPANS
Computing the equivalent annuity cash flow (EAC)</t>
  </si>
  <si>
    <t>EAC--Equivalent
annuity cash flow</t>
  </si>
  <si>
    <t>LIGHT BULBS
Choosing between cheap incandescents and
expensive fluorescents</t>
  </si>
  <si>
    <t>Annual discount rate</t>
  </si>
  <si>
    <t>Monthly discount rate</t>
  </si>
  <si>
    <t>Electric cost per kilowatt
(a kilowatt = 1000 watts)</t>
  </si>
  <si>
    <t>Incandescent bulb</t>
  </si>
  <si>
    <t xml:space="preserve">     Watts</t>
  </si>
  <si>
    <t xml:space="preserve">     Cost</t>
  </si>
  <si>
    <t xml:space="preserve">     Hours per month used</t>
  </si>
  <si>
    <t xml:space="preserve">     Lifetime of bulb (hours)</t>
  </si>
  <si>
    <t xml:space="preserve">     Lifetime in months</t>
  </si>
  <si>
    <t xml:space="preserve">     Monthly cost</t>
  </si>
  <si>
    <t>NPV of lifetime use</t>
  </si>
  <si>
    <t>Monthly equivalent annuity cash flow (EAC) for cheap incandescent</t>
  </si>
  <si>
    <t>Equivalent fluorescent bulb</t>
  </si>
  <si>
    <t>Monthly equivalent annuity cash flow (EAC) for expensive fluorescent</t>
  </si>
  <si>
    <t>PROFITABILITY INDEX EXAMPLE</t>
  </si>
  <si>
    <t>IRR ASSUMES REINVESTMENT OF INTERMEDIATE CASH FLOW AT IRR</t>
  </si>
  <si>
    <t>Cash flow reinvested at IRR</t>
  </si>
  <si>
    <t>Reinvestment rate</t>
  </si>
  <si>
    <t>REINVESTING INTERMEDIATE CASH FLOWS AT A RATE DIFFERENT FROM THE IRR</t>
  </si>
  <si>
    <t>MIRR WITH DIFFERENT FINANCING AND REINVESTMENT RATES</t>
  </si>
  <si>
    <t>Financing rate</t>
  </si>
  <si>
    <t>Modified investment</t>
  </si>
  <si>
    <t>Modified future value</t>
  </si>
  <si>
    <t>Present value</t>
  </si>
  <si>
    <t>Present value of future cash flows</t>
  </si>
  <si>
    <t>Net present value (NPV)</t>
  </si>
  <si>
    <t>CONVENTIONAL AND NON-CONVENTIONAL CASH FLOW PATTERNS</t>
  </si>
  <si>
    <t>Cash flow
project A</t>
  </si>
  <si>
    <t>Cash flow
project B</t>
  </si>
  <si>
    <t>Cash flow
project C</t>
  </si>
  <si>
    <t>Cash flow
project D</t>
  </si>
  <si>
    <t>Cash flow
project E</t>
  </si>
  <si>
    <t>Cash flow
project F</t>
  </si>
  <si>
    <t>Initial negative cash flow followed by positive cash flows</t>
  </si>
  <si>
    <t>Two initial negative cash flows followed by positive cash flows</t>
  </si>
  <si>
    <t>Initial positive cash flows followed by negative cash flows</t>
  </si>
  <si>
    <r>
      <rPr>
        <sz val="10"/>
        <rFont val="Symbol"/>
        <family val="1"/>
        <charset val="2"/>
      </rPr>
      <t xml:space="preserve"> ­</t>
    </r>
    <r>
      <rPr>
        <sz val="10"/>
        <rFont val="Arial"/>
        <family val="2"/>
      </rPr>
      <t xml:space="preserve">
Conventional cash flow pattern</t>
    </r>
  </si>
  <si>
    <r>
      <rPr>
        <sz val="10"/>
        <rFont val="Symbol"/>
        <family val="1"/>
        <charset val="2"/>
      </rPr>
      <t>­</t>
    </r>
    <r>
      <rPr>
        <sz val="10"/>
        <rFont val="Arial"/>
        <family val="2"/>
      </rPr>
      <t xml:space="preserve">
Conventional cash flow pattern</t>
    </r>
  </si>
  <si>
    <r>
      <rPr>
        <sz val="10"/>
        <rFont val="Symbol"/>
        <family val="1"/>
        <charset val="2"/>
      </rPr>
      <t xml:space="preserve"> ­</t>
    </r>
    <r>
      <rPr>
        <sz val="10"/>
        <rFont val="Arial"/>
        <family val="2"/>
      </rPr>
      <t xml:space="preserve">
Non-conventional cash flow pattern</t>
    </r>
  </si>
  <si>
    <t>Two positive cash flows, then negative, then three positive cash flows</t>
  </si>
  <si>
    <t>Negative cash flows at beginning and end, other cash flows positive</t>
  </si>
  <si>
    <t>Initial negative cash flow, then positive, then negative, positive, negative cash flows</t>
  </si>
  <si>
    <t>Datat table, project D</t>
  </si>
  <si>
    <t>Data table, project E</t>
  </si>
  <si>
    <t>Data table, project F</t>
  </si>
  <si>
    <t>Data Table: NPV of cash flows</t>
  </si>
  <si>
    <t>PV of cash flow borrowed</t>
  </si>
  <si>
    <t xml:space="preserve">FV of cash flow reinvested </t>
  </si>
  <si>
    <r>
      <t xml:space="preserve">Using Excel's </t>
    </r>
    <r>
      <rPr>
        <b/>
        <sz val="10"/>
        <rFont val="Arial"/>
        <family val="2"/>
      </rPr>
      <t>NPV</t>
    </r>
    <r>
      <rPr>
        <sz val="10"/>
        <rFont val="Arial"/>
        <family val="2"/>
      </rPr>
      <t xml:space="preserve"> function</t>
    </r>
  </si>
  <si>
    <t>SIMPLE CAPITAL BUDGETING EXAMPLE</t>
  </si>
  <si>
    <t>PV of future cash flows</t>
  </si>
  <si>
    <t>Discount
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</si>
</sst>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0%"/>
    <numFmt numFmtId="166" formatCode="0.0000%"/>
  </numFmts>
  <fonts count="1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name val="Calibri"/>
      <family val="1"/>
      <scheme val="minor"/>
    </font>
    <font>
      <sz val="10"/>
      <name val="Arial"/>
      <family val="2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0"/>
      <name val="Symbol"/>
      <family val="1"/>
      <charset val="2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4">
    <xf numFmtId="0" fontId="0" fillId="0" borderId="0"/>
    <xf numFmtId="44" fontId="1" fillId="0" borderId="0" applyFont="0" applyFill="0" applyBorder="0" applyAlignment="0" applyProtection="0"/>
    <xf numFmtId="0" fontId="5" fillId="0" borderId="0"/>
    <xf numFmtId="44" fontId="6" fillId="0" borderId="0" applyFont="0" applyFill="0" applyBorder="0" applyAlignment="0" applyProtection="0"/>
    <xf numFmtId="0" fontId="7" fillId="4" borderId="0" applyNumberFormat="0" applyBorder="0" applyAlignment="0" applyProtection="0"/>
    <xf numFmtId="0" fontId="8" fillId="2" borderId="1" applyNumberFormat="0" applyAlignment="0" applyProtection="0"/>
    <xf numFmtId="0" fontId="9" fillId="3" borderId="1" applyNumberFormat="0" applyAlignment="0" applyProtection="0"/>
    <xf numFmtId="43" fontId="10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" fillId="0" borderId="0"/>
    <xf numFmtId="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/>
    <xf numFmtId="3" fontId="1" fillId="0" borderId="0" applyFont="0" applyFill="0" applyBorder="0" applyAlignment="0" applyProtection="0"/>
  </cellStyleXfs>
  <cellXfs count="94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 wrapText="1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wrapText="1"/>
    </xf>
    <xf numFmtId="4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7" applyNumberFormat="1" applyFont="1" applyAlignment="1">
      <alignment horizontal="center"/>
    </xf>
    <xf numFmtId="9" fontId="0" fillId="0" borderId="0" xfId="0" applyNumberFormat="1"/>
    <xf numFmtId="0" fontId="3" fillId="0" borderId="0" xfId="0" applyFont="1"/>
    <xf numFmtId="4" fontId="0" fillId="0" borderId="0" xfId="0" applyNumberFormat="1"/>
    <xf numFmtId="10" fontId="0" fillId="5" borderId="0" xfId="8" applyNumberFormat="1" applyFont="1" applyFill="1"/>
    <xf numFmtId="10" fontId="0" fillId="5" borderId="0" xfId="0" applyNumberFormat="1" applyFill="1"/>
    <xf numFmtId="0" fontId="1" fillId="0" borderId="0" xfId="0" applyFont="1"/>
    <xf numFmtId="0" fontId="1" fillId="5" borderId="0" xfId="0" applyFont="1" applyFill="1" applyAlignment="1">
      <alignment horizontal="left" indent="1"/>
    </xf>
    <xf numFmtId="0" fontId="0" fillId="5" borderId="0" xfId="0" applyFill="1"/>
    <xf numFmtId="4" fontId="0" fillId="5" borderId="0" xfId="0" applyNumberFormat="1" applyFill="1"/>
    <xf numFmtId="8" fontId="0" fillId="0" borderId="0" xfId="0" applyNumberFormat="1"/>
    <xf numFmtId="166" fontId="0" fillId="5" borderId="0" xfId="0" applyNumberFormat="1" applyFill="1"/>
    <xf numFmtId="0" fontId="0" fillId="0" borderId="0" xfId="0" applyFill="1"/>
    <xf numFmtId="0" fontId="3" fillId="0" borderId="0" xfId="0" applyFont="1" applyFill="1"/>
    <xf numFmtId="0" fontId="3" fillId="0" borderId="0" xfId="0" applyFont="1" applyAlignment="1">
      <alignment wrapText="1"/>
    </xf>
    <xf numFmtId="3" fontId="0" fillId="0" borderId="0" xfId="0" applyNumberFormat="1"/>
    <xf numFmtId="0" fontId="1" fillId="5" borderId="0" xfId="0" applyFont="1" applyFill="1"/>
    <xf numFmtId="9" fontId="0" fillId="5" borderId="0" xfId="0" applyNumberFormat="1" applyFill="1"/>
    <xf numFmtId="0" fontId="1" fillId="0" borderId="0" xfId="9"/>
    <xf numFmtId="0" fontId="1" fillId="0" borderId="0" xfId="9" applyAlignment="1">
      <alignment horizontal="center"/>
    </xf>
    <xf numFmtId="10" fontId="1" fillId="0" borderId="0" xfId="9" applyNumberFormat="1"/>
    <xf numFmtId="0" fontId="3" fillId="0" borderId="0" xfId="9" applyFont="1" applyAlignment="1">
      <alignment horizontal="center"/>
    </xf>
    <xf numFmtId="0" fontId="3" fillId="0" borderId="0" xfId="9" applyFont="1" applyAlignment="1">
      <alignment horizontal="center" wrapText="1"/>
    </xf>
    <xf numFmtId="2" fontId="1" fillId="0" borderId="0" xfId="9" applyNumberFormat="1"/>
    <xf numFmtId="0" fontId="1" fillId="6" borderId="0" xfId="9" applyFill="1" applyAlignment="1">
      <alignment horizontal="center"/>
    </xf>
    <xf numFmtId="9" fontId="1" fillId="0" borderId="0" xfId="9" applyNumberFormat="1"/>
    <xf numFmtId="9" fontId="1" fillId="0" borderId="0" xfId="0" applyNumberFormat="1" applyFont="1" applyAlignment="1">
      <alignment horizontal="center"/>
    </xf>
    <xf numFmtId="0" fontId="3" fillId="0" borderId="0" xfId="9" applyFont="1"/>
    <xf numFmtId="3" fontId="1" fillId="0" borderId="0" xfId="9" applyNumberFormat="1"/>
    <xf numFmtId="4" fontId="0" fillId="0" borderId="0" xfId="10" applyFont="1"/>
    <xf numFmtId="4" fontId="1" fillId="0" borderId="0" xfId="10"/>
    <xf numFmtId="0" fontId="1" fillId="5" borderId="0" xfId="9" applyFill="1" applyAlignment="1">
      <alignment horizontal="left" wrapText="1"/>
    </xf>
    <xf numFmtId="2" fontId="1" fillId="5" borderId="0" xfId="9" applyNumberFormat="1" applyFill="1"/>
    <xf numFmtId="8" fontId="1" fillId="0" borderId="0" xfId="9" applyNumberFormat="1"/>
    <xf numFmtId="165" fontId="1" fillId="0" borderId="0" xfId="9" applyNumberFormat="1"/>
    <xf numFmtId="0" fontId="1" fillId="0" borderId="0" xfId="9" applyAlignment="1">
      <alignment wrapText="1"/>
    </xf>
    <xf numFmtId="4" fontId="1" fillId="0" borderId="0" xfId="1" applyNumberFormat="1"/>
    <xf numFmtId="4" fontId="1" fillId="0" borderId="0" xfId="9" applyNumberFormat="1"/>
    <xf numFmtId="0" fontId="1" fillId="8" borderId="0" xfId="9" applyFill="1" applyAlignment="1">
      <alignment wrapText="1"/>
    </xf>
    <xf numFmtId="4" fontId="1" fillId="8" borderId="0" xfId="1" applyNumberFormat="1" applyFill="1"/>
    <xf numFmtId="0" fontId="12" fillId="0" borderId="0" xfId="0" applyFont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/>
    </xf>
    <xf numFmtId="9" fontId="14" fillId="0" borderId="0" xfId="0" applyNumberFormat="1" applyFont="1" applyAlignment="1">
      <alignment horizontal="center"/>
    </xf>
    <xf numFmtId="4" fontId="3" fillId="0" borderId="0" xfId="0" applyNumberFormat="1" applyFont="1" applyAlignment="1">
      <alignment horizont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wrapText="1"/>
    </xf>
    <xf numFmtId="0" fontId="12" fillId="0" borderId="0" xfId="0" applyFont="1" applyAlignment="1">
      <alignment wrapText="1"/>
    </xf>
    <xf numFmtId="4" fontId="12" fillId="0" borderId="0" xfId="0" applyNumberFormat="1" applyFont="1" applyAlignment="1">
      <alignment horizontal="center" wrapText="1"/>
    </xf>
    <xf numFmtId="3" fontId="14" fillId="0" borderId="0" xfId="0" applyNumberFormat="1" applyFont="1"/>
    <xf numFmtId="4" fontId="14" fillId="0" borderId="0" xfId="0" applyNumberFormat="1" applyFont="1"/>
    <xf numFmtId="0" fontId="14" fillId="5" borderId="0" xfId="0" applyFont="1" applyFill="1"/>
    <xf numFmtId="10" fontId="14" fillId="5" borderId="0" xfId="0" applyNumberFormat="1" applyFont="1" applyFill="1"/>
    <xf numFmtId="10" fontId="14" fillId="5" borderId="0" xfId="8" applyNumberFormat="1" applyFont="1" applyFill="1"/>
    <xf numFmtId="9" fontId="14" fillId="5" borderId="0" xfId="0" applyNumberFormat="1" applyFont="1" applyFill="1" applyAlignment="1">
      <alignment horizontal="right" wrapText="1"/>
    </xf>
    <xf numFmtId="0" fontId="14" fillId="5" borderId="0" xfId="0" applyFont="1" applyFill="1" applyAlignment="1">
      <alignment horizontal="left" vertical="center" wrapText="1"/>
    </xf>
    <xf numFmtId="9" fontId="14" fillId="0" borderId="0" xfId="0" applyNumberFormat="1" applyFont="1"/>
    <xf numFmtId="9" fontId="14" fillId="5" borderId="0" xfId="0" applyNumberFormat="1" applyFont="1" applyFill="1"/>
    <xf numFmtId="0" fontId="14" fillId="0" borderId="0" xfId="0" applyFont="1" applyAlignment="1">
      <alignment wrapText="1"/>
    </xf>
    <xf numFmtId="0" fontId="12" fillId="0" borderId="0" xfId="0" applyFont="1"/>
    <xf numFmtId="4" fontId="12" fillId="0" borderId="0" xfId="0" applyNumberFormat="1" applyFont="1"/>
    <xf numFmtId="4" fontId="14" fillId="5" borderId="0" xfId="0" applyNumberFormat="1" applyFont="1" applyFill="1"/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9" fontId="0" fillId="0" borderId="0" xfId="0" applyNumberFormat="1" applyFill="1"/>
    <xf numFmtId="4" fontId="0" fillId="0" borderId="0" xfId="0" applyNumberFormat="1" applyFill="1"/>
    <xf numFmtId="3" fontId="0" fillId="0" borderId="0" xfId="13" applyFont="1"/>
    <xf numFmtId="0" fontId="1" fillId="8" borderId="0" xfId="9" applyFill="1"/>
    <xf numFmtId="4" fontId="0" fillId="8" borderId="0" xfId="10" applyFont="1" applyFill="1"/>
    <xf numFmtId="10" fontId="0" fillId="8" borderId="0" xfId="10" applyNumberFormat="1" applyFont="1" applyFill="1"/>
    <xf numFmtId="9" fontId="1" fillId="0" borderId="0" xfId="9" applyNumberFormat="1" applyAlignment="1">
      <alignment horizontal="center"/>
    </xf>
    <xf numFmtId="4" fontId="1" fillId="8" borderId="0" xfId="9" applyNumberFormat="1" applyFill="1"/>
    <xf numFmtId="10" fontId="1" fillId="8" borderId="0" xfId="9" applyNumberFormat="1" applyFill="1"/>
    <xf numFmtId="0" fontId="4" fillId="0" borderId="0" xfId="0" applyFont="1" applyAlignment="1">
      <alignment horizontal="center"/>
    </xf>
    <xf numFmtId="0" fontId="13" fillId="0" borderId="0" xfId="0" applyFont="1" applyAlignment="1">
      <alignment horizontal="center" vertical="center" wrapText="1"/>
    </xf>
    <xf numFmtId="0" fontId="4" fillId="0" borderId="0" xfId="9" applyFont="1" applyAlignment="1">
      <alignment horizontal="center"/>
    </xf>
    <xf numFmtId="0" fontId="4" fillId="0" borderId="0" xfId="12" applyFont="1" applyAlignment="1">
      <alignment horizontal="center"/>
    </xf>
    <xf numFmtId="0" fontId="13" fillId="7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4" fillId="0" borderId="0" xfId="9" applyFont="1" applyAlignment="1">
      <alignment horizontal="center" vertical="center" wrapText="1"/>
    </xf>
    <xf numFmtId="0" fontId="4" fillId="0" borderId="0" xfId="9" applyFont="1" applyAlignment="1">
      <alignment horizontal="center" vertical="center"/>
    </xf>
  </cellXfs>
  <cellStyles count="14">
    <cellStyle name="20% - Accent3 2" xfId="4"/>
    <cellStyle name="Calculation 2" xfId="6"/>
    <cellStyle name="Comma" xfId="7" builtinId="3"/>
    <cellStyle name="Comma [0] 2" xfId="13"/>
    <cellStyle name="Comma 2" xfId="10"/>
    <cellStyle name="Currency" xfId="1" builtinId="4"/>
    <cellStyle name="Currency 2" xfId="3"/>
    <cellStyle name="Input 2" xfId="5"/>
    <cellStyle name="Normal" xfId="0" builtinId="0"/>
    <cellStyle name="Normal 2" xfId="2"/>
    <cellStyle name="Normal 3" xfId="9"/>
    <cellStyle name="Percent" xfId="8" builtinId="5"/>
    <cellStyle name="Percent 2" xfId="11"/>
    <cellStyle name="Title 2" xfId="1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NPV and the discount 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'Page 64'!$B$16</c:f>
              <c:strCache>
                <c:ptCount val="1"/>
                <c:pt idx="0">
                  <c:v>NPV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'Page 64'!$A$17:$A$33</c:f>
              <c:numCache>
                <c:formatCode>0%</c:formatCode>
                <c:ptCount val="17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</c:numCache>
            </c:numRef>
          </c:xVal>
          <c:yVal>
            <c:numRef>
              <c:f>'Page 64'!$B$17:$B$33</c:f>
              <c:numCache>
                <c:formatCode>#,##0.00</c:formatCode>
                <c:ptCount val="17"/>
                <c:pt idx="0">
                  <c:v>200</c:v>
                </c:pt>
                <c:pt idx="1">
                  <c:v>165.85713038939468</c:v>
                </c:pt>
                <c:pt idx="2">
                  <c:v>133.35959923698465</c:v>
                </c:pt>
                <c:pt idx="3">
                  <c:v>102.40949417564309</c:v>
                </c:pt>
                <c:pt idx="4">
                  <c:v>72.915729625928861</c:v>
                </c:pt>
                <c:pt idx="5">
                  <c:v>44.793505351606086</c:v>
                </c:pt>
                <c:pt idx="6">
                  <c:v>17.963812919427937</c:v>
                </c:pt>
                <c:pt idx="7">
                  <c:v>-7.6470145986324951</c:v>
                </c:pt>
                <c:pt idx="8">
                  <c:v>-32.107713848866752</c:v>
                </c:pt>
                <c:pt idx="9">
                  <c:v>-55.482467075945578</c:v>
                </c:pt>
                <c:pt idx="10">
                  <c:v>-77.831246002819171</c:v>
                </c:pt>
                <c:pt idx="11">
                  <c:v>-99.210126709294059</c:v>
                </c:pt>
                <c:pt idx="12">
                  <c:v>-119.671578202163</c:v>
                </c:pt>
                <c:pt idx="13">
                  <c:v>-139.26472709747384</c:v>
                </c:pt>
                <c:pt idx="14">
                  <c:v>-158.03560059294614</c:v>
                </c:pt>
                <c:pt idx="15">
                  <c:v>-176.02734969220865</c:v>
                </c:pt>
                <c:pt idx="16">
                  <c:v>-193.28045444943132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F23-487B-A50A-50DC27F2D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29504"/>
        <c:axId val="231831424"/>
      </c:scatterChart>
      <c:valAx>
        <c:axId val="231829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Discount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831424"/>
        <c:crosses val="autoZero"/>
        <c:crossBetween val="midCat"/>
      </c:valAx>
      <c:valAx>
        <c:axId val="23183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829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NPV as Function of Discount 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4553391112801338E-2"/>
          <c:y val="0.18071747881079572"/>
          <c:w val="0.84869348879116713"/>
          <c:h val="0.7656860729034465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'Page 67'!$B$14</c:f>
              <c:strCache>
                <c:ptCount val="1"/>
                <c:pt idx="0">
                  <c:v>NPV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'Page 67'!$A$15:$A$31</c:f>
              <c:numCache>
                <c:formatCode>0%</c:formatCode>
                <c:ptCount val="17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</c:numCache>
            </c:numRef>
          </c:xVal>
          <c:yVal>
            <c:numRef>
              <c:f>'Page 67'!$B$15:$B$31</c:f>
              <c:numCache>
                <c:formatCode>#,##0.00</c:formatCode>
                <c:ptCount val="17"/>
                <c:pt idx="0">
                  <c:v>200</c:v>
                </c:pt>
                <c:pt idx="1">
                  <c:v>165.85713038939468</c:v>
                </c:pt>
                <c:pt idx="2">
                  <c:v>133.35959923698465</c:v>
                </c:pt>
                <c:pt idx="3">
                  <c:v>102.40949417564309</c:v>
                </c:pt>
                <c:pt idx="4">
                  <c:v>72.915729625928861</c:v>
                </c:pt>
                <c:pt idx="5">
                  <c:v>44.793505351606086</c:v>
                </c:pt>
                <c:pt idx="6">
                  <c:v>17.963812919427937</c:v>
                </c:pt>
                <c:pt idx="7">
                  <c:v>-7.6470145986324951</c:v>
                </c:pt>
                <c:pt idx="8">
                  <c:v>-32.107713848866752</c:v>
                </c:pt>
                <c:pt idx="9">
                  <c:v>-55.482467075945578</c:v>
                </c:pt>
                <c:pt idx="10">
                  <c:v>-77.831246002819171</c:v>
                </c:pt>
                <c:pt idx="11">
                  <c:v>-99.210126709294059</c:v>
                </c:pt>
                <c:pt idx="12">
                  <c:v>-119.671578202163</c:v>
                </c:pt>
                <c:pt idx="13">
                  <c:v>-139.26472709747384</c:v>
                </c:pt>
                <c:pt idx="14">
                  <c:v>-158.03560059294614</c:v>
                </c:pt>
                <c:pt idx="15">
                  <c:v>-176.02734969220865</c:v>
                </c:pt>
                <c:pt idx="16">
                  <c:v>-193.28045444943132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5D9-484C-8E4B-FC99E4369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13984"/>
        <c:axId val="234332544"/>
      </c:scatterChart>
      <c:valAx>
        <c:axId val="234313984"/>
        <c:scaling>
          <c:orientation val="minMax"/>
          <c:max val="0.1600000000000000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332544"/>
        <c:crosses val="autoZero"/>
        <c:crossBetween val="midCat"/>
        <c:majorUnit val="1.0000000000000002E-2"/>
      </c:valAx>
      <c:valAx>
        <c:axId val="23433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313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NPV of Cash Flows</a:t>
            </a:r>
          </a:p>
        </c:rich>
      </c:tx>
      <c:layout>
        <c:manualLayout>
          <c:xMode val="edge"/>
          <c:yMode val="edge"/>
          <c:x val="0.35962877030162466"/>
          <c:y val="3.846160412615436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856148491879353"/>
          <c:y val="0.20279754902881378"/>
          <c:w val="0.7587006960556858"/>
          <c:h val="0.6328682133485408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'Page 77'!$A$19:$A$29</c:f>
              <c:numCache>
                <c:formatCode>0%</c:formatCode>
                <c:ptCount val="11"/>
                <c:pt idx="0">
                  <c:v>0</c:v>
                </c:pt>
                <c:pt idx="1">
                  <c:v>0.03</c:v>
                </c:pt>
                <c:pt idx="2">
                  <c:v>0.06</c:v>
                </c:pt>
                <c:pt idx="3">
                  <c:v>0.09</c:v>
                </c:pt>
                <c:pt idx="4">
                  <c:v>0.12</c:v>
                </c:pt>
                <c:pt idx="5">
                  <c:v>0.15</c:v>
                </c:pt>
                <c:pt idx="6">
                  <c:v>0.18</c:v>
                </c:pt>
                <c:pt idx="7">
                  <c:v>0.21</c:v>
                </c:pt>
                <c:pt idx="8">
                  <c:v>0.24</c:v>
                </c:pt>
                <c:pt idx="9">
                  <c:v>0.27</c:v>
                </c:pt>
                <c:pt idx="10">
                  <c:v>0.3</c:v>
                </c:pt>
              </c:numCache>
            </c:numRef>
          </c:xVal>
          <c:yVal>
            <c:numRef>
              <c:f>'Page 77'!$B$19:$B$29</c:f>
              <c:numCache>
                <c:formatCode>#,##0.00</c:formatCode>
                <c:ptCount val="11"/>
                <c:pt idx="0">
                  <c:v>1100</c:v>
                </c:pt>
                <c:pt idx="1">
                  <c:v>849.33882364202555</c:v>
                </c:pt>
                <c:pt idx="2">
                  <c:v>637.66757154609036</c:v>
                </c:pt>
                <c:pt idx="3">
                  <c:v>457.83033564046696</c:v>
                </c:pt>
                <c:pt idx="4">
                  <c:v>304.15789606756607</c:v>
                </c:pt>
                <c:pt idx="5">
                  <c:v>172.12634836137636</c:v>
                </c:pt>
                <c:pt idx="6">
                  <c:v>58.10099215098262</c:v>
                </c:pt>
                <c:pt idx="7">
                  <c:v>-40.857414386805544</c:v>
                </c:pt>
                <c:pt idx="8">
                  <c:v>-127.14037802396456</c:v>
                </c:pt>
                <c:pt idx="9">
                  <c:v>-202.70514763244239</c:v>
                </c:pt>
                <c:pt idx="10">
                  <c:v>-269.16250466923407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C48-4B38-935F-9A232318B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396800"/>
        <c:axId val="244399104"/>
      </c:scatterChart>
      <c:valAx>
        <c:axId val="244396800"/>
        <c:scaling>
          <c:orientation val="minMax"/>
          <c:max val="0.3000000000000002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Discount rate</a:t>
                </a:r>
              </a:p>
            </c:rich>
          </c:tx>
          <c:layout>
            <c:manualLayout>
              <c:xMode val="edge"/>
              <c:yMode val="edge"/>
              <c:x val="0.47563805104408352"/>
              <c:y val="0.8741273665035085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99104"/>
        <c:crosses val="autoZero"/>
        <c:crossBetween val="midCat"/>
        <c:majorUnit val="2.5000000000000001E-2"/>
        <c:minorUnit val="1.0000000000000005E-2"/>
      </c:valAx>
      <c:valAx>
        <c:axId val="2443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NPV</a:t>
                </a:r>
              </a:p>
            </c:rich>
          </c:tx>
          <c:layout>
            <c:manualLayout>
              <c:xMode val="edge"/>
              <c:yMode val="edge"/>
              <c:x val="3.7122969837586998E-2"/>
              <c:y val="0.472028777911894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96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0056" r="0.75000000000000056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NPV of Projects A and B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'Page 80'!$B$17</c:f>
              <c:strCache>
                <c:ptCount val="1"/>
                <c:pt idx="0">
                  <c:v>Project A NPV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'Page 80'!$A$19:$A$34</c:f>
              <c:numCache>
                <c:formatCode>0%</c:formatCode>
                <c:ptCount val="16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</c:numCache>
            </c:numRef>
          </c:cat>
          <c:val>
            <c:numRef>
              <c:f>'Page 80'!$B$19:$B$34</c:f>
              <c:numCache>
                <c:formatCode>#,##0.00</c:formatCode>
                <c:ptCount val="16"/>
                <c:pt idx="0">
                  <c:v>450</c:v>
                </c:pt>
                <c:pt idx="1">
                  <c:v>382.56585312939899</c:v>
                </c:pt>
                <c:pt idx="2">
                  <c:v>321.69060216594437</c:v>
                </c:pt>
                <c:pt idx="3">
                  <c:v>266.60416089180558</c:v>
                </c:pt>
                <c:pt idx="4">
                  <c:v>216.64056014858818</c:v>
                </c:pt>
                <c:pt idx="5">
                  <c:v>171.22215944017705</c:v>
                </c:pt>
                <c:pt idx="6">
                  <c:v>129.84649718123376</c:v>
                </c:pt>
                <c:pt idx="7">
                  <c:v>92.075299740910282</c:v>
                </c:pt>
                <c:pt idx="8">
                  <c:v>57.525263455499271</c:v>
                </c:pt>
                <c:pt idx="9">
                  <c:v>25.860298112485907</c:v>
                </c:pt>
                <c:pt idx="10">
                  <c:v>-3.2150205761316215</c:v>
                </c:pt>
                <c:pt idx="11">
                  <c:v>-29.960994939285172</c:v>
                </c:pt>
                <c:pt idx="12">
                  <c:v>-54.607513509569287</c:v>
                </c:pt>
                <c:pt idx="13">
                  <c:v>-77.358060866970732</c:v>
                </c:pt>
                <c:pt idx="14">
                  <c:v>-98.393142223358154</c:v>
                </c:pt>
                <c:pt idx="15">
                  <c:v>-117.8732160315439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3B8-4CCA-B181-110CDA4B9677}"/>
            </c:ext>
          </c:extLst>
        </c:ser>
        <c:ser>
          <c:idx val="1"/>
          <c:order val="1"/>
          <c:tx>
            <c:strRef>
              <c:f>'Page 80'!$C$17</c:f>
              <c:strCache>
                <c:ptCount val="1"/>
                <c:pt idx="0">
                  <c:v>Project B NPV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'Page 80'!$A$19:$A$34</c:f>
              <c:numCache>
                <c:formatCode>0%</c:formatCode>
                <c:ptCount val="16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</c:numCache>
            </c:numRef>
          </c:cat>
          <c:val>
            <c:numRef>
              <c:f>'Page 80'!$C$19:$C$34</c:f>
              <c:numCache>
                <c:formatCode>#,##0.00</c:formatCode>
                <c:ptCount val="16"/>
                <c:pt idx="0">
                  <c:v>350</c:v>
                </c:pt>
                <c:pt idx="1">
                  <c:v>311.52578452873877</c:v>
                </c:pt>
                <c:pt idx="2">
                  <c:v>275.89971481417626</c:v>
                </c:pt>
                <c:pt idx="3">
                  <c:v>242.8442981808987</c:v>
                </c:pt>
                <c:pt idx="4">
                  <c:v>212.11477989229411</c:v>
                </c:pt>
                <c:pt idx="5">
                  <c:v>183.49466939044146</c:v>
                </c:pt>
                <c:pt idx="6">
                  <c:v>156.79195529113611</c:v>
                </c:pt>
                <c:pt idx="7">
                  <c:v>131.83589192702266</c:v>
                </c:pt>
                <c:pt idx="8">
                  <c:v>108.47426197332982</c:v>
                </c:pt>
                <c:pt idx="9">
                  <c:v>86.571037082626958</c:v>
                </c:pt>
                <c:pt idx="10">
                  <c:v>66.004372427983526</c:v>
                </c:pt>
                <c:pt idx="11">
                  <c:v>46.664882327018404</c:v>
                </c:pt>
                <c:pt idx="12">
                  <c:v>28.454153250999298</c:v>
                </c:pt>
                <c:pt idx="13">
                  <c:v>11.283457949008664</c:v>
                </c:pt>
                <c:pt idx="14">
                  <c:v>-4.9273595213890076</c:v>
                </c:pt>
                <c:pt idx="15">
                  <c:v>-20.250853099843141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3B8-4CCA-B181-110CDA4B9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465152"/>
        <c:axId val="234471424"/>
      </c:lineChart>
      <c:catAx>
        <c:axId val="23446515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471424"/>
        <c:crosses val="autoZero"/>
        <c:auto val="1"/>
        <c:lblAlgn val="ctr"/>
        <c:lblOffset val="100"/>
        <c:noMultiLvlLbl val="0"/>
      </c:catAx>
      <c:valAx>
        <c:axId val="23447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46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Sanitary Landfill,</a:t>
            </a:r>
            <a:r>
              <a:rPr lang="en-US" b="1" baseline="0"/>
              <a:t> NPV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'Page 87'!$B$15</c:f>
              <c:strCache>
                <c:ptCount val="1"/>
                <c:pt idx="0">
                  <c:v>NPV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'Page 87'!$A$16:$A$34</c:f>
              <c:numCache>
                <c:formatCode>0%</c:formatCode>
                <c:ptCount val="19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</c:numCache>
            </c:numRef>
          </c:xVal>
          <c:yVal>
            <c:numRef>
              <c:f>'Page 87'!$B$16:$B$34</c:f>
              <c:numCache>
                <c:formatCode>#,##0.00</c:formatCode>
                <c:ptCount val="19"/>
                <c:pt idx="0">
                  <c:v>-50</c:v>
                </c:pt>
                <c:pt idx="1">
                  <c:v>-10.900294452395769</c:v>
                </c:pt>
                <c:pt idx="2">
                  <c:v>17.848260362074143</c:v>
                </c:pt>
                <c:pt idx="3">
                  <c:v>38.122892845056299</c:v>
                </c:pt>
                <c:pt idx="4">
                  <c:v>51.465076360481135</c:v>
                </c:pt>
                <c:pt idx="5">
                  <c:v>59.143151153135591</c:v>
                </c:pt>
                <c:pt idx="6">
                  <c:v>62.20260928927064</c:v>
                </c:pt>
                <c:pt idx="7">
                  <c:v>61.506614460234118</c:v>
                </c:pt>
                <c:pt idx="8">
                  <c:v>57.768762146432323</c:v>
                </c:pt>
                <c:pt idx="9">
                  <c:v>51.579650656321746</c:v>
                </c:pt>
                <c:pt idx="10">
                  <c:v>43.428497942386912</c:v>
                </c:pt>
                <c:pt idx="11">
                  <c:v>33.720779016992424</c:v>
                </c:pt>
                <c:pt idx="12">
                  <c:v>22.792656394627556</c:v>
                </c:pt>
                <c:pt idx="13">
                  <c:v>10.922817839236245</c:v>
                </c:pt>
                <c:pt idx="14">
                  <c:v>-1.6577883623540401</c:v>
                </c:pt>
                <c:pt idx="15">
                  <c:v>-14.757928063861527</c:v>
                </c:pt>
                <c:pt idx="16">
                  <c:v>-28.219450520495343</c:v>
                </c:pt>
                <c:pt idx="17">
                  <c:v>-41.911798130735065</c:v>
                </c:pt>
                <c:pt idx="18">
                  <c:v>-55.727451260729595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1C6-4263-82DC-B9AD060A0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321664"/>
        <c:axId val="245765632"/>
      </c:scatterChart>
      <c:valAx>
        <c:axId val="244321664"/>
        <c:scaling>
          <c:orientation val="minMax"/>
          <c:max val="0.36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765632"/>
        <c:crosses val="autoZero"/>
        <c:crossBetween val="midCat"/>
        <c:majorUnit val="3.0000000000000006E-2"/>
      </c:valAx>
      <c:valAx>
        <c:axId val="245765632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21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87630</xdr:colOff>
      <xdr:row>19</xdr:row>
      <xdr:rowOff>60960</xdr:rowOff>
    </xdr:from>
    <xdr:to>
      <xdr:col>7</xdr:col>
      <xdr:colOff>308610</xdr:colOff>
      <xdr:row>36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A809292E-9525-4983-B4D4-0BF014A8E3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38576</xdr:colOff>
      <xdr:row>16</xdr:row>
      <xdr:rowOff>30480</xdr:rowOff>
    </xdr:from>
    <xdr:to>
      <xdr:col>6</xdr:col>
      <xdr:colOff>521970</xdr:colOff>
      <xdr:row>32</xdr:row>
      <xdr:rowOff>137636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4</xdr:row>
      <xdr:rowOff>123825</xdr:rowOff>
    </xdr:from>
    <xdr:to>
      <xdr:col>1</xdr:col>
      <xdr:colOff>552450</xdr:colOff>
      <xdr:row>6</xdr:row>
      <xdr:rowOff>142875</xdr:rowOff>
    </xdr:to>
    <xdr:sp macro="" textlink="">
      <xdr:nvSpPr>
        <xdr:cNvPr id="2" name="Line 7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>
          <a:spLocks noChangeShapeType="1"/>
        </xdr:cNvSpPr>
      </xdr:nvSpPr>
      <xdr:spPr bwMode="auto">
        <a:xfrm flipV="1">
          <a:off x="514350" y="1338263"/>
          <a:ext cx="690563" cy="342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276225</xdr:colOff>
      <xdr:row>3</xdr:row>
      <xdr:rowOff>152400</xdr:rowOff>
    </xdr:from>
    <xdr:to>
      <xdr:col>3</xdr:col>
      <xdr:colOff>685800</xdr:colOff>
      <xdr:row>7</xdr:row>
      <xdr:rowOff>19050</xdr:rowOff>
    </xdr:to>
    <xdr:sp macro="" textlink="">
      <xdr:nvSpPr>
        <xdr:cNvPr id="3" name="Line 8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>
          <a:spLocks noChangeShapeType="1"/>
        </xdr:cNvSpPr>
      </xdr:nvSpPr>
      <xdr:spPr bwMode="auto">
        <a:xfrm flipV="1">
          <a:off x="2938463" y="1204913"/>
          <a:ext cx="409575" cy="514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457200</xdr:colOff>
      <xdr:row>3</xdr:row>
      <xdr:rowOff>114300</xdr:rowOff>
    </xdr:from>
    <xdr:to>
      <xdr:col>4</xdr:col>
      <xdr:colOff>809625</xdr:colOff>
      <xdr:row>6</xdr:row>
      <xdr:rowOff>161925</xdr:rowOff>
    </xdr:to>
    <xdr:sp macro="" textlink="">
      <xdr:nvSpPr>
        <xdr:cNvPr id="4" name="Line 9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>
          <a:spLocks noChangeShapeType="1"/>
        </xdr:cNvSpPr>
      </xdr:nvSpPr>
      <xdr:spPr bwMode="auto">
        <a:xfrm flipV="1">
          <a:off x="4252913" y="1166813"/>
          <a:ext cx="352425" cy="533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952500</xdr:colOff>
      <xdr:row>5</xdr:row>
      <xdr:rowOff>9525</xdr:rowOff>
    </xdr:from>
    <xdr:to>
      <xdr:col>4</xdr:col>
      <xdr:colOff>514350</xdr:colOff>
      <xdr:row>10</xdr:row>
      <xdr:rowOff>0</xdr:rowOff>
    </xdr:to>
    <xdr:sp macro="" textlink="">
      <xdr:nvSpPr>
        <xdr:cNvPr id="5" name="Line 11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>
          <a:spLocks noChangeShapeType="1"/>
        </xdr:cNvSpPr>
      </xdr:nvSpPr>
      <xdr:spPr bwMode="auto">
        <a:xfrm flipH="1" flipV="1">
          <a:off x="3614738" y="1385888"/>
          <a:ext cx="695325" cy="800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1076325</xdr:colOff>
      <xdr:row>5</xdr:row>
      <xdr:rowOff>0</xdr:rowOff>
    </xdr:from>
    <xdr:to>
      <xdr:col>5</xdr:col>
      <xdr:colOff>304800</xdr:colOff>
      <xdr:row>8</xdr:row>
      <xdr:rowOff>152400</xdr:rowOff>
    </xdr:to>
    <xdr:sp macro="" textlink="">
      <xdr:nvSpPr>
        <xdr:cNvPr id="6" name="Line 14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>
          <a:spLocks noChangeShapeType="1"/>
        </xdr:cNvSpPr>
      </xdr:nvSpPr>
      <xdr:spPr bwMode="auto">
        <a:xfrm flipH="1" flipV="1">
          <a:off x="4872038" y="1376363"/>
          <a:ext cx="495300" cy="638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876300</xdr:colOff>
      <xdr:row>6</xdr:row>
      <xdr:rowOff>9525</xdr:rowOff>
    </xdr:from>
    <xdr:to>
      <xdr:col>2</xdr:col>
      <xdr:colOff>228600</xdr:colOff>
      <xdr:row>9</xdr:row>
      <xdr:rowOff>19050</xdr:rowOff>
    </xdr:to>
    <xdr:sp macro="" textlink="">
      <xdr:nvSpPr>
        <xdr:cNvPr id="7" name="Line 1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>
          <a:spLocks noChangeShapeType="1"/>
        </xdr:cNvSpPr>
      </xdr:nvSpPr>
      <xdr:spPr bwMode="auto">
        <a:xfrm flipH="1" flipV="1">
          <a:off x="1528763" y="1547813"/>
          <a:ext cx="371475" cy="495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20</xdr:row>
      <xdr:rowOff>47625</xdr:rowOff>
    </xdr:from>
    <xdr:to>
      <xdr:col>6</xdr:col>
      <xdr:colOff>428625</xdr:colOff>
      <xdr:row>37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7BE46107-1BF7-4216-9826-C06F19A782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709612</xdr:colOff>
      <xdr:row>18</xdr:row>
      <xdr:rowOff>80963</xdr:rowOff>
    </xdr:from>
    <xdr:to>
      <xdr:col>7</xdr:col>
      <xdr:colOff>647699</xdr:colOff>
      <xdr:row>34</xdr:row>
      <xdr:rowOff>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97630</xdr:colOff>
      <xdr:row>19</xdr:row>
      <xdr:rowOff>114300</xdr:rowOff>
    </xdr:from>
    <xdr:to>
      <xdr:col>6</xdr:col>
      <xdr:colOff>638175</xdr:colOff>
      <xdr:row>36</xdr:row>
      <xdr:rowOff>107155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1095375</xdr:colOff>
      <xdr:row>13</xdr:row>
      <xdr:rowOff>266699</xdr:rowOff>
    </xdr:from>
    <xdr:to>
      <xdr:col>1</xdr:col>
      <xdr:colOff>514350</xdr:colOff>
      <xdr:row>15</xdr:row>
      <xdr:rowOff>38099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xmlns="" id="{00000000-0008-0000-1500-000002000000}"/>
            </a:ext>
          </a:extLst>
        </xdr:cNvPr>
        <xdr:cNvSpPr>
          <a:spLocks noChangeShapeType="1"/>
        </xdr:cNvSpPr>
      </xdr:nvSpPr>
      <xdr:spPr bwMode="auto">
        <a:xfrm flipV="1">
          <a:off x="1095375" y="2719387"/>
          <a:ext cx="642938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542925</xdr:colOff>
      <xdr:row>0</xdr:row>
      <xdr:rowOff>0</xdr:rowOff>
    </xdr:from>
    <xdr:to>
      <xdr:col>10</xdr:col>
      <xdr:colOff>247650</xdr:colOff>
      <xdr:row>16</xdr:row>
      <xdr:rowOff>9525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xmlns="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172450" y="0"/>
          <a:ext cx="1647825" cy="35814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3</xdr:col>
      <xdr:colOff>581025</xdr:colOff>
      <xdr:row>0</xdr:row>
      <xdr:rowOff>9525</xdr:rowOff>
    </xdr:from>
    <xdr:to>
      <xdr:col>7</xdr:col>
      <xdr:colOff>228600</xdr:colOff>
      <xdr:row>16</xdr:row>
      <xdr:rowOff>38100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xmlns="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5619750" y="9525"/>
          <a:ext cx="2238375" cy="3600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747347</xdr:colOff>
      <xdr:row>8</xdr:row>
      <xdr:rowOff>0</xdr:rowOff>
    </xdr:from>
    <xdr:to>
      <xdr:col>5</xdr:col>
      <xdr:colOff>249115</xdr:colOff>
      <xdr:row>9</xdr:row>
      <xdr:rowOff>7328</xdr:rowOff>
    </xdr:to>
    <xdr:sp macro="" textlink="">
      <xdr:nvSpPr>
        <xdr:cNvPr id="7" name="Line Callout 2 6">
          <a:extLst>
            <a:ext uri="{FF2B5EF4-FFF2-40B4-BE49-F238E27FC236}">
              <a16:creationId xmlns:a16="http://schemas.microsoft.com/office/drawing/2014/main" xmlns="" id="{00000000-0008-0000-1700-000007000000}"/>
            </a:ext>
          </a:extLst>
        </xdr:cNvPr>
        <xdr:cNvSpPr/>
      </xdr:nvSpPr>
      <xdr:spPr>
        <a:xfrm>
          <a:off x="2417885" y="1289538"/>
          <a:ext cx="1846384" cy="234463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253124"/>
            <a:gd name="adj6" fmla="val -49504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893886</xdr:colOff>
          <xdr:row>8</xdr:row>
          <xdr:rowOff>0</xdr:rowOff>
        </xdr:from>
        <xdr:to>
          <xdr:col>4</xdr:col>
          <xdr:colOff>641336</xdr:colOff>
          <xdr:row>8</xdr:row>
          <xdr:rowOff>173968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xmlns="" id="{00000000-0008-0000-17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83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564424" y="1164981"/>
              <a:ext cx="1600932" cy="1714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417634</xdr:colOff>
      <xdr:row>13</xdr:row>
      <xdr:rowOff>42495</xdr:rowOff>
    </xdr:from>
    <xdr:to>
      <xdr:col>2</xdr:col>
      <xdr:colOff>364880</xdr:colOff>
      <xdr:row>14</xdr:row>
      <xdr:rowOff>115766</xdr:rowOff>
    </xdr:to>
    <xdr:sp macro="" textlink="">
      <xdr:nvSpPr>
        <xdr:cNvPr id="6" name="Line Callout 2 5">
          <a:extLst>
            <a:ext uri="{FF2B5EF4-FFF2-40B4-BE49-F238E27FC236}">
              <a16:creationId xmlns:a16="http://schemas.microsoft.com/office/drawing/2014/main" xmlns="" id="{00000000-0008-0000-1700-000006000000}"/>
            </a:ext>
          </a:extLst>
        </xdr:cNvPr>
        <xdr:cNvSpPr/>
      </xdr:nvSpPr>
      <xdr:spPr>
        <a:xfrm>
          <a:off x="1062403" y="2365130"/>
          <a:ext cx="973015" cy="234463"/>
        </a:xfrm>
        <a:prstGeom prst="borderCallout2">
          <a:avLst>
            <a:gd name="adj1" fmla="val 25000"/>
            <a:gd name="adj2" fmla="val 104365"/>
            <a:gd name="adj3" fmla="val 18750"/>
            <a:gd name="adj4" fmla="val 125000"/>
            <a:gd name="adj5" fmla="val -190622"/>
            <a:gd name="adj6" fmla="val 213169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498231</xdr:colOff>
          <xdr:row>13</xdr:row>
          <xdr:rowOff>80596</xdr:rowOff>
        </xdr:from>
        <xdr:to>
          <xdr:col>2</xdr:col>
          <xdr:colOff>291611</xdr:colOff>
          <xdr:row>14</xdr:row>
          <xdr:rowOff>90124</xdr:rowOff>
        </xdr:to>
        <xdr:pic>
          <xdr:nvPicPr>
            <xdr:cNvPr id="13" name="Picture 12">
              <a:extLst>
                <a:ext uri="{FF2B5EF4-FFF2-40B4-BE49-F238E27FC236}">
                  <a16:creationId xmlns:a16="http://schemas.microsoft.com/office/drawing/2014/main" xmlns="" id="{00000000-0008-0000-1700-00000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835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143000" y="2403231"/>
              <a:ext cx="819150" cy="17071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1"/>
  <sheetViews>
    <sheetView workbookViewId="0">
      <selection activeCell="C19" sqref="C19"/>
    </sheetView>
  </sheetViews>
  <sheetFormatPr defaultColWidth="9" defaultRowHeight="14.25" x14ac:dyDescent="0.2"/>
  <cols>
    <col min="1" max="1" width="14" style="51" bestFit="1" customWidth="1"/>
    <col min="2" max="7" width="10" style="51" customWidth="1"/>
    <col min="8" max="8" width="21.42578125" style="51" customWidth="1"/>
    <col min="9" max="16384" width="9" style="51"/>
  </cols>
  <sheetData>
    <row r="1" spans="1:8" ht="18" x14ac:dyDescent="0.25">
      <c r="A1" s="84" t="s">
        <v>11</v>
      </c>
      <c r="B1" s="84"/>
      <c r="C1" s="84"/>
      <c r="D1" s="84"/>
      <c r="E1" s="84"/>
      <c r="F1" s="84"/>
      <c r="G1" s="84"/>
      <c r="H1" s="84"/>
    </row>
    <row r="2" spans="1:8" x14ac:dyDescent="0.2">
      <c r="A2" s="51" t="s">
        <v>14</v>
      </c>
      <c r="B2" s="66">
        <v>0.06</v>
      </c>
    </row>
    <row r="4" spans="1:8" s="69" customFormat="1" ht="15" x14ac:dyDescent="0.25">
      <c r="A4" s="69" t="s">
        <v>13</v>
      </c>
      <c r="B4" s="50">
        <v>0</v>
      </c>
      <c r="C4" s="50">
        <v>1</v>
      </c>
      <c r="D4" s="50">
        <v>2</v>
      </c>
      <c r="E4" s="50">
        <v>3</v>
      </c>
      <c r="F4" s="50">
        <v>4</v>
      </c>
      <c r="G4" s="50">
        <v>5</v>
      </c>
    </row>
    <row r="5" spans="1:8" x14ac:dyDescent="0.2">
      <c r="A5" s="51" t="s">
        <v>55</v>
      </c>
      <c r="B5" s="60">
        <v>-1500</v>
      </c>
      <c r="C5" s="60">
        <v>100</v>
      </c>
      <c r="D5" s="60">
        <v>200</v>
      </c>
      <c r="E5" s="60">
        <v>300</v>
      </c>
      <c r="F5" s="60">
        <v>400</v>
      </c>
      <c r="G5" s="60">
        <v>500</v>
      </c>
    </row>
    <row r="6" spans="1:8" x14ac:dyDescent="0.2">
      <c r="A6" s="51" t="s">
        <v>90</v>
      </c>
      <c r="B6" s="60">
        <f>B5/(1+$B$2)^B4</f>
        <v>-1500</v>
      </c>
      <c r="C6" s="60">
        <f t="shared" ref="C6:G6" si="0">C5/(1+$B$2)^C4</f>
        <v>94.339622641509436</v>
      </c>
      <c r="D6" s="60">
        <f t="shared" si="0"/>
        <v>177.99928800284798</v>
      </c>
      <c r="E6" s="60">
        <f t="shared" si="0"/>
        <v>251.8857849096905</v>
      </c>
      <c r="F6" s="60">
        <f t="shared" si="0"/>
        <v>316.83746529520818</v>
      </c>
      <c r="G6" s="60">
        <f t="shared" si="0"/>
        <v>373.62908643302842</v>
      </c>
      <c r="H6" s="51" t="str">
        <f ca="1">getformula(G6)</f>
        <v>&lt;-- =G5/(1+$B$2)^G4</v>
      </c>
    </row>
    <row r="7" spans="1:8" x14ac:dyDescent="0.2">
      <c r="B7" s="60"/>
      <c r="C7" s="60"/>
      <c r="D7" s="60"/>
      <c r="E7" s="60"/>
      <c r="F7" s="60"/>
      <c r="G7" s="60"/>
    </row>
    <row r="8" spans="1:8" ht="15" x14ac:dyDescent="0.25">
      <c r="A8" s="69" t="s">
        <v>91</v>
      </c>
      <c r="B8" s="70"/>
      <c r="C8" s="70"/>
      <c r="D8" s="70"/>
      <c r="E8" s="60"/>
      <c r="F8" s="60"/>
      <c r="G8" s="60"/>
    </row>
    <row r="9" spans="1:8" x14ac:dyDescent="0.2">
      <c r="B9" s="60">
        <f>SUM(C6:G6)</f>
        <v>1214.6912472822846</v>
      </c>
      <c r="C9" s="60" t="str">
        <f ca="1">getformula(B9)</f>
        <v>&lt;-- =SUM(C6:G6)</v>
      </c>
      <c r="D9" s="60"/>
      <c r="E9" s="60"/>
      <c r="F9" s="60"/>
      <c r="G9" s="60"/>
    </row>
    <row r="10" spans="1:8" x14ac:dyDescent="0.2">
      <c r="B10" s="60">
        <f>NPV(B2,C5:G5)</f>
        <v>1214.6912472822846</v>
      </c>
      <c r="C10" s="60" t="str">
        <f ca="1">getformula(B10)</f>
        <v>&lt;-- =NPV(B2,C5:G5)</v>
      </c>
      <c r="D10" s="60"/>
      <c r="E10" s="60"/>
      <c r="F10" s="60"/>
      <c r="G10" s="60"/>
    </row>
    <row r="11" spans="1:8" x14ac:dyDescent="0.2">
      <c r="B11" s="60"/>
      <c r="C11" s="60"/>
      <c r="D11" s="60"/>
      <c r="E11" s="60"/>
      <c r="F11" s="60"/>
      <c r="G11" s="60"/>
    </row>
    <row r="12" spans="1:8" ht="15" x14ac:dyDescent="0.25">
      <c r="A12" s="69" t="s">
        <v>92</v>
      </c>
      <c r="B12" s="70"/>
      <c r="C12" s="70"/>
      <c r="D12" s="70"/>
      <c r="E12" s="60"/>
      <c r="F12" s="60"/>
      <c r="G12" s="60"/>
    </row>
    <row r="13" spans="1:8" x14ac:dyDescent="0.2">
      <c r="B13" s="71">
        <f>SUM(B6:G6)</f>
        <v>-285.30875271771549</v>
      </c>
      <c r="C13" s="60" t="str">
        <f ca="1">getformula(B13)</f>
        <v>&lt;-- =SUM(B6:G6)</v>
      </c>
      <c r="D13" s="60"/>
      <c r="E13" s="60"/>
      <c r="F13" s="60"/>
      <c r="G13" s="60"/>
    </row>
    <row r="14" spans="1:8" x14ac:dyDescent="0.2">
      <c r="B14" s="71">
        <f>B5+NPV(B2,C5:G5)</f>
        <v>-285.30875271771538</v>
      </c>
      <c r="C14" s="60" t="str">
        <f ca="1">getformula(B14)</f>
        <v>&lt;-- =B5+NPV(B2,C5:G5)</v>
      </c>
      <c r="D14" s="60"/>
      <c r="E14" s="60"/>
      <c r="F14" s="60"/>
      <c r="G14" s="60"/>
    </row>
    <row r="15" spans="1:8" x14ac:dyDescent="0.2">
      <c r="B15" s="60"/>
      <c r="C15" s="60"/>
      <c r="D15" s="60"/>
      <c r="E15" s="60"/>
      <c r="F15" s="60"/>
      <c r="G15" s="60"/>
    </row>
    <row r="16" spans="1:8" x14ac:dyDescent="0.2">
      <c r="B16" s="60"/>
      <c r="C16" s="60"/>
      <c r="D16" s="60"/>
      <c r="E16" s="60"/>
      <c r="F16" s="60"/>
      <c r="G16" s="60"/>
    </row>
    <row r="17" spans="2:7" x14ac:dyDescent="0.2">
      <c r="B17" s="60"/>
      <c r="C17" s="60"/>
      <c r="D17" s="60"/>
      <c r="E17" s="60"/>
      <c r="F17" s="60"/>
      <c r="G17" s="60"/>
    </row>
    <row r="18" spans="2:7" x14ac:dyDescent="0.2">
      <c r="B18" s="60"/>
      <c r="C18" s="60"/>
      <c r="D18" s="60"/>
      <c r="E18" s="60"/>
      <c r="F18" s="60"/>
      <c r="G18" s="60"/>
    </row>
    <row r="19" spans="2:7" x14ac:dyDescent="0.2">
      <c r="B19" s="60"/>
      <c r="C19" s="60"/>
      <c r="D19" s="60"/>
      <c r="E19" s="60"/>
      <c r="F19" s="60"/>
      <c r="G19" s="60"/>
    </row>
    <row r="20" spans="2:7" x14ac:dyDescent="0.2">
      <c r="B20" s="60"/>
      <c r="C20" s="60"/>
      <c r="D20" s="60"/>
      <c r="E20" s="60"/>
      <c r="F20" s="60"/>
      <c r="G20" s="60"/>
    </row>
    <row r="21" spans="2:7" x14ac:dyDescent="0.2">
      <c r="B21" s="60"/>
      <c r="C21" s="60"/>
      <c r="D21" s="60"/>
      <c r="E21" s="60"/>
      <c r="F21" s="60"/>
      <c r="G21" s="60"/>
    </row>
  </sheetData>
  <mergeCells count="1">
    <mergeCell ref="A1:H1"/>
  </mergeCells>
  <printOptions headings="1" gridLines="1"/>
  <pageMargins left="0.7" right="0.7" top="0.75" bottom="0.75" header="0.3" footer="0.3"/>
  <pageSetup orientation="portrait" verticalDpi="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1"/>
  <sheetViews>
    <sheetView workbookViewId="0">
      <selection sqref="A1:H14"/>
    </sheetView>
  </sheetViews>
  <sheetFormatPr defaultColWidth="9" defaultRowHeight="14.25" x14ac:dyDescent="0.2"/>
  <cols>
    <col min="1" max="1" width="14" style="51" bestFit="1" customWidth="1"/>
    <col min="2" max="2" width="9.7109375" style="51" customWidth="1"/>
    <col min="3" max="7" width="9" style="51"/>
    <col min="8" max="8" width="19.7109375" style="51" bestFit="1" customWidth="1"/>
    <col min="9" max="16384" width="9" style="51"/>
  </cols>
  <sheetData>
    <row r="1" spans="1:8" ht="18" x14ac:dyDescent="0.25">
      <c r="A1" s="84" t="s">
        <v>11</v>
      </c>
      <c r="B1" s="84"/>
      <c r="C1" s="84"/>
      <c r="D1" s="84"/>
      <c r="E1" s="84"/>
      <c r="F1" s="84"/>
      <c r="G1" s="84"/>
      <c r="H1" s="84"/>
    </row>
    <row r="2" spans="1:8" x14ac:dyDescent="0.2">
      <c r="A2" s="51" t="s">
        <v>14</v>
      </c>
      <c r="B2" s="66">
        <v>0.06</v>
      </c>
    </row>
    <row r="4" spans="1:8" s="69" customFormat="1" ht="15" x14ac:dyDescent="0.25">
      <c r="A4" s="69" t="s">
        <v>13</v>
      </c>
      <c r="B4" s="50">
        <v>0</v>
      </c>
      <c r="C4" s="50">
        <v>1</v>
      </c>
      <c r="D4" s="50">
        <v>2</v>
      </c>
      <c r="E4" s="50">
        <v>3</v>
      </c>
      <c r="F4" s="50">
        <v>4</v>
      </c>
      <c r="G4" s="50">
        <v>5</v>
      </c>
    </row>
    <row r="5" spans="1:8" x14ac:dyDescent="0.2">
      <c r="A5" s="51" t="s">
        <v>55</v>
      </c>
      <c r="B5" s="71">
        <v>-1000</v>
      </c>
      <c r="C5" s="60">
        <v>100</v>
      </c>
      <c r="D5" s="60">
        <v>200</v>
      </c>
      <c r="E5" s="60">
        <v>300</v>
      </c>
      <c r="F5" s="60">
        <v>400</v>
      </c>
      <c r="G5" s="60">
        <v>500</v>
      </c>
    </row>
    <row r="6" spans="1:8" x14ac:dyDescent="0.2">
      <c r="A6" s="51" t="s">
        <v>90</v>
      </c>
      <c r="B6" s="60">
        <f>B5/(1+$B$2)^B4</f>
        <v>-1000</v>
      </c>
      <c r="C6" s="60">
        <f t="shared" ref="C6:G6" si="0">C5/(1+$B$2)^C4</f>
        <v>94.339622641509436</v>
      </c>
      <c r="D6" s="60">
        <f t="shared" si="0"/>
        <v>177.99928800284798</v>
      </c>
      <c r="E6" s="60">
        <f t="shared" si="0"/>
        <v>251.8857849096905</v>
      </c>
      <c r="F6" s="60">
        <f t="shared" si="0"/>
        <v>316.83746529520818</v>
      </c>
      <c r="G6" s="60">
        <f t="shared" si="0"/>
        <v>373.62908643302842</v>
      </c>
      <c r="H6" s="51" t="str">
        <f ca="1">getformula(G6)</f>
        <v>&lt;-- =G5/(1+$B$2)^G4</v>
      </c>
    </row>
    <row r="7" spans="1:8" x14ac:dyDescent="0.2">
      <c r="B7" s="60"/>
      <c r="C7" s="60"/>
      <c r="D7" s="60"/>
      <c r="E7" s="60"/>
      <c r="F7" s="60"/>
      <c r="G7" s="60"/>
    </row>
    <row r="8" spans="1:8" ht="15" x14ac:dyDescent="0.25">
      <c r="A8" s="69" t="s">
        <v>91</v>
      </c>
      <c r="B8" s="70"/>
      <c r="C8" s="70"/>
      <c r="D8" s="70"/>
      <c r="E8" s="60"/>
      <c r="F8" s="60"/>
      <c r="G8" s="60"/>
    </row>
    <row r="9" spans="1:8" x14ac:dyDescent="0.2">
      <c r="B9" s="60">
        <f>SUM(C6:G6)</f>
        <v>1214.6912472822846</v>
      </c>
      <c r="C9" s="60" t="str">
        <f ca="1">getformula(B9)</f>
        <v>&lt;-- =SUM(C6:G6)</v>
      </c>
      <c r="D9" s="60"/>
      <c r="E9" s="60"/>
      <c r="F9" s="60"/>
      <c r="G9" s="60"/>
    </row>
    <row r="10" spans="1:8" x14ac:dyDescent="0.2">
      <c r="B10" s="60">
        <f>NPV(B2,C5:G5)</f>
        <v>1214.6912472822846</v>
      </c>
      <c r="C10" s="60" t="str">
        <f ca="1">getformula(B10)</f>
        <v>&lt;-- =NPV(B2,C5:G5)</v>
      </c>
      <c r="D10" s="60"/>
      <c r="E10" s="60"/>
      <c r="F10" s="60"/>
      <c r="G10" s="60"/>
    </row>
    <row r="11" spans="1:8" x14ac:dyDescent="0.2">
      <c r="B11" s="60"/>
      <c r="C11" s="60"/>
      <c r="D11" s="60"/>
      <c r="E11" s="60"/>
      <c r="F11" s="60"/>
      <c r="G11" s="60"/>
    </row>
    <row r="12" spans="1:8" ht="15" x14ac:dyDescent="0.25">
      <c r="A12" s="69" t="s">
        <v>92</v>
      </c>
      <c r="B12" s="70"/>
      <c r="C12" s="70"/>
      <c r="D12" s="70"/>
      <c r="E12" s="60"/>
      <c r="F12" s="60"/>
      <c r="G12" s="60"/>
    </row>
    <row r="13" spans="1:8" x14ac:dyDescent="0.2">
      <c r="B13" s="71">
        <f>SUM(B6:G6)</f>
        <v>214.69124728228451</v>
      </c>
      <c r="C13" s="60" t="str">
        <f ca="1">getformula(B13)</f>
        <v>&lt;-- =SUM(B6:G6)</v>
      </c>
      <c r="D13" s="60"/>
      <c r="E13" s="60"/>
      <c r="F13" s="60"/>
      <c r="G13" s="60"/>
    </row>
    <row r="14" spans="1:8" x14ac:dyDescent="0.2">
      <c r="B14" s="71">
        <f>B5+NPV(B2,C5:G5)</f>
        <v>214.69124728228462</v>
      </c>
      <c r="C14" s="60" t="str">
        <f ca="1">getformula(B14)</f>
        <v>&lt;-- =B5+NPV(B2,C5:G5)</v>
      </c>
      <c r="D14" s="60"/>
      <c r="E14" s="60"/>
      <c r="F14" s="60"/>
      <c r="G14" s="60"/>
    </row>
    <row r="15" spans="1:8" x14ac:dyDescent="0.2">
      <c r="B15" s="60"/>
      <c r="C15" s="60"/>
      <c r="D15" s="60"/>
      <c r="E15" s="60"/>
      <c r="F15" s="60"/>
      <c r="G15" s="60"/>
    </row>
    <row r="16" spans="1:8" x14ac:dyDescent="0.2">
      <c r="B16" s="60"/>
      <c r="C16" s="60"/>
      <c r="D16" s="60"/>
      <c r="E16" s="60"/>
      <c r="F16" s="60"/>
      <c r="G16" s="60"/>
    </row>
    <row r="17" spans="2:7" x14ac:dyDescent="0.2">
      <c r="B17" s="60"/>
      <c r="C17" s="60"/>
      <c r="D17" s="60"/>
      <c r="E17" s="60"/>
      <c r="F17" s="60"/>
      <c r="G17" s="60"/>
    </row>
    <row r="18" spans="2:7" x14ac:dyDescent="0.2">
      <c r="B18" s="60"/>
      <c r="C18" s="60"/>
      <c r="D18" s="60"/>
      <c r="E18" s="60"/>
      <c r="F18" s="60"/>
      <c r="G18" s="60"/>
    </row>
    <row r="19" spans="2:7" x14ac:dyDescent="0.2">
      <c r="B19" s="60"/>
      <c r="C19" s="60"/>
      <c r="D19" s="60"/>
      <c r="E19" s="60"/>
      <c r="F19" s="60"/>
      <c r="G19" s="60"/>
    </row>
    <row r="20" spans="2:7" x14ac:dyDescent="0.2">
      <c r="B20" s="60"/>
      <c r="C20" s="60"/>
      <c r="D20" s="60"/>
      <c r="E20" s="60"/>
      <c r="F20" s="60"/>
      <c r="G20" s="60"/>
    </row>
    <row r="21" spans="2:7" x14ac:dyDescent="0.2">
      <c r="B21" s="60"/>
      <c r="C21" s="60"/>
      <c r="D21" s="60"/>
      <c r="E21" s="60"/>
      <c r="F21" s="60"/>
      <c r="G21" s="60"/>
    </row>
  </sheetData>
  <mergeCells count="1">
    <mergeCell ref="A1:H1"/>
  </mergeCells>
  <printOptions headings="1" gridLines="1"/>
  <pageMargins left="0.7" right="0.7" top="0.75" bottom="0.75" header="0.3" footer="0.3"/>
  <pageSetup orientation="portrait" verticalDpi="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14"/>
  <sheetViews>
    <sheetView workbookViewId="0">
      <selection activeCell="A15" sqref="A15"/>
    </sheetView>
  </sheetViews>
  <sheetFormatPr defaultRowHeight="12.75" x14ac:dyDescent="0.2"/>
  <cols>
    <col min="1" max="1" width="16.28515625" customWidth="1"/>
    <col min="2" max="2" width="11.42578125" customWidth="1"/>
    <col min="3" max="3" width="14.140625" customWidth="1"/>
    <col min="4" max="4" width="22.7109375" customWidth="1"/>
  </cols>
  <sheetData>
    <row r="1" spans="1:4" ht="15.75" x14ac:dyDescent="0.2">
      <c r="A1" s="85" t="s">
        <v>15</v>
      </c>
      <c r="B1" s="85"/>
      <c r="C1" s="85"/>
      <c r="D1" s="85"/>
    </row>
    <row r="2" spans="1:4" x14ac:dyDescent="0.2">
      <c r="A2" s="16" t="s">
        <v>16</v>
      </c>
      <c r="B2" s="11">
        <v>0.05</v>
      </c>
    </row>
    <row r="4" spans="1:4" x14ac:dyDescent="0.2">
      <c r="A4" s="8" t="s">
        <v>13</v>
      </c>
      <c r="B4" s="8" t="s">
        <v>17</v>
      </c>
      <c r="C4" s="2" t="s">
        <v>90</v>
      </c>
    </row>
    <row r="5" spans="1:4" x14ac:dyDescent="0.2">
      <c r="A5" s="1">
        <v>0</v>
      </c>
      <c r="B5">
        <v>-800</v>
      </c>
      <c r="C5" s="13">
        <f>B5/(1+$B$2)^A5</f>
        <v>-800</v>
      </c>
      <c r="D5" t="e">
        <f ca="1">"&lt;-- "&amp;_xlfn.FORMULATEXT(C5)</f>
        <v>#NAME?</v>
      </c>
    </row>
    <row r="6" spans="1:4" x14ac:dyDescent="0.2">
      <c r="A6" s="1">
        <v>1</v>
      </c>
      <c r="B6">
        <v>100</v>
      </c>
      <c r="C6" s="13">
        <f t="shared" ref="C6:C10" si="0">B6/(1+$B$2)^A6</f>
        <v>95.238095238095241</v>
      </c>
      <c r="D6" t="e">
        <f ca="1">"&lt;-- "&amp;_xlfn.FORMULATEXT(C6)</f>
        <v>#NAME?</v>
      </c>
    </row>
    <row r="7" spans="1:4" x14ac:dyDescent="0.2">
      <c r="A7" s="1">
        <v>2</v>
      </c>
      <c r="B7">
        <v>150</v>
      </c>
      <c r="C7" s="13">
        <f t="shared" si="0"/>
        <v>136.05442176870747</v>
      </c>
    </row>
    <row r="8" spans="1:4" x14ac:dyDescent="0.2">
      <c r="A8" s="1">
        <v>3</v>
      </c>
      <c r="B8">
        <v>200</v>
      </c>
      <c r="C8" s="13">
        <f t="shared" si="0"/>
        <v>172.76751970629519</v>
      </c>
    </row>
    <row r="9" spans="1:4" x14ac:dyDescent="0.2">
      <c r="A9" s="1">
        <v>4</v>
      </c>
      <c r="B9">
        <v>250</v>
      </c>
      <c r="C9" s="13">
        <f t="shared" si="0"/>
        <v>205.67561869797049</v>
      </c>
    </row>
    <row r="10" spans="1:4" x14ac:dyDescent="0.2">
      <c r="A10" s="1">
        <v>5</v>
      </c>
      <c r="B10">
        <v>300</v>
      </c>
      <c r="C10" s="13">
        <f t="shared" si="0"/>
        <v>235.05784994053769</v>
      </c>
    </row>
    <row r="12" spans="1:4" x14ac:dyDescent="0.2">
      <c r="A12" s="12" t="s">
        <v>6</v>
      </c>
    </row>
    <row r="13" spans="1:4" x14ac:dyDescent="0.2">
      <c r="A13" s="17" t="s">
        <v>18</v>
      </c>
      <c r="B13" s="18"/>
      <c r="C13" s="19">
        <f>SUM(C5:C10)</f>
        <v>44.793505351606001</v>
      </c>
      <c r="D13" t="e">
        <f ca="1">"&lt;-- "&amp;_xlfn.FORMULATEXT(C13)</f>
        <v>#NAME?</v>
      </c>
    </row>
    <row r="14" spans="1:4" x14ac:dyDescent="0.2">
      <c r="A14" s="17" t="s">
        <v>115</v>
      </c>
      <c r="B14" s="18"/>
      <c r="C14" s="19">
        <f>B5+NPV(B2,B6:B10)</f>
        <v>44.793505351606086</v>
      </c>
      <c r="D14" t="e">
        <f ca="1">"&lt;-- "&amp;_xlfn.FORMULATEXT(C14)</f>
        <v>#NAME?</v>
      </c>
    </row>
  </sheetData>
  <mergeCells count="1">
    <mergeCell ref="A1:D1"/>
  </mergeCells>
  <printOptions headings="1" gridLines="1"/>
  <pageMargins left="0.7" right="0.7" top="0.75" bottom="0.75" header="0.3" footer="0.3"/>
  <pageSetup orientation="portrait" verticalDpi="4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33"/>
  <sheetViews>
    <sheetView topLeftCell="A13" workbookViewId="0">
      <selection activeCell="I33" sqref="I33"/>
    </sheetView>
  </sheetViews>
  <sheetFormatPr defaultRowHeight="12.75" x14ac:dyDescent="0.2"/>
  <cols>
    <col min="1" max="1" width="16.28515625" customWidth="1"/>
    <col min="2" max="2" width="11.42578125" customWidth="1"/>
    <col min="3" max="3" width="14.140625" customWidth="1"/>
    <col min="4" max="4" width="22.7109375" customWidth="1"/>
  </cols>
  <sheetData>
    <row r="1" spans="1:4" ht="15.75" x14ac:dyDescent="0.2">
      <c r="A1" s="85" t="s">
        <v>15</v>
      </c>
      <c r="B1" s="85"/>
      <c r="C1" s="85"/>
      <c r="D1" s="85"/>
    </row>
    <row r="2" spans="1:4" x14ac:dyDescent="0.2">
      <c r="A2" s="16" t="s">
        <v>16</v>
      </c>
      <c r="B2" s="11">
        <v>0.05</v>
      </c>
    </row>
    <row r="4" spans="1:4" x14ac:dyDescent="0.2">
      <c r="A4" s="8" t="s">
        <v>13</v>
      </c>
      <c r="B4" s="8" t="s">
        <v>17</v>
      </c>
      <c r="C4" s="2" t="s">
        <v>90</v>
      </c>
    </row>
    <row r="5" spans="1:4" x14ac:dyDescent="0.2">
      <c r="A5" s="1">
        <v>0</v>
      </c>
      <c r="B5">
        <v>-800</v>
      </c>
      <c r="C5" s="13">
        <f>B5/(1+$B$2)^A5</f>
        <v>-800</v>
      </c>
      <c r="D5" t="e">
        <f ca="1">"&lt;-- "&amp;_xlfn.FORMULATEXT(C5)</f>
        <v>#NAME?</v>
      </c>
    </row>
    <row r="6" spans="1:4" x14ac:dyDescent="0.2">
      <c r="A6" s="1">
        <v>1</v>
      </c>
      <c r="B6">
        <v>100</v>
      </c>
      <c r="C6" s="13">
        <f t="shared" ref="C6:C10" si="0">B6/(1+$B$2)^A6</f>
        <v>95.238095238095241</v>
      </c>
      <c r="D6" t="e">
        <f ca="1">"&lt;-- "&amp;_xlfn.FORMULATEXT(C6)</f>
        <v>#NAME?</v>
      </c>
    </row>
    <row r="7" spans="1:4" x14ac:dyDescent="0.2">
      <c r="A7" s="1">
        <v>2</v>
      </c>
      <c r="B7">
        <v>150</v>
      </c>
      <c r="C7" s="13">
        <f t="shared" si="0"/>
        <v>136.05442176870747</v>
      </c>
    </row>
    <row r="8" spans="1:4" x14ac:dyDescent="0.2">
      <c r="A8" s="1">
        <v>3</v>
      </c>
      <c r="B8">
        <v>200</v>
      </c>
      <c r="C8" s="13">
        <f t="shared" si="0"/>
        <v>172.76751970629519</v>
      </c>
    </row>
    <row r="9" spans="1:4" x14ac:dyDescent="0.2">
      <c r="A9" s="1">
        <v>4</v>
      </c>
      <c r="B9">
        <v>250</v>
      </c>
      <c r="C9" s="13">
        <f t="shared" si="0"/>
        <v>205.67561869797049</v>
      </c>
    </row>
    <row r="10" spans="1:4" x14ac:dyDescent="0.2">
      <c r="A10" s="1">
        <v>5</v>
      </c>
      <c r="B10">
        <v>300</v>
      </c>
      <c r="C10" s="13">
        <f t="shared" si="0"/>
        <v>235.05784994053769</v>
      </c>
    </row>
    <row r="12" spans="1:4" x14ac:dyDescent="0.2">
      <c r="A12" s="12" t="s">
        <v>6</v>
      </c>
    </row>
    <row r="13" spans="1:4" x14ac:dyDescent="0.2">
      <c r="A13" s="17" t="s">
        <v>18</v>
      </c>
      <c r="B13" s="18"/>
      <c r="C13" s="19">
        <f>SUM(C5:C10)</f>
        <v>44.793505351606001</v>
      </c>
      <c r="D13" t="e">
        <f ca="1">"&lt;-- "&amp;_xlfn.FORMULATEXT(C13)</f>
        <v>#NAME?</v>
      </c>
    </row>
    <row r="14" spans="1:4" x14ac:dyDescent="0.2">
      <c r="A14" s="17" t="s">
        <v>115</v>
      </c>
      <c r="B14" s="18"/>
      <c r="C14" s="19">
        <f>B5+NPV(B2,B6:B10)</f>
        <v>44.793505351606086</v>
      </c>
      <c r="D14" t="e">
        <f ca="1">"&lt;-- "&amp;_xlfn.FORMULATEXT(C14)</f>
        <v>#NAME?</v>
      </c>
    </row>
    <row r="16" spans="1:4" x14ac:dyDescent="0.2">
      <c r="A16" s="12" t="s">
        <v>21</v>
      </c>
      <c r="B16" s="12" t="s">
        <v>6</v>
      </c>
    </row>
    <row r="17" spans="1:3" x14ac:dyDescent="0.2">
      <c r="A17" s="11">
        <v>0</v>
      </c>
      <c r="B17" s="13">
        <f>NPV(A17,$B$6:$B$10)+$B$5</f>
        <v>200</v>
      </c>
      <c r="C17" t="str">
        <f ca="1">getformula(B17)</f>
        <v>&lt;-- =NPV(A17,$B$6:$B$10)+$B$5</v>
      </c>
    </row>
    <row r="18" spans="1:3" x14ac:dyDescent="0.2">
      <c r="A18" s="11">
        <v>0.01</v>
      </c>
      <c r="B18" s="13">
        <f>NPV(A18,$B$6:$B$10)+$B$5</f>
        <v>165.85713038939468</v>
      </c>
      <c r="C18" t="str">
        <f t="shared" ref="C18:C19" ca="1" si="1">getformula(B18)</f>
        <v>&lt;-- =NPV(A18,$B$6:$B$10)+$B$5</v>
      </c>
    </row>
    <row r="19" spans="1:3" x14ac:dyDescent="0.2">
      <c r="A19" s="11">
        <v>0.02</v>
      </c>
      <c r="B19" s="13">
        <f t="shared" ref="B19:B33" si="2">NPV(A19,$B$6:$B$10)+$B$5</f>
        <v>133.35959923698465</v>
      </c>
      <c r="C19" t="str">
        <f t="shared" ca="1" si="1"/>
        <v>&lt;-- =NPV(A19,$B$6:$B$10)+$B$5</v>
      </c>
    </row>
    <row r="20" spans="1:3" x14ac:dyDescent="0.2">
      <c r="A20" s="11">
        <v>0.03</v>
      </c>
      <c r="B20" s="13">
        <f t="shared" si="2"/>
        <v>102.40949417564309</v>
      </c>
    </row>
    <row r="21" spans="1:3" x14ac:dyDescent="0.2">
      <c r="A21" s="11">
        <v>0.04</v>
      </c>
      <c r="B21" s="13">
        <f t="shared" si="2"/>
        <v>72.915729625928861</v>
      </c>
    </row>
    <row r="22" spans="1:3" x14ac:dyDescent="0.2">
      <c r="A22" s="11">
        <v>0.05</v>
      </c>
      <c r="B22" s="13">
        <f t="shared" si="2"/>
        <v>44.793505351606086</v>
      </c>
    </row>
    <row r="23" spans="1:3" x14ac:dyDescent="0.2">
      <c r="A23" s="11">
        <v>0.06</v>
      </c>
      <c r="B23" s="13">
        <f t="shared" si="2"/>
        <v>17.963812919427937</v>
      </c>
    </row>
    <row r="24" spans="1:3" x14ac:dyDescent="0.2">
      <c r="A24" s="11">
        <v>7.0000000000000007E-2</v>
      </c>
      <c r="B24" s="13">
        <f t="shared" si="2"/>
        <v>-7.6470145986324951</v>
      </c>
    </row>
    <row r="25" spans="1:3" x14ac:dyDescent="0.2">
      <c r="A25" s="11">
        <v>0.08</v>
      </c>
      <c r="B25" s="13">
        <f t="shared" si="2"/>
        <v>-32.107713848866752</v>
      </c>
    </row>
    <row r="26" spans="1:3" x14ac:dyDescent="0.2">
      <c r="A26" s="11">
        <v>0.09</v>
      </c>
      <c r="B26" s="13">
        <f t="shared" si="2"/>
        <v>-55.482467075945578</v>
      </c>
    </row>
    <row r="27" spans="1:3" x14ac:dyDescent="0.2">
      <c r="A27" s="11">
        <v>0.1</v>
      </c>
      <c r="B27" s="13">
        <f t="shared" si="2"/>
        <v>-77.831246002819171</v>
      </c>
    </row>
    <row r="28" spans="1:3" x14ac:dyDescent="0.2">
      <c r="A28" s="11">
        <v>0.11</v>
      </c>
      <c r="B28" s="13">
        <f t="shared" si="2"/>
        <v>-99.210126709294059</v>
      </c>
    </row>
    <row r="29" spans="1:3" x14ac:dyDescent="0.2">
      <c r="A29" s="11">
        <v>0.12</v>
      </c>
      <c r="B29" s="13">
        <f t="shared" si="2"/>
        <v>-119.671578202163</v>
      </c>
    </row>
    <row r="30" spans="1:3" x14ac:dyDescent="0.2">
      <c r="A30" s="11">
        <v>0.13</v>
      </c>
      <c r="B30" s="13">
        <f t="shared" si="2"/>
        <v>-139.26472709747384</v>
      </c>
    </row>
    <row r="31" spans="1:3" x14ac:dyDescent="0.2">
      <c r="A31" s="11">
        <v>0.14000000000000001</v>
      </c>
      <c r="B31" s="13">
        <f t="shared" si="2"/>
        <v>-158.03560059294614</v>
      </c>
    </row>
    <row r="32" spans="1:3" x14ac:dyDescent="0.2">
      <c r="A32" s="11">
        <v>0.15</v>
      </c>
      <c r="B32" s="13">
        <f t="shared" si="2"/>
        <v>-176.02734969220865</v>
      </c>
    </row>
    <row r="33" spans="1:2" x14ac:dyDescent="0.2">
      <c r="A33" s="11">
        <v>0.16</v>
      </c>
      <c r="B33" s="13">
        <f t="shared" si="2"/>
        <v>-193.28045444943132</v>
      </c>
    </row>
  </sheetData>
  <mergeCells count="1">
    <mergeCell ref="A1:D1"/>
  </mergeCells>
  <printOptions headings="1" gridLines="1"/>
  <pageMargins left="0.7" right="0.7" top="0.75" bottom="0.75" header="0.3" footer="0.3"/>
  <pageSetup orientation="portrait" verticalDpi="4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1"/>
  <sheetViews>
    <sheetView workbookViewId="0">
      <selection activeCell="I19" sqref="I19"/>
    </sheetView>
  </sheetViews>
  <sheetFormatPr defaultRowHeight="12.75" x14ac:dyDescent="0.2"/>
  <cols>
    <col min="3" max="3" width="27.5703125" bestFit="1" customWidth="1"/>
  </cols>
  <sheetData>
    <row r="1" spans="1:7" ht="18" x14ac:dyDescent="0.25">
      <c r="A1" s="84" t="s">
        <v>19</v>
      </c>
      <c r="B1" s="84"/>
      <c r="C1" s="84"/>
      <c r="D1" s="84"/>
      <c r="E1" s="84"/>
      <c r="F1" s="84"/>
      <c r="G1" s="84"/>
    </row>
    <row r="2" spans="1:7" x14ac:dyDescent="0.2">
      <c r="A2" s="8" t="s">
        <v>13</v>
      </c>
      <c r="B2" s="8" t="s">
        <v>17</v>
      </c>
    </row>
    <row r="3" spans="1:7" x14ac:dyDescent="0.2">
      <c r="A3" s="1">
        <v>0</v>
      </c>
      <c r="B3">
        <v>-800</v>
      </c>
    </row>
    <row r="4" spans="1:7" x14ac:dyDescent="0.2">
      <c r="A4" s="1">
        <v>1</v>
      </c>
      <c r="B4">
        <v>100</v>
      </c>
    </row>
    <row r="5" spans="1:7" x14ac:dyDescent="0.2">
      <c r="A5" s="1">
        <v>2</v>
      </c>
      <c r="B5">
        <v>150</v>
      </c>
    </row>
    <row r="6" spans="1:7" x14ac:dyDescent="0.2">
      <c r="A6" s="1">
        <v>3</v>
      </c>
      <c r="B6">
        <v>200</v>
      </c>
    </row>
    <row r="7" spans="1:7" x14ac:dyDescent="0.2">
      <c r="A7" s="1">
        <v>4</v>
      </c>
      <c r="B7">
        <v>250</v>
      </c>
    </row>
    <row r="8" spans="1:7" x14ac:dyDescent="0.2">
      <c r="A8" s="1">
        <v>5</v>
      </c>
      <c r="B8">
        <v>300</v>
      </c>
    </row>
    <row r="10" spans="1:7" x14ac:dyDescent="0.2">
      <c r="A10" s="18" t="s">
        <v>12</v>
      </c>
      <c r="B10" s="21">
        <f>IRR(B3:B8)</f>
        <v>6.6965490735638511E-2</v>
      </c>
      <c r="C10" s="18" t="str">
        <f ca="1">getformula(B10)</f>
        <v>&lt;-- =IRR(B3:B8)</v>
      </c>
    </row>
    <row r="11" spans="1:7" x14ac:dyDescent="0.2">
      <c r="A11" s="23" t="s">
        <v>20</v>
      </c>
      <c r="B11" s="22"/>
      <c r="C11" s="22"/>
    </row>
    <row r="12" spans="1:7" x14ac:dyDescent="0.2">
      <c r="A12" s="18"/>
      <c r="B12" s="19">
        <f>B3+NPV(B10,B4:B8)</f>
        <v>0</v>
      </c>
      <c r="C12" s="18" t="e">
        <f ca="1">"&lt;-- "&amp;_xlfn.FORMULATEXT(B12)</f>
        <v>#NAME?</v>
      </c>
    </row>
    <row r="14" spans="1:7" ht="25.5" x14ac:dyDescent="0.2">
      <c r="A14" s="2" t="s">
        <v>21</v>
      </c>
      <c r="B14" s="2" t="s">
        <v>6</v>
      </c>
    </row>
    <row r="15" spans="1:7" x14ac:dyDescent="0.2">
      <c r="A15" s="3">
        <v>0</v>
      </c>
      <c r="B15" s="13">
        <f>$B$3+NPV(A15,$B$4:$B$8)</f>
        <v>200</v>
      </c>
      <c r="C15" t="str">
        <f ca="1">getformula(B15)</f>
        <v>&lt;-- =$B$3+NPV(A15,$B$4:$B$8)</v>
      </c>
    </row>
    <row r="16" spans="1:7" x14ac:dyDescent="0.2">
      <c r="A16" s="3">
        <v>0.01</v>
      </c>
      <c r="B16" s="13">
        <f t="shared" ref="B16:B31" si="0">$B$3+NPV(A16,$B$4:$B$8)</f>
        <v>165.85713038939468</v>
      </c>
      <c r="C16" t="e">
        <f ca="1">"&lt;-- "&amp;_xlfn.FORMULATEXT(B16)</f>
        <v>#NAME?</v>
      </c>
    </row>
    <row r="17" spans="1:2" x14ac:dyDescent="0.2">
      <c r="A17" s="3">
        <v>0.02</v>
      </c>
      <c r="B17" s="13">
        <f t="shared" si="0"/>
        <v>133.35959923698465</v>
      </c>
    </row>
    <row r="18" spans="1:2" x14ac:dyDescent="0.2">
      <c r="A18" s="3">
        <v>0.03</v>
      </c>
      <c r="B18" s="13">
        <f t="shared" si="0"/>
        <v>102.40949417564309</v>
      </c>
    </row>
    <row r="19" spans="1:2" x14ac:dyDescent="0.2">
      <c r="A19" s="3">
        <v>0.04</v>
      </c>
      <c r="B19" s="13">
        <f t="shared" si="0"/>
        <v>72.915729625928861</v>
      </c>
    </row>
    <row r="20" spans="1:2" x14ac:dyDescent="0.2">
      <c r="A20" s="3">
        <v>0.05</v>
      </c>
      <c r="B20" s="13">
        <f t="shared" si="0"/>
        <v>44.793505351606086</v>
      </c>
    </row>
    <row r="21" spans="1:2" x14ac:dyDescent="0.2">
      <c r="A21" s="3">
        <v>0.06</v>
      </c>
      <c r="B21" s="13">
        <f t="shared" si="0"/>
        <v>17.963812919427937</v>
      </c>
    </row>
    <row r="22" spans="1:2" x14ac:dyDescent="0.2">
      <c r="A22" s="3">
        <v>7.0000000000000007E-2</v>
      </c>
      <c r="B22" s="13">
        <f t="shared" si="0"/>
        <v>-7.6470145986324951</v>
      </c>
    </row>
    <row r="23" spans="1:2" x14ac:dyDescent="0.2">
      <c r="A23" s="3">
        <v>0.08</v>
      </c>
      <c r="B23" s="13">
        <f t="shared" si="0"/>
        <v>-32.107713848866752</v>
      </c>
    </row>
    <row r="24" spans="1:2" x14ac:dyDescent="0.2">
      <c r="A24" s="3">
        <v>0.09</v>
      </c>
      <c r="B24" s="13">
        <f t="shared" si="0"/>
        <v>-55.482467075945578</v>
      </c>
    </row>
    <row r="25" spans="1:2" x14ac:dyDescent="0.2">
      <c r="A25" s="3">
        <v>0.1</v>
      </c>
      <c r="B25" s="13">
        <f t="shared" si="0"/>
        <v>-77.831246002819171</v>
      </c>
    </row>
    <row r="26" spans="1:2" x14ac:dyDescent="0.2">
      <c r="A26" s="3">
        <v>0.11</v>
      </c>
      <c r="B26" s="13">
        <f t="shared" si="0"/>
        <v>-99.210126709294059</v>
      </c>
    </row>
    <row r="27" spans="1:2" x14ac:dyDescent="0.2">
      <c r="A27" s="3">
        <v>0.12</v>
      </c>
      <c r="B27" s="13">
        <f t="shared" si="0"/>
        <v>-119.671578202163</v>
      </c>
    </row>
    <row r="28" spans="1:2" x14ac:dyDescent="0.2">
      <c r="A28" s="3">
        <v>0.13</v>
      </c>
      <c r="B28" s="13">
        <f t="shared" si="0"/>
        <v>-139.26472709747384</v>
      </c>
    </row>
    <row r="29" spans="1:2" x14ac:dyDescent="0.2">
      <c r="A29" s="3">
        <v>0.14000000000000001</v>
      </c>
      <c r="B29" s="13">
        <f t="shared" si="0"/>
        <v>-158.03560059294614</v>
      </c>
    </row>
    <row r="30" spans="1:2" x14ac:dyDescent="0.2">
      <c r="A30" s="3">
        <v>0.15</v>
      </c>
      <c r="B30" s="13">
        <f t="shared" si="0"/>
        <v>-176.02734969220865</v>
      </c>
    </row>
    <row r="31" spans="1:2" x14ac:dyDescent="0.2">
      <c r="A31" s="3">
        <v>0.16</v>
      </c>
      <c r="B31" s="13">
        <f t="shared" si="0"/>
        <v>-193.28045444943132</v>
      </c>
    </row>
  </sheetData>
  <mergeCells count="1">
    <mergeCell ref="A1:G1"/>
  </mergeCells>
  <printOptions headings="1" gridLines="1"/>
  <pageMargins left="0.7" right="0.7" top="0.75" bottom="0.75" header="0.3" footer="0.3"/>
  <pageSetup orientation="portrait" verticalDpi="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11"/>
  <sheetViews>
    <sheetView workbookViewId="0">
      <selection activeCell="B9" sqref="B9"/>
    </sheetView>
  </sheetViews>
  <sheetFormatPr defaultRowHeight="12.75" x14ac:dyDescent="0.2"/>
  <cols>
    <col min="3" max="3" width="27.5703125" customWidth="1"/>
  </cols>
  <sheetData>
    <row r="1" spans="1:7" ht="18" x14ac:dyDescent="0.25">
      <c r="A1" s="84" t="s">
        <v>19</v>
      </c>
      <c r="B1" s="84"/>
      <c r="C1" s="84"/>
      <c r="D1" s="84"/>
      <c r="E1" s="84"/>
      <c r="F1" s="84"/>
      <c r="G1" s="84"/>
    </row>
    <row r="2" spans="1:7" x14ac:dyDescent="0.2">
      <c r="A2" s="8" t="s">
        <v>13</v>
      </c>
      <c r="B2" s="8" t="s">
        <v>17</v>
      </c>
    </row>
    <row r="3" spans="1:7" x14ac:dyDescent="0.2">
      <c r="A3" s="1">
        <v>0</v>
      </c>
      <c r="B3" s="25">
        <v>-1000</v>
      </c>
    </row>
    <row r="4" spans="1:7" x14ac:dyDescent="0.2">
      <c r="A4" s="1">
        <v>1</v>
      </c>
      <c r="B4" s="25">
        <v>300</v>
      </c>
    </row>
    <row r="5" spans="1:7" x14ac:dyDescent="0.2">
      <c r="A5" s="1">
        <v>2</v>
      </c>
      <c r="B5" s="25">
        <v>300</v>
      </c>
    </row>
    <row r="6" spans="1:7" x14ac:dyDescent="0.2">
      <c r="A6" s="1">
        <v>3</v>
      </c>
      <c r="B6" s="25">
        <v>300</v>
      </c>
    </row>
    <row r="7" spans="1:7" x14ac:dyDescent="0.2">
      <c r="A7" s="1">
        <v>4</v>
      </c>
      <c r="B7" s="25">
        <v>300</v>
      </c>
    </row>
    <row r="9" spans="1:7" x14ac:dyDescent="0.2">
      <c r="A9" s="18" t="s">
        <v>12</v>
      </c>
      <c r="B9" s="15">
        <f>IRR(B3:B7)</f>
        <v>7.713847295204368E-2</v>
      </c>
      <c r="C9" s="18" t="str">
        <f ca="1">getformula(B9)</f>
        <v>&lt;-- =IRR(B3:B7)</v>
      </c>
    </row>
    <row r="10" spans="1:7" x14ac:dyDescent="0.2">
      <c r="A10" s="23" t="s">
        <v>20</v>
      </c>
      <c r="B10" s="22"/>
      <c r="C10" s="22"/>
    </row>
    <row r="11" spans="1:7" x14ac:dyDescent="0.2">
      <c r="A11" s="18"/>
      <c r="B11" s="19">
        <f>B3+NPV(B9,B4:B7)</f>
        <v>8.9130480773746967E-11</v>
      </c>
      <c r="C11" s="18" t="e">
        <f ca="1">"&lt;-- "&amp;_xlfn.FORMULATEXT(B11)</f>
        <v>#NAME?</v>
      </c>
    </row>
  </sheetData>
  <mergeCells count="1">
    <mergeCell ref="A1:G1"/>
  </mergeCells>
  <printOptions headings="1" gridLines="1"/>
  <pageMargins left="0.7" right="0.7" top="0.75" bottom="0.75" header="0.3" footer="0.3"/>
  <pageSetup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9"/>
  <sheetViews>
    <sheetView workbookViewId="0">
      <selection activeCell="D6" sqref="D6"/>
    </sheetView>
  </sheetViews>
  <sheetFormatPr defaultRowHeight="12.75" x14ac:dyDescent="0.2"/>
  <cols>
    <col min="2" max="2" width="15.28515625" customWidth="1"/>
    <col min="3" max="3" width="14.42578125" customWidth="1"/>
    <col min="4" max="4" width="14.28515625" bestFit="1" customWidth="1"/>
  </cols>
  <sheetData>
    <row r="1" spans="1:4" ht="35.65" customHeight="1" x14ac:dyDescent="0.2">
      <c r="A1" s="85" t="s">
        <v>22</v>
      </c>
      <c r="B1" s="85"/>
      <c r="C1" s="85"/>
      <c r="D1" s="85"/>
    </row>
    <row r="2" spans="1:4" s="2" customFormat="1" ht="25.5" x14ac:dyDescent="0.2">
      <c r="A2" s="2" t="s">
        <v>13</v>
      </c>
      <c r="B2" s="2" t="s">
        <v>23</v>
      </c>
      <c r="C2" s="2" t="s">
        <v>24</v>
      </c>
    </row>
    <row r="3" spans="1:4" x14ac:dyDescent="0.2">
      <c r="A3" s="1">
        <v>0</v>
      </c>
      <c r="B3" s="25">
        <v>-1000</v>
      </c>
      <c r="C3" s="25">
        <v>-1000</v>
      </c>
    </row>
    <row r="4" spans="1:4" x14ac:dyDescent="0.2">
      <c r="A4" s="1">
        <v>1</v>
      </c>
      <c r="B4">
        <v>450</v>
      </c>
      <c r="C4">
        <v>550</v>
      </c>
    </row>
    <row r="5" spans="1:4" x14ac:dyDescent="0.2">
      <c r="A5" s="1">
        <v>2</v>
      </c>
      <c r="B5">
        <v>425</v>
      </c>
      <c r="C5">
        <v>300</v>
      </c>
    </row>
    <row r="6" spans="1:4" x14ac:dyDescent="0.2">
      <c r="A6" s="1">
        <v>3</v>
      </c>
      <c r="B6">
        <v>350</v>
      </c>
      <c r="C6">
        <v>457</v>
      </c>
    </row>
    <row r="7" spans="1:4" x14ac:dyDescent="0.2">
      <c r="A7" s="1">
        <v>4</v>
      </c>
      <c r="B7">
        <v>450</v>
      </c>
      <c r="C7">
        <v>200</v>
      </c>
    </row>
    <row r="9" spans="1:4" x14ac:dyDescent="0.2">
      <c r="A9" s="26" t="s">
        <v>12</v>
      </c>
      <c r="B9" s="15">
        <f>IRR(B3:B7)</f>
        <v>0.24743976038028581</v>
      </c>
      <c r="C9" s="15">
        <f>IRR(C3:C7)</f>
        <v>0.21650722881765838</v>
      </c>
      <c r="D9" t="e">
        <f ca="1">"&lt;-- "&amp;_xlfn.FORMULATEXT(C9)</f>
        <v>#NAME?</v>
      </c>
    </row>
  </sheetData>
  <mergeCells count="1">
    <mergeCell ref="A1:D1"/>
  </mergeCells>
  <printOptions headings="1" gridLines="1"/>
  <pageMargins left="0.7" right="0.7" top="0.75" bottom="0.75" header="0.3" footer="0.3"/>
  <pageSetup orientation="portrait" verticalDpi="4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15"/>
  <sheetViews>
    <sheetView workbookViewId="0">
      <selection sqref="A1:F11"/>
    </sheetView>
  </sheetViews>
  <sheetFormatPr defaultColWidth="9" defaultRowHeight="12.75" x14ac:dyDescent="0.2"/>
  <cols>
    <col min="1" max="1" width="9.140625" style="29" customWidth="1"/>
    <col min="2" max="2" width="14.28515625" style="28" customWidth="1"/>
    <col min="3" max="3" width="13.85546875" style="28" customWidth="1"/>
    <col min="4" max="4" width="15.85546875" style="28" customWidth="1"/>
    <col min="5" max="5" width="17.7109375" style="28" customWidth="1"/>
    <col min="6" max="16384" width="9" style="28"/>
  </cols>
  <sheetData>
    <row r="1" spans="1:8" ht="18" x14ac:dyDescent="0.25">
      <c r="A1" s="86" t="s">
        <v>25</v>
      </c>
      <c r="B1" s="86"/>
      <c r="C1" s="86"/>
      <c r="D1" s="86"/>
      <c r="E1" s="86"/>
      <c r="F1" s="86"/>
    </row>
    <row r="2" spans="1:8" x14ac:dyDescent="0.2">
      <c r="A2" s="29" t="s">
        <v>12</v>
      </c>
      <c r="B2" s="30">
        <f>IRR({-200,130.91,130.91})</f>
        <v>0.20000572916139281</v>
      </c>
      <c r="C2" s="28" t="str">
        <f ca="1">getformula(B2)</f>
        <v>&lt;-- =IRR({-200,130.91,130.91})</v>
      </c>
    </row>
    <row r="3" spans="1:8" s="31" customFormat="1" ht="51" x14ac:dyDescent="0.2">
      <c r="A3" s="31" t="s">
        <v>13</v>
      </c>
      <c r="B3" s="32" t="s">
        <v>26</v>
      </c>
      <c r="C3" s="32" t="s">
        <v>27</v>
      </c>
      <c r="D3" s="32" t="s">
        <v>28</v>
      </c>
      <c r="E3" s="32" t="s">
        <v>29</v>
      </c>
    </row>
    <row r="4" spans="1:8" x14ac:dyDescent="0.2">
      <c r="A4" s="29">
        <v>1</v>
      </c>
      <c r="B4" s="33">
        <v>200</v>
      </c>
      <c r="C4" s="33">
        <v>130.90899999999999</v>
      </c>
      <c r="D4" s="33">
        <f>$B$2*B4</f>
        <v>40.00114583227856</v>
      </c>
      <c r="E4" s="33">
        <f>C4-D4</f>
        <v>90.907854167721439</v>
      </c>
    </row>
    <row r="5" spans="1:8" x14ac:dyDescent="0.2">
      <c r="A5" s="29">
        <v>2</v>
      </c>
      <c r="B5" s="33">
        <f>B4-E4</f>
        <v>109.09214583227856</v>
      </c>
      <c r="C5" s="33">
        <f>C4</f>
        <v>130.90899999999999</v>
      </c>
      <c r="D5" s="33">
        <f>$B$2*B5</f>
        <v>21.819054172965874</v>
      </c>
      <c r="E5" s="33">
        <f>C5-D5</f>
        <v>109.08994582703411</v>
      </c>
    </row>
    <row r="6" spans="1:8" x14ac:dyDescent="0.2">
      <c r="A6" s="29">
        <v>3</v>
      </c>
      <c r="B6" s="33">
        <f>B5-E5</f>
        <v>2.2000052444468565E-3</v>
      </c>
      <c r="C6" s="33"/>
      <c r="D6" s="33"/>
      <c r="E6" s="33"/>
    </row>
    <row r="8" spans="1:8" x14ac:dyDescent="0.2">
      <c r="A8" s="34" t="str">
        <f ca="1">ggetformula(B5)</f>
        <v>=B4-E4</v>
      </c>
      <c r="D8" s="34" t="str">
        <f ca="1">ggetformula(D4)</f>
        <v>=$B$2*B4</v>
      </c>
      <c r="E8" s="34" t="str">
        <f ca="1">ggetformula(E4)</f>
        <v>=C4-D4</v>
      </c>
    </row>
    <row r="10" spans="1:8" x14ac:dyDescent="0.2">
      <c r="C10" s="34" t="str">
        <f ca="1">ggetformula(B6)</f>
        <v>=B5-E5</v>
      </c>
      <c r="F10" s="34" t="str">
        <f ca="1">ggetformula(E5)</f>
        <v>=C5-D5</v>
      </c>
    </row>
    <row r="11" spans="1:8" x14ac:dyDescent="0.2">
      <c r="E11" s="34" t="str">
        <f ca="1">ggetformula(D5)</f>
        <v>=$B$2*B5</v>
      </c>
    </row>
    <row r="15" spans="1:8" x14ac:dyDescent="0.2">
      <c r="H15" s="35"/>
    </row>
  </sheetData>
  <mergeCells count="1">
    <mergeCell ref="A1:F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2"/>
  <sheetViews>
    <sheetView workbookViewId="0">
      <selection activeCell="I14" sqref="I14"/>
    </sheetView>
  </sheetViews>
  <sheetFormatPr defaultRowHeight="12.75" x14ac:dyDescent="0.2"/>
  <cols>
    <col min="1" max="1" width="13.28515625" bestFit="1" customWidth="1"/>
    <col min="3" max="3" width="9.42578125" bestFit="1" customWidth="1"/>
    <col min="4" max="4" width="24" bestFit="1" customWidth="1"/>
  </cols>
  <sheetData>
    <row r="1" spans="1:4" ht="18" x14ac:dyDescent="0.25">
      <c r="A1" s="84" t="s">
        <v>30</v>
      </c>
      <c r="B1" s="84"/>
      <c r="C1" s="84"/>
      <c r="D1" s="84"/>
    </row>
    <row r="2" spans="1:4" x14ac:dyDescent="0.2">
      <c r="A2" s="16" t="s">
        <v>14</v>
      </c>
      <c r="B2" s="11">
        <v>0.12</v>
      </c>
    </row>
    <row r="4" spans="1:4" x14ac:dyDescent="0.2">
      <c r="A4" s="8" t="s">
        <v>13</v>
      </c>
      <c r="B4" s="8" t="s">
        <v>31</v>
      </c>
      <c r="C4" s="8" t="s">
        <v>32</v>
      </c>
    </row>
    <row r="5" spans="1:4" x14ac:dyDescent="0.2">
      <c r="A5" s="1">
        <v>0</v>
      </c>
      <c r="B5" s="25">
        <v>-1000</v>
      </c>
      <c r="C5" s="25">
        <v>-800</v>
      </c>
    </row>
    <row r="6" spans="1:4" x14ac:dyDescent="0.2">
      <c r="A6" s="1">
        <v>1</v>
      </c>
      <c r="B6" s="25">
        <v>500</v>
      </c>
      <c r="C6" s="25">
        <v>420</v>
      </c>
    </row>
    <row r="7" spans="1:4" x14ac:dyDescent="0.2">
      <c r="A7" s="1">
        <v>2</v>
      </c>
      <c r="B7" s="25">
        <v>500</v>
      </c>
      <c r="C7" s="25">
        <v>420</v>
      </c>
    </row>
    <row r="8" spans="1:4" x14ac:dyDescent="0.2">
      <c r="A8" s="1">
        <v>3</v>
      </c>
      <c r="B8" s="25">
        <v>500</v>
      </c>
      <c r="C8" s="25">
        <v>420</v>
      </c>
    </row>
    <row r="9" spans="1:4" x14ac:dyDescent="0.2">
      <c r="A9" s="1">
        <v>4</v>
      </c>
      <c r="B9" s="25">
        <v>500</v>
      </c>
      <c r="C9" s="25">
        <v>420</v>
      </c>
    </row>
    <row r="10" spans="1:4" x14ac:dyDescent="0.2">
      <c r="A10" s="1">
        <v>5</v>
      </c>
      <c r="B10" s="25">
        <v>500</v>
      </c>
      <c r="C10" s="25">
        <v>420</v>
      </c>
    </row>
    <row r="11" spans="1:4" x14ac:dyDescent="0.2">
      <c r="B11" s="25"/>
      <c r="C11" s="25"/>
    </row>
    <row r="12" spans="1:4" x14ac:dyDescent="0.2">
      <c r="A12" s="26" t="s">
        <v>6</v>
      </c>
      <c r="B12" s="19">
        <f>B5+NPV($B$2,B6:B10)</f>
        <v>802.38810117250205</v>
      </c>
      <c r="C12" s="19">
        <f>C5+NPV($B$2,C6:C10)</f>
        <v>714.00600498490167</v>
      </c>
      <c r="D12" t="str">
        <f ca="1">getformula(C12)</f>
        <v>&lt;-- =C5+NPV($B$2,C6:C10)</v>
      </c>
    </row>
  </sheetData>
  <mergeCells count="1">
    <mergeCell ref="A1:D1"/>
  </mergeCells>
  <printOptions headings="1" gridLines="1"/>
  <pageMargins left="0.7" right="0.7" top="0.75" bottom="0.75" header="0.3" footer="0.3"/>
  <pageSetup orientation="portrait" verticalDpi="4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2"/>
  <sheetViews>
    <sheetView workbookViewId="0">
      <selection sqref="A1:D12"/>
    </sheetView>
  </sheetViews>
  <sheetFormatPr defaultRowHeight="12.75" x14ac:dyDescent="0.2"/>
  <cols>
    <col min="1" max="1" width="13.28515625" bestFit="1" customWidth="1"/>
    <col min="3" max="3" width="9.42578125" bestFit="1" customWidth="1"/>
    <col min="4" max="4" width="24" bestFit="1" customWidth="1"/>
  </cols>
  <sheetData>
    <row r="1" spans="1:4" ht="18" x14ac:dyDescent="0.25">
      <c r="A1" s="84" t="s">
        <v>30</v>
      </c>
      <c r="B1" s="84"/>
      <c r="C1" s="84"/>
      <c r="D1" s="84"/>
    </row>
    <row r="2" spans="1:4" x14ac:dyDescent="0.2">
      <c r="A2" s="16" t="s">
        <v>14</v>
      </c>
      <c r="B2" s="11">
        <v>0.12</v>
      </c>
    </row>
    <row r="4" spans="1:4" x14ac:dyDescent="0.2">
      <c r="A4" s="8" t="s">
        <v>13</v>
      </c>
      <c r="B4" s="8" t="s">
        <v>31</v>
      </c>
      <c r="C4" s="8" t="s">
        <v>32</v>
      </c>
    </row>
    <row r="5" spans="1:4" x14ac:dyDescent="0.2">
      <c r="A5" s="1">
        <v>0</v>
      </c>
      <c r="B5" s="25">
        <v>-1000</v>
      </c>
      <c r="C5" s="25">
        <v>-800</v>
      </c>
    </row>
    <row r="6" spans="1:4" x14ac:dyDescent="0.2">
      <c r="A6" s="1">
        <v>1</v>
      </c>
      <c r="B6" s="25">
        <v>500</v>
      </c>
      <c r="C6" s="25">
        <v>420</v>
      </c>
    </row>
    <row r="7" spans="1:4" x14ac:dyDescent="0.2">
      <c r="A7" s="1">
        <v>2</v>
      </c>
      <c r="B7" s="25">
        <v>500</v>
      </c>
      <c r="C7" s="25">
        <v>420</v>
      </c>
    </row>
    <row r="8" spans="1:4" x14ac:dyDescent="0.2">
      <c r="A8" s="1">
        <v>3</v>
      </c>
      <c r="B8" s="25">
        <v>500</v>
      </c>
      <c r="C8" s="25">
        <v>420</v>
      </c>
    </row>
    <row r="9" spans="1:4" x14ac:dyDescent="0.2">
      <c r="A9" s="1">
        <v>4</v>
      </c>
      <c r="B9" s="25">
        <v>500</v>
      </c>
      <c r="C9" s="25">
        <v>420</v>
      </c>
    </row>
    <row r="10" spans="1:4" x14ac:dyDescent="0.2">
      <c r="A10" s="1">
        <v>5</v>
      </c>
      <c r="B10" s="25">
        <v>500</v>
      </c>
      <c r="C10" s="25">
        <v>420</v>
      </c>
    </row>
    <row r="11" spans="1:4" x14ac:dyDescent="0.2">
      <c r="B11" s="25"/>
      <c r="C11" s="25"/>
    </row>
    <row r="12" spans="1:4" x14ac:dyDescent="0.2">
      <c r="A12" s="26" t="s">
        <v>12</v>
      </c>
      <c r="B12" s="14">
        <f>IRR(B5:B10)</f>
        <v>0.41041496500867924</v>
      </c>
      <c r="C12" s="14">
        <f>IRR(C5:C10)</f>
        <v>0.44029693630616085</v>
      </c>
      <c r="D12" t="str">
        <f ca="1">getformula(C12)</f>
        <v>&lt;-- =IRR(C5:C10)</v>
      </c>
    </row>
  </sheetData>
  <mergeCells count="1">
    <mergeCell ref="A1:D1"/>
  </mergeCells>
  <printOptions headings="1" gridLines="1"/>
  <pageMargins left="0.7" right="0.7" top="0.75" bottom="0.75" header="0.3" footer="0.3"/>
  <pageSetup orientation="portrait" verticalDpi="4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9"/>
  <sheetViews>
    <sheetView workbookViewId="0">
      <selection activeCell="H21" sqref="H21"/>
    </sheetView>
  </sheetViews>
  <sheetFormatPr defaultColWidth="8.85546875" defaultRowHeight="12.75" x14ac:dyDescent="0.2"/>
  <cols>
    <col min="1" max="1" width="21.5703125" style="28" customWidth="1"/>
    <col min="2" max="2" width="11.140625" style="28" customWidth="1"/>
    <col min="3" max="3" width="29.28515625" style="28" customWidth="1"/>
    <col min="4" max="16384" width="8.85546875" style="28"/>
  </cols>
  <sheetData>
    <row r="1" spans="1:3" ht="18" x14ac:dyDescent="0.25">
      <c r="A1" s="87" t="s">
        <v>116</v>
      </c>
      <c r="B1" s="87"/>
      <c r="C1" s="87"/>
    </row>
    <row r="2" spans="1:3" x14ac:dyDescent="0.2">
      <c r="A2" s="28" t="s">
        <v>21</v>
      </c>
      <c r="B2" s="35">
        <v>0.15</v>
      </c>
    </row>
    <row r="4" spans="1:3" x14ac:dyDescent="0.2">
      <c r="A4" s="31" t="s">
        <v>13</v>
      </c>
      <c r="B4" s="31" t="s">
        <v>55</v>
      </c>
    </row>
    <row r="5" spans="1:3" x14ac:dyDescent="0.2">
      <c r="A5" s="29">
        <v>0</v>
      </c>
      <c r="B5" s="77">
        <v>-1000</v>
      </c>
    </row>
    <row r="6" spans="1:3" x14ac:dyDescent="0.2">
      <c r="A6" s="29">
        <v>1</v>
      </c>
      <c r="B6" s="28">
        <v>100</v>
      </c>
    </row>
    <row r="7" spans="1:3" x14ac:dyDescent="0.2">
      <c r="A7" s="29">
        <v>2</v>
      </c>
      <c r="B7" s="28">
        <v>200</v>
      </c>
    </row>
    <row r="8" spans="1:3" x14ac:dyDescent="0.2">
      <c r="A8" s="29">
        <v>3</v>
      </c>
      <c r="B8" s="28">
        <v>300</v>
      </c>
    </row>
    <row r="9" spans="1:3" x14ac:dyDescent="0.2">
      <c r="A9" s="29">
        <v>4</v>
      </c>
      <c r="B9" s="28">
        <v>400</v>
      </c>
    </row>
    <row r="10" spans="1:3" x14ac:dyDescent="0.2">
      <c r="A10" s="29">
        <v>5</v>
      </c>
      <c r="B10" s="28">
        <v>500</v>
      </c>
    </row>
    <row r="11" spans="1:3" x14ac:dyDescent="0.2">
      <c r="A11" s="29">
        <v>6</v>
      </c>
      <c r="B11" s="28">
        <v>600</v>
      </c>
    </row>
    <row r="13" spans="1:3" x14ac:dyDescent="0.2">
      <c r="A13" s="78" t="s">
        <v>117</v>
      </c>
      <c r="B13" s="79">
        <f>NPV(B2,B6:B11)</f>
        <v>1172.1263483613764</v>
      </c>
      <c r="C13" s="28" t="str">
        <f ca="1">getformula(B13)</f>
        <v>&lt;-- =NPV(B2,B6:B11)</v>
      </c>
    </row>
    <row r="14" spans="1:3" x14ac:dyDescent="0.2">
      <c r="A14" s="78" t="s">
        <v>6</v>
      </c>
      <c r="B14" s="79">
        <f>B5+NPV(B2,B6:B11)</f>
        <v>172.12634836137636</v>
      </c>
      <c r="C14" s="28" t="str">
        <f ca="1">getformula(B14)</f>
        <v>&lt;-- =B5+NPV(B2,B6:B11)</v>
      </c>
    </row>
    <row r="15" spans="1:3" x14ac:dyDescent="0.2">
      <c r="A15" s="78" t="s">
        <v>12</v>
      </c>
      <c r="B15" s="80">
        <f>IRR(B5:B11)</f>
        <v>0.19710389330225198</v>
      </c>
      <c r="C15" s="28" t="str">
        <f ca="1">getformula(B15)</f>
        <v>&lt;-- =IRR(B5:B11)</v>
      </c>
    </row>
    <row r="16" spans="1:3" x14ac:dyDescent="0.2">
      <c r="B16" s="39"/>
    </row>
    <row r="18" spans="1:3" ht="25.5" x14ac:dyDescent="0.2">
      <c r="A18" s="32" t="s">
        <v>118</v>
      </c>
      <c r="B18" s="31" t="s">
        <v>6</v>
      </c>
    </row>
    <row r="19" spans="1:3" x14ac:dyDescent="0.2">
      <c r="A19" s="81">
        <v>0</v>
      </c>
      <c r="B19" s="47">
        <f>$B$5+NPV(A19,$B$6:$B$11)</f>
        <v>1100</v>
      </c>
      <c r="C19" s="28" t="str">
        <f ca="1">getformula(B19)</f>
        <v>&lt;-- =$B$5+NPV(A19,$B$6:$B$11)</v>
      </c>
    </row>
    <row r="20" spans="1:3" x14ac:dyDescent="0.2">
      <c r="A20" s="81">
        <v>0.03</v>
      </c>
      <c r="B20" s="47">
        <f t="shared" ref="B20:B29" si="0">$B$5+NPV(A20,$B$6:$B$11)</f>
        <v>849.33882364202555</v>
      </c>
      <c r="C20" s="28" t="str">
        <f ca="1">getformula(B20)</f>
        <v>&lt;-- =$B$5+NPV(A20,$B$6:$B$11)</v>
      </c>
    </row>
    <row r="21" spans="1:3" x14ac:dyDescent="0.2">
      <c r="A21" s="81">
        <v>0.06</v>
      </c>
      <c r="B21" s="47">
        <f t="shared" si="0"/>
        <v>637.66757154609036</v>
      </c>
    </row>
    <row r="22" spans="1:3" x14ac:dyDescent="0.2">
      <c r="A22" s="81">
        <v>0.09</v>
      </c>
      <c r="B22" s="47">
        <f t="shared" si="0"/>
        <v>457.83033564046696</v>
      </c>
    </row>
    <row r="23" spans="1:3" x14ac:dyDescent="0.2">
      <c r="A23" s="81">
        <v>0.12</v>
      </c>
      <c r="B23" s="47">
        <f t="shared" si="0"/>
        <v>304.15789606756607</v>
      </c>
    </row>
    <row r="24" spans="1:3" x14ac:dyDescent="0.2">
      <c r="A24" s="81">
        <v>0.15</v>
      </c>
      <c r="B24" s="47">
        <f t="shared" si="0"/>
        <v>172.12634836137636</v>
      </c>
    </row>
    <row r="25" spans="1:3" x14ac:dyDescent="0.2">
      <c r="A25" s="81">
        <v>0.18</v>
      </c>
      <c r="B25" s="47">
        <f t="shared" si="0"/>
        <v>58.10099215098262</v>
      </c>
    </row>
    <row r="26" spans="1:3" x14ac:dyDescent="0.2">
      <c r="A26" s="81">
        <v>0.21</v>
      </c>
      <c r="B26" s="47">
        <f t="shared" si="0"/>
        <v>-40.857414386805544</v>
      </c>
    </row>
    <row r="27" spans="1:3" x14ac:dyDescent="0.2">
      <c r="A27" s="81">
        <v>0.24</v>
      </c>
      <c r="B27" s="47">
        <f t="shared" si="0"/>
        <v>-127.14037802396456</v>
      </c>
    </row>
    <row r="28" spans="1:3" x14ac:dyDescent="0.2">
      <c r="A28" s="81">
        <v>0.27</v>
      </c>
      <c r="B28" s="47">
        <f t="shared" si="0"/>
        <v>-202.70514763244239</v>
      </c>
    </row>
    <row r="29" spans="1:3" x14ac:dyDescent="0.2">
      <c r="A29" s="81">
        <v>0.3</v>
      </c>
      <c r="B29" s="47">
        <f t="shared" si="0"/>
        <v>-269.16250466923407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"/>
  <sheetViews>
    <sheetView workbookViewId="0">
      <selection activeCell="E21" sqref="E21"/>
    </sheetView>
  </sheetViews>
  <sheetFormatPr defaultRowHeight="12.75" x14ac:dyDescent="0.2"/>
  <cols>
    <col min="1" max="1" width="13.28515625" bestFit="1" customWidth="1"/>
    <col min="2" max="2" width="9.7109375" customWidth="1"/>
    <col min="3" max="3" width="10" customWidth="1"/>
    <col min="4" max="4" width="23.85546875" bestFit="1" customWidth="1"/>
  </cols>
  <sheetData>
    <row r="1" spans="1:4" ht="18" x14ac:dyDescent="0.25">
      <c r="A1" s="84" t="s">
        <v>33</v>
      </c>
      <c r="B1" s="84"/>
      <c r="C1" s="84"/>
      <c r="D1" s="84"/>
    </row>
    <row r="2" spans="1:4" x14ac:dyDescent="0.2">
      <c r="A2" s="16" t="s">
        <v>14</v>
      </c>
      <c r="B2" s="11">
        <v>0.15</v>
      </c>
    </row>
    <row r="4" spans="1:4" x14ac:dyDescent="0.2">
      <c r="A4" s="8" t="s">
        <v>13</v>
      </c>
      <c r="B4" s="12" t="s">
        <v>31</v>
      </c>
      <c r="C4" s="12" t="s">
        <v>32</v>
      </c>
    </row>
    <row r="5" spans="1:4" x14ac:dyDescent="0.2">
      <c r="A5" s="1">
        <v>0</v>
      </c>
      <c r="B5">
        <v>-500</v>
      </c>
      <c r="C5">
        <v>-500</v>
      </c>
    </row>
    <row r="6" spans="1:4" x14ac:dyDescent="0.2">
      <c r="A6" s="1">
        <v>1</v>
      </c>
      <c r="B6">
        <v>100</v>
      </c>
      <c r="C6">
        <v>250</v>
      </c>
    </row>
    <row r="7" spans="1:4" x14ac:dyDescent="0.2">
      <c r="A7" s="1">
        <v>2</v>
      </c>
      <c r="B7">
        <v>100</v>
      </c>
      <c r="C7">
        <v>250</v>
      </c>
    </row>
    <row r="8" spans="1:4" x14ac:dyDescent="0.2">
      <c r="A8" s="1">
        <v>3</v>
      </c>
      <c r="B8">
        <v>150</v>
      </c>
      <c r="C8">
        <v>200</v>
      </c>
    </row>
    <row r="9" spans="1:4" x14ac:dyDescent="0.2">
      <c r="A9" s="1">
        <v>4</v>
      </c>
      <c r="B9">
        <v>200</v>
      </c>
      <c r="C9">
        <v>100</v>
      </c>
    </row>
    <row r="10" spans="1:4" x14ac:dyDescent="0.2">
      <c r="A10" s="1">
        <v>5</v>
      </c>
      <c r="B10">
        <v>400</v>
      </c>
      <c r="C10">
        <v>50</v>
      </c>
    </row>
    <row r="12" spans="1:4" x14ac:dyDescent="0.2">
      <c r="A12" s="26" t="s">
        <v>6</v>
      </c>
      <c r="B12" s="19">
        <f>B5+NPV($B$2,B6:B10)</f>
        <v>74.419666571529888</v>
      </c>
      <c r="C12" s="19">
        <f>C5+NPV($B$2,C6:C10)</f>
        <v>119.96462898263826</v>
      </c>
      <c r="D12" t="str">
        <f ca="1">getformula(C12)</f>
        <v>&lt;-- =C5+NPV($B$2,C6:C10)</v>
      </c>
    </row>
    <row r="13" spans="1:4" x14ac:dyDescent="0.2">
      <c r="A13" s="26" t="s">
        <v>12</v>
      </c>
      <c r="B13" s="15">
        <f>IRR(B5:B10)</f>
        <v>0.19770388847350806</v>
      </c>
      <c r="C13" s="15">
        <f>IRR(C5:C10)</f>
        <v>0.27379980888879141</v>
      </c>
      <c r="D13" t="str">
        <f ca="1">getformula(C13)</f>
        <v>&lt;-- =IRR(C5:C10)</v>
      </c>
    </row>
  </sheetData>
  <mergeCells count="1">
    <mergeCell ref="A1:D1"/>
  </mergeCells>
  <printOptions headings="1" gridLines="1"/>
  <pageMargins left="0.7" right="0.7" top="0.75" bottom="0.75" header="0.3" footer="0.3"/>
  <pageSetup orientation="portrait" verticalDpi="4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"/>
  <sheetViews>
    <sheetView workbookViewId="0">
      <selection activeCell="D19" sqref="D19"/>
    </sheetView>
  </sheetViews>
  <sheetFormatPr defaultRowHeight="12.75" x14ac:dyDescent="0.2"/>
  <cols>
    <col min="1" max="1" width="13.28515625" bestFit="1" customWidth="1"/>
    <col min="2" max="2" width="9.7109375" customWidth="1"/>
    <col min="3" max="3" width="10" customWidth="1"/>
    <col min="4" max="4" width="23.85546875" bestFit="1" customWidth="1"/>
  </cols>
  <sheetData>
    <row r="1" spans="1:4" ht="18" x14ac:dyDescent="0.25">
      <c r="A1" s="84" t="s">
        <v>33</v>
      </c>
      <c r="B1" s="84"/>
      <c r="C1" s="84"/>
      <c r="D1" s="84"/>
    </row>
    <row r="2" spans="1:4" x14ac:dyDescent="0.2">
      <c r="A2" s="16" t="s">
        <v>14</v>
      </c>
      <c r="B2" s="11">
        <v>0.08</v>
      </c>
    </row>
    <row r="4" spans="1:4" x14ac:dyDescent="0.2">
      <c r="A4" s="8" t="s">
        <v>13</v>
      </c>
      <c r="B4" s="12" t="s">
        <v>31</v>
      </c>
      <c r="C4" s="12" t="s">
        <v>32</v>
      </c>
    </row>
    <row r="5" spans="1:4" x14ac:dyDescent="0.2">
      <c r="A5" s="1">
        <v>0</v>
      </c>
      <c r="B5">
        <v>-500</v>
      </c>
      <c r="C5">
        <v>-500</v>
      </c>
    </row>
    <row r="6" spans="1:4" x14ac:dyDescent="0.2">
      <c r="A6" s="1">
        <v>1</v>
      </c>
      <c r="B6">
        <v>100</v>
      </c>
      <c r="C6">
        <v>250</v>
      </c>
    </row>
    <row r="7" spans="1:4" x14ac:dyDescent="0.2">
      <c r="A7" s="1">
        <v>2</v>
      </c>
      <c r="B7">
        <v>100</v>
      </c>
      <c r="C7">
        <v>250</v>
      </c>
    </row>
    <row r="8" spans="1:4" x14ac:dyDescent="0.2">
      <c r="A8" s="1">
        <v>3</v>
      </c>
      <c r="B8">
        <v>150</v>
      </c>
      <c r="C8">
        <v>200</v>
      </c>
    </row>
    <row r="9" spans="1:4" x14ac:dyDescent="0.2">
      <c r="A9" s="1">
        <v>4</v>
      </c>
      <c r="B9">
        <v>200</v>
      </c>
      <c r="C9">
        <v>100</v>
      </c>
    </row>
    <row r="10" spans="1:4" x14ac:dyDescent="0.2">
      <c r="A10" s="1">
        <v>5</v>
      </c>
      <c r="B10">
        <v>400</v>
      </c>
      <c r="C10">
        <v>50</v>
      </c>
    </row>
    <row r="12" spans="1:4" x14ac:dyDescent="0.2">
      <c r="A12" s="26" t="s">
        <v>6</v>
      </c>
      <c r="B12" s="19">
        <f>B5+NPV($B$2,B6:B10)</f>
        <v>216.64056014858818</v>
      </c>
      <c r="C12" s="19">
        <f>C5+NPV($B$2,C6:C10)</f>
        <v>212.11477989229411</v>
      </c>
      <c r="D12" t="str">
        <f ca="1">getformula(C12)</f>
        <v>&lt;-- =C5+NPV($B$2,C6:C10)</v>
      </c>
    </row>
    <row r="13" spans="1:4" x14ac:dyDescent="0.2">
      <c r="A13" s="26" t="s">
        <v>12</v>
      </c>
      <c r="B13" s="15">
        <f>IRR(B5:B10)</f>
        <v>0.19770388847350806</v>
      </c>
      <c r="C13" s="15">
        <f>IRR(C5:C10)</f>
        <v>0.27379980888879141</v>
      </c>
      <c r="D13" t="str">
        <f ca="1">getformula(C13)</f>
        <v>&lt;-- =IRR(C5:C10)</v>
      </c>
    </row>
  </sheetData>
  <mergeCells count="1">
    <mergeCell ref="A1:D1"/>
  </mergeCells>
  <printOptions headings="1" gridLines="1"/>
  <pageMargins left="0.7" right="0.7" top="0.75" bottom="0.75" header="0.3" footer="0.3"/>
  <pageSetup orientation="portrait" verticalDpi="4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4"/>
  <sheetViews>
    <sheetView workbookViewId="0">
      <selection activeCell="G17" sqref="G17"/>
    </sheetView>
  </sheetViews>
  <sheetFormatPr defaultRowHeight="12.75" x14ac:dyDescent="0.2"/>
  <cols>
    <col min="1" max="1" width="14.28515625" customWidth="1"/>
    <col min="2" max="2" width="9.7109375" customWidth="1"/>
    <col min="3" max="3" width="10" customWidth="1"/>
    <col min="4" max="4" width="23.85546875" bestFit="1" customWidth="1"/>
  </cols>
  <sheetData>
    <row r="1" spans="1:8" ht="18" x14ac:dyDescent="0.25">
      <c r="A1" s="84" t="s">
        <v>33</v>
      </c>
      <c r="B1" s="84"/>
      <c r="C1" s="84"/>
      <c r="D1" s="84"/>
      <c r="E1" s="84"/>
      <c r="F1" s="84"/>
      <c r="G1" s="84"/>
      <c r="H1" s="84"/>
    </row>
    <row r="2" spans="1:8" x14ac:dyDescent="0.2">
      <c r="A2" s="16" t="s">
        <v>14</v>
      </c>
      <c r="B2" s="11">
        <v>0.15</v>
      </c>
    </row>
    <row r="4" spans="1:8" x14ac:dyDescent="0.2">
      <c r="A4" s="8" t="s">
        <v>13</v>
      </c>
      <c r="B4" s="12" t="s">
        <v>31</v>
      </c>
      <c r="C4" s="12" t="s">
        <v>32</v>
      </c>
    </row>
    <row r="5" spans="1:8" x14ac:dyDescent="0.2">
      <c r="A5" s="1">
        <v>0</v>
      </c>
      <c r="B5">
        <v>-500</v>
      </c>
      <c r="C5">
        <v>-500</v>
      </c>
    </row>
    <row r="6" spans="1:8" x14ac:dyDescent="0.2">
      <c r="A6" s="1">
        <v>1</v>
      </c>
      <c r="B6">
        <v>100</v>
      </c>
      <c r="C6">
        <v>250</v>
      </c>
    </row>
    <row r="7" spans="1:8" x14ac:dyDescent="0.2">
      <c r="A7" s="1">
        <v>2</v>
      </c>
      <c r="B7">
        <v>100</v>
      </c>
      <c r="C7">
        <v>250</v>
      </c>
    </row>
    <row r="8" spans="1:8" x14ac:dyDescent="0.2">
      <c r="A8" s="1">
        <v>3</v>
      </c>
      <c r="B8">
        <v>150</v>
      </c>
      <c r="C8">
        <v>200</v>
      </c>
    </row>
    <row r="9" spans="1:8" x14ac:dyDescent="0.2">
      <c r="A9" s="1">
        <v>4</v>
      </c>
      <c r="B9">
        <v>200</v>
      </c>
      <c r="C9">
        <v>100</v>
      </c>
    </row>
    <row r="10" spans="1:8" x14ac:dyDescent="0.2">
      <c r="A10" s="1">
        <v>5</v>
      </c>
      <c r="B10">
        <v>400</v>
      </c>
      <c r="C10">
        <v>50</v>
      </c>
    </row>
    <row r="12" spans="1:8" x14ac:dyDescent="0.2">
      <c r="A12" s="26" t="s">
        <v>6</v>
      </c>
      <c r="B12" s="19">
        <f>B5+NPV($B$2,B6:B10)</f>
        <v>74.419666571529888</v>
      </c>
      <c r="C12" s="19">
        <f>C5+NPV($B$2,C6:C10)</f>
        <v>119.96462898263826</v>
      </c>
      <c r="D12" t="str">
        <f ca="1">getformula(C12)</f>
        <v>&lt;-- =C5+NPV($B$2,C6:C10)</v>
      </c>
    </row>
    <row r="13" spans="1:8" x14ac:dyDescent="0.2">
      <c r="A13" s="26" t="s">
        <v>12</v>
      </c>
      <c r="B13" s="15">
        <f>IRR(B5:B10)</f>
        <v>0.19770388847350806</v>
      </c>
      <c r="C13" s="15">
        <f>IRR(C5:C10)</f>
        <v>0.27379980888879141</v>
      </c>
      <c r="D13" t="str">
        <f ca="1">getformula(C13)</f>
        <v>&lt;-- =IRR(C5:C10)</v>
      </c>
    </row>
    <row r="15" spans="1:8" x14ac:dyDescent="0.2">
      <c r="A15" s="12" t="s">
        <v>34</v>
      </c>
    </row>
    <row r="16" spans="1:8" x14ac:dyDescent="0.2">
      <c r="A16" s="12"/>
    </row>
    <row r="17" spans="1:4" ht="25.5" x14ac:dyDescent="0.2">
      <c r="A17" s="12"/>
      <c r="B17" s="2" t="s">
        <v>35</v>
      </c>
      <c r="C17" s="2" t="s">
        <v>36</v>
      </c>
    </row>
    <row r="18" spans="1:4" x14ac:dyDescent="0.2">
      <c r="B18" s="13">
        <f>B12</f>
        <v>74.419666571529888</v>
      </c>
      <c r="C18" s="13">
        <f>C12</f>
        <v>119.96462898263826</v>
      </c>
      <c r="D18" t="str">
        <f ca="1">getformula(C18)&amp;", data table header"</f>
        <v>&lt;-- =C12, data table header</v>
      </c>
    </row>
    <row r="19" spans="1:4" x14ac:dyDescent="0.2">
      <c r="A19" s="3">
        <v>0</v>
      </c>
      <c r="B19" s="13">
        <f t="dataTable" ref="B19:C34" dt2D="0" dtr="0" r1="B2"/>
        <v>450</v>
      </c>
      <c r="C19" s="13">
        <v>350</v>
      </c>
    </row>
    <row r="20" spans="1:4" x14ac:dyDescent="0.2">
      <c r="A20" s="3">
        <v>0.02</v>
      </c>
      <c r="B20" s="13">
        <v>382.56585312939899</v>
      </c>
      <c r="C20" s="13">
        <v>311.52578452873877</v>
      </c>
    </row>
    <row r="21" spans="1:4" x14ac:dyDescent="0.2">
      <c r="A21" s="3">
        <v>0.04</v>
      </c>
      <c r="B21" s="13">
        <v>321.69060216594437</v>
      </c>
      <c r="C21" s="13">
        <v>275.89971481417626</v>
      </c>
    </row>
    <row r="22" spans="1:4" x14ac:dyDescent="0.2">
      <c r="A22" s="3">
        <v>0.06</v>
      </c>
      <c r="B22" s="13">
        <v>266.60416089180558</v>
      </c>
      <c r="C22" s="13">
        <v>242.8442981808987</v>
      </c>
    </row>
    <row r="23" spans="1:4" x14ac:dyDescent="0.2">
      <c r="A23" s="3">
        <v>0.08</v>
      </c>
      <c r="B23" s="13">
        <v>216.64056014858818</v>
      </c>
      <c r="C23" s="13">
        <v>212.11477989229411</v>
      </c>
    </row>
    <row r="24" spans="1:4" x14ac:dyDescent="0.2">
      <c r="A24" s="3">
        <v>0.1</v>
      </c>
      <c r="B24" s="13">
        <v>171.22215944017705</v>
      </c>
      <c r="C24" s="13">
        <v>183.49466939044146</v>
      </c>
    </row>
    <row r="25" spans="1:4" x14ac:dyDescent="0.2">
      <c r="A25" s="3">
        <v>0.12</v>
      </c>
      <c r="B25" s="13">
        <v>129.84649718123376</v>
      </c>
      <c r="C25" s="13">
        <v>156.79195529113611</v>
      </c>
    </row>
    <row r="26" spans="1:4" x14ac:dyDescent="0.2">
      <c r="A26" s="3">
        <v>0.14000000000000001</v>
      </c>
      <c r="B26" s="13">
        <v>92.075299740910282</v>
      </c>
      <c r="C26" s="13">
        <v>131.83589192702266</v>
      </c>
    </row>
    <row r="27" spans="1:4" x14ac:dyDescent="0.2">
      <c r="A27" s="3">
        <v>0.16</v>
      </c>
      <c r="B27" s="13">
        <v>57.525263455499271</v>
      </c>
      <c r="C27" s="13">
        <v>108.47426197332982</v>
      </c>
    </row>
    <row r="28" spans="1:4" x14ac:dyDescent="0.2">
      <c r="A28" s="3">
        <v>0.18</v>
      </c>
      <c r="B28" s="13">
        <v>25.860298112485907</v>
      </c>
      <c r="C28" s="13">
        <v>86.571037082626958</v>
      </c>
    </row>
    <row r="29" spans="1:4" x14ac:dyDescent="0.2">
      <c r="A29" s="3">
        <v>0.2</v>
      </c>
      <c r="B29" s="13">
        <v>-3.2150205761316215</v>
      </c>
      <c r="C29" s="13">
        <v>66.004372427983526</v>
      </c>
    </row>
    <row r="30" spans="1:4" x14ac:dyDescent="0.2">
      <c r="A30" s="3">
        <v>0.22</v>
      </c>
      <c r="B30" s="13">
        <v>-29.960994939285172</v>
      </c>
      <c r="C30" s="13">
        <v>46.664882327018404</v>
      </c>
    </row>
    <row r="31" spans="1:4" x14ac:dyDescent="0.2">
      <c r="A31" s="3">
        <v>0.24</v>
      </c>
      <c r="B31" s="13">
        <v>-54.607513509569287</v>
      </c>
      <c r="C31" s="13">
        <v>28.454153250999298</v>
      </c>
    </row>
    <row r="32" spans="1:4" x14ac:dyDescent="0.2">
      <c r="A32" s="3">
        <v>0.26</v>
      </c>
      <c r="B32" s="13">
        <v>-77.358060866970732</v>
      </c>
      <c r="C32" s="13">
        <v>11.283457949008664</v>
      </c>
    </row>
    <row r="33" spans="1:3" x14ac:dyDescent="0.2">
      <c r="A33" s="3">
        <v>0.28000000000000003</v>
      </c>
      <c r="B33" s="13">
        <v>-98.393142223358154</v>
      </c>
      <c r="C33" s="13">
        <v>-4.9273595213890076</v>
      </c>
    </row>
    <row r="34" spans="1:3" x14ac:dyDescent="0.2">
      <c r="A34" s="3">
        <v>0.3</v>
      </c>
      <c r="B34" s="13">
        <v>-117.8732160315439</v>
      </c>
      <c r="C34" s="13">
        <v>-20.250853099843141</v>
      </c>
    </row>
  </sheetData>
  <mergeCells count="1">
    <mergeCell ref="A1:H1"/>
  </mergeCells>
  <printOptions headings="1" gridLines="1"/>
  <pageMargins left="0.7" right="0.7" top="0.75" bottom="0.75" header="0.3" footer="0.3"/>
  <pageSetup orientation="portrait" verticalDpi="4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"/>
  <sheetViews>
    <sheetView workbookViewId="0">
      <selection sqref="A1:E10"/>
    </sheetView>
  </sheetViews>
  <sheetFormatPr defaultRowHeight="12.75" x14ac:dyDescent="0.2"/>
  <cols>
    <col min="1" max="1" width="11.42578125" customWidth="1"/>
    <col min="2" max="2" width="9.7109375" customWidth="1"/>
    <col min="3" max="3" width="10" customWidth="1"/>
    <col min="4" max="4" width="24.5703125" customWidth="1"/>
    <col min="5" max="5" width="14.28515625" bestFit="1" customWidth="1"/>
  </cols>
  <sheetData>
    <row r="1" spans="1:5" ht="18" x14ac:dyDescent="0.25">
      <c r="A1" s="84" t="s">
        <v>38</v>
      </c>
      <c r="B1" s="84"/>
      <c r="C1" s="84"/>
      <c r="D1" s="84"/>
      <c r="E1" s="84"/>
    </row>
    <row r="2" spans="1:5" s="1" customFormat="1" ht="27" customHeight="1" x14ac:dyDescent="0.2">
      <c r="A2" s="8" t="s">
        <v>13</v>
      </c>
      <c r="B2" s="8" t="s">
        <v>31</v>
      </c>
      <c r="C2" s="8" t="s">
        <v>32</v>
      </c>
      <c r="D2" s="2" t="s">
        <v>37</v>
      </c>
    </row>
    <row r="3" spans="1:5" x14ac:dyDescent="0.2">
      <c r="A3" s="1">
        <v>0</v>
      </c>
      <c r="B3">
        <v>-500</v>
      </c>
      <c r="C3">
        <v>-500</v>
      </c>
      <c r="D3">
        <f>B3-C3</f>
        <v>0</v>
      </c>
      <c r="E3" t="str">
        <f ca="1">getformula(D3)</f>
        <v>&lt;-- =B3-C3</v>
      </c>
    </row>
    <row r="4" spans="1:5" x14ac:dyDescent="0.2">
      <c r="A4" s="1">
        <v>1</v>
      </c>
      <c r="B4">
        <v>100</v>
      </c>
      <c r="C4">
        <v>250</v>
      </c>
      <c r="D4">
        <f t="shared" ref="D4:D8" si="0">B4-C4</f>
        <v>-150</v>
      </c>
      <c r="E4" t="str">
        <f ca="1">getformula(D4)</f>
        <v>&lt;-- =B4-C4</v>
      </c>
    </row>
    <row r="5" spans="1:5" x14ac:dyDescent="0.2">
      <c r="A5" s="1">
        <v>2</v>
      </c>
      <c r="B5">
        <v>100</v>
      </c>
      <c r="C5">
        <v>250</v>
      </c>
      <c r="D5">
        <f t="shared" si="0"/>
        <v>-150</v>
      </c>
    </row>
    <row r="6" spans="1:5" x14ac:dyDescent="0.2">
      <c r="A6" s="1">
        <v>3</v>
      </c>
      <c r="B6">
        <v>150</v>
      </c>
      <c r="C6">
        <v>200</v>
      </c>
      <c r="D6">
        <f t="shared" si="0"/>
        <v>-50</v>
      </c>
    </row>
    <row r="7" spans="1:5" x14ac:dyDescent="0.2">
      <c r="A7" s="1">
        <v>4</v>
      </c>
      <c r="B7">
        <v>200</v>
      </c>
      <c r="C7">
        <v>100</v>
      </c>
      <c r="D7">
        <f t="shared" si="0"/>
        <v>100</v>
      </c>
    </row>
    <row r="8" spans="1:5" x14ac:dyDescent="0.2">
      <c r="A8" s="1">
        <v>5</v>
      </c>
      <c r="B8">
        <v>400</v>
      </c>
      <c r="C8">
        <v>50</v>
      </c>
      <c r="D8">
        <f t="shared" si="0"/>
        <v>350</v>
      </c>
    </row>
    <row r="10" spans="1:5" x14ac:dyDescent="0.2">
      <c r="C10" s="26" t="s">
        <v>12</v>
      </c>
      <c r="D10" s="15">
        <f>IRR(D3:D8)</f>
        <v>8.5127661320580916E-2</v>
      </c>
      <c r="E10" t="str">
        <f ca="1">getformula(D10)</f>
        <v>&lt;-- =IRR(D3:D8)</v>
      </c>
    </row>
  </sheetData>
  <mergeCells count="1">
    <mergeCell ref="A1:E1"/>
  </mergeCells>
  <printOptions headings="1" gridLines="1"/>
  <pageMargins left="0.7" right="0.7" top="0.75" bottom="0.75" header="0.3" footer="0.3"/>
  <pageSetup orientation="portrait" verticalDpi="4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3"/>
  <sheetViews>
    <sheetView workbookViewId="0">
      <selection activeCell="C9" sqref="C9"/>
    </sheetView>
  </sheetViews>
  <sheetFormatPr defaultColWidth="8.85546875" defaultRowHeight="12.75" x14ac:dyDescent="0.2"/>
  <cols>
    <col min="1" max="1" width="15.28515625" style="28" customWidth="1"/>
    <col min="2" max="2" width="13" style="28" customWidth="1"/>
    <col min="3" max="3" width="10.140625" style="28" customWidth="1"/>
    <col min="4" max="4" width="29.85546875" style="28" customWidth="1"/>
    <col min="5" max="5" width="16.85546875" style="28" customWidth="1"/>
    <col min="6" max="16384" width="8.85546875" style="28"/>
  </cols>
  <sheetData>
    <row r="1" spans="1:4" ht="18" x14ac:dyDescent="0.25">
      <c r="A1" s="86" t="s">
        <v>33</v>
      </c>
      <c r="B1" s="86"/>
      <c r="C1" s="86"/>
      <c r="D1" s="86"/>
    </row>
    <row r="2" spans="1:4" x14ac:dyDescent="0.2">
      <c r="A2" s="28" t="s">
        <v>21</v>
      </c>
      <c r="B2" s="35">
        <v>0.08</v>
      </c>
    </row>
    <row r="4" spans="1:4" x14ac:dyDescent="0.2">
      <c r="A4" s="37" t="s">
        <v>13</v>
      </c>
      <c r="B4" s="37" t="s">
        <v>31</v>
      </c>
      <c r="C4" s="37" t="s">
        <v>32</v>
      </c>
    </row>
    <row r="5" spans="1:4" x14ac:dyDescent="0.2">
      <c r="A5" s="29">
        <v>0</v>
      </c>
      <c r="B5" s="28">
        <v>-500</v>
      </c>
      <c r="C5" s="28">
        <v>-500</v>
      </c>
    </row>
    <row r="6" spans="1:4" x14ac:dyDescent="0.2">
      <c r="A6" s="29">
        <v>1</v>
      </c>
      <c r="B6" s="28">
        <v>100</v>
      </c>
      <c r="C6" s="28">
        <v>250</v>
      </c>
    </row>
    <row r="7" spans="1:4" x14ac:dyDescent="0.2">
      <c r="A7" s="29">
        <v>2</v>
      </c>
      <c r="B7" s="28">
        <v>100</v>
      </c>
      <c r="C7" s="28">
        <v>250</v>
      </c>
    </row>
    <row r="8" spans="1:4" x14ac:dyDescent="0.2">
      <c r="A8" s="29">
        <v>3</v>
      </c>
      <c r="B8" s="28">
        <v>150</v>
      </c>
      <c r="C8" s="28">
        <v>200</v>
      </c>
    </row>
    <row r="9" spans="1:4" x14ac:dyDescent="0.2">
      <c r="A9" s="29">
        <v>4</v>
      </c>
      <c r="B9" s="28">
        <v>200</v>
      </c>
      <c r="C9" s="28">
        <v>100</v>
      </c>
    </row>
    <row r="10" spans="1:4" x14ac:dyDescent="0.2">
      <c r="A10" s="29">
        <v>5</v>
      </c>
      <c r="B10" s="28">
        <v>400</v>
      </c>
      <c r="C10" s="28">
        <v>50</v>
      </c>
    </row>
    <row r="12" spans="1:4" x14ac:dyDescent="0.2">
      <c r="A12" s="78" t="s">
        <v>6</v>
      </c>
      <c r="B12" s="82">
        <f>B5+NPV(B2,B6:B10)</f>
        <v>216.64056014858818</v>
      </c>
      <c r="C12" s="82">
        <f>C5+NPV(B2,C6:C10)</f>
        <v>212.11477989229411</v>
      </c>
      <c r="D12" s="28" t="str">
        <f ca="1">getformula(C12)</f>
        <v>&lt;-- =C5+NPV(B2,C6:C10)</v>
      </c>
    </row>
    <row r="13" spans="1:4" x14ac:dyDescent="0.2">
      <c r="A13" s="78" t="s">
        <v>12</v>
      </c>
      <c r="B13" s="83">
        <f>IRR(B5:B10)</f>
        <v>0.19770388847350806</v>
      </c>
      <c r="C13" s="83">
        <f>IRR(C5:C10)</f>
        <v>0.27379980888879141</v>
      </c>
      <c r="D13" s="28" t="str">
        <f ca="1">getformula(C13)</f>
        <v>&lt;-- =IRR(C5:C10)</v>
      </c>
    </row>
  </sheetData>
  <mergeCells count="1">
    <mergeCell ref="A1:D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3"/>
  <sheetViews>
    <sheetView workbookViewId="0">
      <selection activeCell="D7" sqref="D7"/>
    </sheetView>
  </sheetViews>
  <sheetFormatPr defaultRowHeight="12.75" x14ac:dyDescent="0.2"/>
  <cols>
    <col min="1" max="1" width="17.28515625" bestFit="1" customWidth="1"/>
    <col min="2" max="2" width="9.42578125" bestFit="1" customWidth="1"/>
    <col min="3" max="3" width="11.7109375" customWidth="1"/>
    <col min="4" max="4" width="16.5703125" customWidth="1"/>
    <col min="5" max="5" width="21.85546875" bestFit="1" customWidth="1"/>
  </cols>
  <sheetData>
    <row r="1" spans="1:5" ht="18" x14ac:dyDescent="0.25">
      <c r="A1" s="84" t="s">
        <v>39</v>
      </c>
      <c r="B1" s="84"/>
      <c r="C1" s="84"/>
      <c r="D1" s="84"/>
      <c r="E1" s="84"/>
    </row>
    <row r="2" spans="1:5" x14ac:dyDescent="0.2">
      <c r="A2" s="16" t="s">
        <v>40</v>
      </c>
      <c r="B2" s="25">
        <v>11000</v>
      </c>
    </row>
    <row r="3" spans="1:5" x14ac:dyDescent="0.2">
      <c r="A3" s="16" t="s">
        <v>41</v>
      </c>
      <c r="B3" s="25">
        <v>5000</v>
      </c>
    </row>
    <row r="4" spans="1:5" x14ac:dyDescent="0.2">
      <c r="A4" s="16" t="s">
        <v>42</v>
      </c>
      <c r="B4" s="25">
        <v>10000</v>
      </c>
    </row>
    <row r="5" spans="1:5" x14ac:dyDescent="0.2">
      <c r="A5" s="16" t="s">
        <v>43</v>
      </c>
      <c r="B5" s="11">
        <v>0.09</v>
      </c>
    </row>
    <row r="7" spans="1:5" s="2" customFormat="1" ht="38.25" x14ac:dyDescent="0.2">
      <c r="A7" s="2" t="s">
        <v>13</v>
      </c>
      <c r="B7" s="2" t="s">
        <v>44</v>
      </c>
      <c r="C7" s="2" t="s">
        <v>45</v>
      </c>
      <c r="D7" s="2" t="s">
        <v>46</v>
      </c>
    </row>
    <row r="8" spans="1:5" x14ac:dyDescent="0.2">
      <c r="A8" s="1">
        <v>0</v>
      </c>
      <c r="B8" s="25">
        <f>-B4</f>
        <v>-10000</v>
      </c>
      <c r="C8" s="25">
        <f>-B3</f>
        <v>-5000</v>
      </c>
      <c r="D8" s="25">
        <f>C8-B8</f>
        <v>5000</v>
      </c>
      <c r="E8" t="str">
        <f ca="1">getformula(D8)</f>
        <v>&lt;-- =C8-B8</v>
      </c>
    </row>
    <row r="9" spans="1:5" x14ac:dyDescent="0.2">
      <c r="A9" s="1">
        <v>1</v>
      </c>
      <c r="B9" s="25"/>
      <c r="C9" s="25">
        <v>-2000</v>
      </c>
      <c r="D9" s="25">
        <f t="shared" ref="D9:D11" si="0">C9-B9</f>
        <v>-2000</v>
      </c>
      <c r="E9" t="str">
        <f ca="1">getformula(D9)</f>
        <v>&lt;-- =C9-B9</v>
      </c>
    </row>
    <row r="10" spans="1:5" x14ac:dyDescent="0.2">
      <c r="A10" s="1">
        <v>2</v>
      </c>
      <c r="B10" s="25"/>
      <c r="C10" s="25">
        <v>-2000</v>
      </c>
      <c r="D10" s="25">
        <f t="shared" si="0"/>
        <v>-2000</v>
      </c>
    </row>
    <row r="11" spans="1:5" x14ac:dyDescent="0.2">
      <c r="A11" s="1">
        <v>3</v>
      </c>
      <c r="B11" s="25"/>
      <c r="C11" s="25">
        <v>-2000</v>
      </c>
      <c r="D11" s="25">
        <f t="shared" si="0"/>
        <v>-2000</v>
      </c>
    </row>
    <row r="12" spans="1:5" x14ac:dyDescent="0.2">
      <c r="A12" s="1"/>
    </row>
    <row r="13" spans="1:5" x14ac:dyDescent="0.2">
      <c r="A13" s="26" t="s">
        <v>47</v>
      </c>
      <c r="D13" s="14">
        <f>IRR(D8:D11)</f>
        <v>9.7010257403278732E-2</v>
      </c>
      <c r="E13" t="str">
        <f ca="1">getformula(D13)</f>
        <v>&lt;-- =IRR(D8:D11)</v>
      </c>
    </row>
    <row r="15" spans="1:5" x14ac:dyDescent="0.2">
      <c r="A15" s="26" t="s">
        <v>48</v>
      </c>
      <c r="D15" s="19">
        <f>D8+NPV(B5,D9:D11)</f>
        <v>-62.589331976349058</v>
      </c>
      <c r="E15" t="str">
        <f ca="1">getformula(D15)</f>
        <v>&lt;-- =D8+NPV(B5,D9:D11)</v>
      </c>
    </row>
    <row r="18" spans="1:5" ht="15.75" x14ac:dyDescent="0.25">
      <c r="A18" s="88" t="s">
        <v>49</v>
      </c>
      <c r="B18" s="88"/>
      <c r="C18" s="88"/>
      <c r="D18" s="88"/>
      <c r="E18" s="88"/>
    </row>
    <row r="19" spans="1:5" ht="36.75" customHeight="1" x14ac:dyDescent="0.2">
      <c r="A19" s="2" t="s">
        <v>13</v>
      </c>
      <c r="B19" s="2" t="s">
        <v>44</v>
      </c>
      <c r="C19" s="2" t="s">
        <v>50</v>
      </c>
      <c r="D19" s="2" t="s">
        <v>51</v>
      </c>
    </row>
    <row r="20" spans="1:5" x14ac:dyDescent="0.2">
      <c r="A20" s="1">
        <v>0</v>
      </c>
      <c r="B20" s="13">
        <v>-10000</v>
      </c>
      <c r="C20" s="13">
        <v>5000</v>
      </c>
      <c r="D20" s="13">
        <f>B20+C20</f>
        <v>-5000</v>
      </c>
      <c r="E20" t="str">
        <f ca="1">getformula(D20)</f>
        <v>&lt;-- =B20+C20</v>
      </c>
    </row>
    <row r="21" spans="1:5" x14ac:dyDescent="0.2">
      <c r="A21" s="1">
        <v>1</v>
      </c>
      <c r="B21" s="13"/>
      <c r="C21" s="13">
        <f>PMT($B$5,3,C20)</f>
        <v>-1975.2737866447023</v>
      </c>
      <c r="D21" s="13">
        <f t="shared" ref="D21:D23" si="1">B21+C21</f>
        <v>-1975.2737866447023</v>
      </c>
      <c r="E21" t="str">
        <f ca="1">getformula(D21)</f>
        <v>&lt;-- =B21+C21</v>
      </c>
    </row>
    <row r="22" spans="1:5" x14ac:dyDescent="0.2">
      <c r="A22" s="1">
        <v>2</v>
      </c>
      <c r="B22" s="13"/>
      <c r="C22" s="13">
        <f>C21</f>
        <v>-1975.2737866447023</v>
      </c>
      <c r="D22" s="13">
        <f t="shared" si="1"/>
        <v>-1975.2737866447023</v>
      </c>
    </row>
    <row r="23" spans="1:5" x14ac:dyDescent="0.2">
      <c r="A23" s="1">
        <v>3</v>
      </c>
      <c r="B23" s="13"/>
      <c r="C23" s="13">
        <f>C22</f>
        <v>-1975.2737866447023</v>
      </c>
      <c r="D23" s="13">
        <f t="shared" si="1"/>
        <v>-1975.2737866447023</v>
      </c>
    </row>
  </sheetData>
  <mergeCells count="2">
    <mergeCell ref="A1:E1"/>
    <mergeCell ref="A18:E18"/>
  </mergeCells>
  <printOptions headings="1" gridLines="1"/>
  <pageMargins left="0.7" right="0.7" top="0.75" bottom="0.75" header="0.3" footer="0.3"/>
  <pageSetup orientation="portrait" verticalDpi="4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5"/>
  <sheetViews>
    <sheetView workbookViewId="0">
      <selection sqref="A1:E15"/>
    </sheetView>
  </sheetViews>
  <sheetFormatPr defaultRowHeight="12.75" x14ac:dyDescent="0.2"/>
  <cols>
    <col min="1" max="1" width="17.28515625" bestFit="1" customWidth="1"/>
    <col min="2" max="2" width="9.42578125" bestFit="1" customWidth="1"/>
    <col min="3" max="3" width="11.7109375" customWidth="1"/>
    <col min="4" max="4" width="16.5703125" customWidth="1"/>
    <col min="5" max="5" width="21.85546875" bestFit="1" customWidth="1"/>
  </cols>
  <sheetData>
    <row r="1" spans="1:5" ht="18" x14ac:dyDescent="0.25">
      <c r="A1" s="84" t="s">
        <v>52</v>
      </c>
      <c r="B1" s="84"/>
      <c r="C1" s="84"/>
      <c r="D1" s="84"/>
      <c r="E1" s="84"/>
    </row>
    <row r="2" spans="1:5" x14ac:dyDescent="0.2">
      <c r="A2" s="16" t="s">
        <v>40</v>
      </c>
      <c r="B2" s="25">
        <v>11000</v>
      </c>
    </row>
    <row r="3" spans="1:5" x14ac:dyDescent="0.2">
      <c r="A3" s="16" t="s">
        <v>41</v>
      </c>
      <c r="B3" s="25">
        <v>5000</v>
      </c>
    </row>
    <row r="4" spans="1:5" x14ac:dyDescent="0.2">
      <c r="A4" s="16" t="s">
        <v>42</v>
      </c>
      <c r="B4" s="25">
        <v>10000</v>
      </c>
    </row>
    <row r="5" spans="1:5" x14ac:dyDescent="0.2">
      <c r="A5" s="16" t="s">
        <v>43</v>
      </c>
      <c r="B5" s="11">
        <v>0.09</v>
      </c>
    </row>
    <row r="7" spans="1:5" s="2" customFormat="1" ht="25.5" x14ac:dyDescent="0.2">
      <c r="A7" s="2" t="s">
        <v>13</v>
      </c>
      <c r="B7" s="2" t="s">
        <v>44</v>
      </c>
      <c r="C7" s="2" t="s">
        <v>45</v>
      </c>
      <c r="D7" s="2" t="s">
        <v>53</v>
      </c>
    </row>
    <row r="8" spans="1:5" x14ac:dyDescent="0.2">
      <c r="A8" s="1">
        <v>0</v>
      </c>
      <c r="B8" s="25">
        <v>10000</v>
      </c>
      <c r="C8" s="25">
        <v>5000</v>
      </c>
      <c r="D8" s="25">
        <f>C8-B8</f>
        <v>-5000</v>
      </c>
      <c r="E8" t="str">
        <f ca="1">getformula(D8)</f>
        <v>&lt;-- =C8-B8</v>
      </c>
    </row>
    <row r="9" spans="1:5" x14ac:dyDescent="0.2">
      <c r="A9" s="1">
        <v>1</v>
      </c>
      <c r="B9" s="25"/>
      <c r="C9" s="25">
        <v>2000</v>
      </c>
      <c r="D9" s="25">
        <f t="shared" ref="D9:D11" si="0">C9-B9</f>
        <v>2000</v>
      </c>
      <c r="E9" t="str">
        <f ca="1">getformula(D9)</f>
        <v>&lt;-- =C9-B9</v>
      </c>
    </row>
    <row r="10" spans="1:5" x14ac:dyDescent="0.2">
      <c r="A10" s="1">
        <v>2</v>
      </c>
      <c r="B10" s="25"/>
      <c r="C10" s="25">
        <v>2000</v>
      </c>
      <c r="D10" s="25">
        <f t="shared" si="0"/>
        <v>2000</v>
      </c>
    </row>
    <row r="11" spans="1:5" x14ac:dyDescent="0.2">
      <c r="A11" s="1">
        <v>3</v>
      </c>
      <c r="B11" s="25"/>
      <c r="C11" s="25">
        <v>2000</v>
      </c>
      <c r="D11" s="25">
        <f t="shared" si="0"/>
        <v>2000</v>
      </c>
    </row>
    <row r="12" spans="1:5" x14ac:dyDescent="0.2">
      <c r="A12" s="1"/>
    </row>
    <row r="13" spans="1:5" x14ac:dyDescent="0.2">
      <c r="A13" s="26" t="s">
        <v>47</v>
      </c>
      <c r="D13" s="14">
        <f>IRR(D8:D11)</f>
        <v>9.7010257403349121E-2</v>
      </c>
      <c r="E13" t="str">
        <f ca="1">getformula(D13)</f>
        <v>&lt;-- =IRR(D8:D11)</v>
      </c>
    </row>
    <row r="15" spans="1:5" x14ac:dyDescent="0.2">
      <c r="A15" s="26" t="s">
        <v>48</v>
      </c>
      <c r="D15" s="19">
        <f>D8+NPV(B5,D9:D11)</f>
        <v>62.589331976349058</v>
      </c>
      <c r="E15" t="str">
        <f ca="1">getformula(D15)</f>
        <v>&lt;-- =D8+NPV(B5,D9:D11)</v>
      </c>
    </row>
  </sheetData>
  <mergeCells count="1">
    <mergeCell ref="A1:E1"/>
  </mergeCells>
  <printOptions headings="1" gridLines="1"/>
  <pageMargins left="0.7" right="0.7" top="0.75" bottom="0.75" header="0.3" footer="0.3"/>
  <pageSetup orientation="portrait" verticalDpi="4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3"/>
  <sheetViews>
    <sheetView workbookViewId="0">
      <selection activeCell="F11" sqref="F11"/>
    </sheetView>
  </sheetViews>
  <sheetFormatPr defaultRowHeight="12.75" x14ac:dyDescent="0.2"/>
  <cols>
    <col min="2" max="4" width="13.28515625" customWidth="1"/>
    <col min="5" max="7" width="15.140625" customWidth="1"/>
  </cols>
  <sheetData>
    <row r="1" spans="1:7" ht="18" x14ac:dyDescent="0.25">
      <c r="A1" s="84" t="s">
        <v>93</v>
      </c>
      <c r="B1" s="84"/>
      <c r="C1" s="84"/>
      <c r="D1" s="84"/>
      <c r="E1" s="84"/>
      <c r="F1" s="84"/>
      <c r="G1" s="84"/>
    </row>
    <row r="2" spans="1:7" s="24" customFormat="1" ht="25.5" x14ac:dyDescent="0.2">
      <c r="A2" s="2" t="s">
        <v>13</v>
      </c>
      <c r="B2" s="2" t="s">
        <v>94</v>
      </c>
      <c r="C2" s="2" t="s">
        <v>95</v>
      </c>
      <c r="D2" s="2" t="s">
        <v>96</v>
      </c>
      <c r="E2" s="2" t="s">
        <v>97</v>
      </c>
      <c r="F2" s="2" t="s">
        <v>98</v>
      </c>
      <c r="G2" s="2" t="s">
        <v>99</v>
      </c>
    </row>
    <row r="3" spans="1:7" x14ac:dyDescent="0.2">
      <c r="A3" s="1">
        <v>0</v>
      </c>
      <c r="B3">
        <v>-100</v>
      </c>
      <c r="C3">
        <v>-100</v>
      </c>
      <c r="D3">
        <v>100</v>
      </c>
      <c r="E3">
        <v>25</v>
      </c>
      <c r="F3">
        <v>-25</v>
      </c>
      <c r="G3">
        <v>-250</v>
      </c>
    </row>
    <row r="4" spans="1:7" x14ac:dyDescent="0.2">
      <c r="A4" s="1">
        <v>1</v>
      </c>
      <c r="B4">
        <v>200</v>
      </c>
      <c r="C4">
        <v>-50</v>
      </c>
      <c r="D4">
        <v>55</v>
      </c>
      <c r="E4">
        <v>35</v>
      </c>
      <c r="F4">
        <v>80</v>
      </c>
      <c r="G4">
        <v>35</v>
      </c>
    </row>
    <row r="5" spans="1:7" x14ac:dyDescent="0.2">
      <c r="A5" s="1">
        <v>2</v>
      </c>
      <c r="B5">
        <v>500</v>
      </c>
      <c r="C5">
        <v>60</v>
      </c>
      <c r="D5">
        <v>35</v>
      </c>
      <c r="E5">
        <f>-200</f>
        <v>-200</v>
      </c>
      <c r="F5">
        <v>-100</v>
      </c>
      <c r="G5">
        <v>145</v>
      </c>
    </row>
    <row r="6" spans="1:7" x14ac:dyDescent="0.2">
      <c r="A6" s="1">
        <v>3</v>
      </c>
      <c r="B6">
        <v>50</v>
      </c>
      <c r="C6">
        <v>80</v>
      </c>
      <c r="D6">
        <v>50</v>
      </c>
      <c r="E6">
        <v>33</v>
      </c>
      <c r="F6">
        <v>200</v>
      </c>
      <c r="G6">
        <v>330</v>
      </c>
    </row>
    <row r="7" spans="1:7" x14ac:dyDescent="0.2">
      <c r="A7" s="1">
        <v>4</v>
      </c>
      <c r="B7">
        <v>60</v>
      </c>
      <c r="C7">
        <v>99</v>
      </c>
      <c r="D7">
        <v>-100</v>
      </c>
      <c r="E7">
        <v>55</v>
      </c>
      <c r="F7">
        <v>55</v>
      </c>
      <c r="G7">
        <v>55</v>
      </c>
    </row>
    <row r="8" spans="1:7" x14ac:dyDescent="0.2">
      <c r="A8" s="1">
        <v>5</v>
      </c>
      <c r="B8">
        <v>35</v>
      </c>
      <c r="C8">
        <v>100</v>
      </c>
      <c r="D8">
        <v>-35</v>
      </c>
      <c r="E8">
        <v>155</v>
      </c>
      <c r="F8">
        <v>-250</v>
      </c>
      <c r="G8">
        <v>-250</v>
      </c>
    </row>
    <row r="9" spans="1:7" s="5" customFormat="1" ht="51" x14ac:dyDescent="0.2">
      <c r="B9" s="72" t="s">
        <v>104</v>
      </c>
      <c r="C9" s="72" t="s">
        <v>103</v>
      </c>
      <c r="D9" s="72" t="s">
        <v>103</v>
      </c>
      <c r="E9" s="72" t="s">
        <v>105</v>
      </c>
      <c r="F9" s="72" t="s">
        <v>105</v>
      </c>
      <c r="G9" s="72" t="s">
        <v>105</v>
      </c>
    </row>
    <row r="10" spans="1:7" s="73" customFormat="1" ht="76.5" x14ac:dyDescent="0.2">
      <c r="B10" s="74" t="s">
        <v>100</v>
      </c>
      <c r="C10" s="74" t="s">
        <v>101</v>
      </c>
      <c r="D10" s="74" t="s">
        <v>102</v>
      </c>
      <c r="E10" s="74" t="s">
        <v>106</v>
      </c>
      <c r="F10" s="74" t="s">
        <v>108</v>
      </c>
      <c r="G10" s="74" t="s">
        <v>107</v>
      </c>
    </row>
    <row r="12" spans="1:7" x14ac:dyDescent="0.2">
      <c r="A12" t="s">
        <v>12</v>
      </c>
      <c r="B12" s="11">
        <f>IRR(B3:B8)</f>
        <v>2.4901306822561367</v>
      </c>
      <c r="C12" s="11">
        <f t="shared" ref="C12:G12" si="0">IRR(C3:C8)</f>
        <v>0.28494462575658863</v>
      </c>
      <c r="D12" s="11">
        <f t="shared" si="0"/>
        <v>-0.17470987610592836</v>
      </c>
      <c r="E12" s="11">
        <f t="shared" si="0"/>
        <v>0.5629148168641176</v>
      </c>
      <c r="F12" s="11">
        <f t="shared" si="0"/>
        <v>0.10993087007623914</v>
      </c>
      <c r="G12" s="11">
        <f t="shared" si="0"/>
        <v>0.19086842037647478</v>
      </c>
    </row>
    <row r="13" spans="1:7" x14ac:dyDescent="0.2">
      <c r="E13" s="11">
        <f>IRR(E3:E8,60%)</f>
        <v>0.6087541131566272</v>
      </c>
      <c r="F13" s="11">
        <f>IRR(F3:F8,160%)</f>
        <v>1.7357065507165199</v>
      </c>
      <c r="G13" s="11">
        <f>IRR(G3:G8,-20%)</f>
        <v>-0.22738746870194726</v>
      </c>
    </row>
    <row r="17" spans="1:3" x14ac:dyDescent="0.2">
      <c r="A17" s="12" t="s">
        <v>109</v>
      </c>
    </row>
    <row r="18" spans="1:3" x14ac:dyDescent="0.2">
      <c r="B18" s="20">
        <f>NPV(A18,E4:E8)+E3</f>
        <v>103</v>
      </c>
      <c r="C18" t="str">
        <f ca="1">getformula(B18)</f>
        <v>&lt;-- =NPV(A18,E4:E8)+E3</v>
      </c>
    </row>
    <row r="19" spans="1:3" x14ac:dyDescent="0.2">
      <c r="A19" s="11">
        <v>0</v>
      </c>
      <c r="B19" s="13">
        <f t="dataTable" ref="B19:B37" dt2D="0" dtr="0" r1="A18"/>
        <v>103</v>
      </c>
    </row>
    <row r="20" spans="1:3" x14ac:dyDescent="0.2">
      <c r="A20" s="11">
        <v>0.1</v>
      </c>
      <c r="B20" s="13">
        <v>50.130859168834661</v>
      </c>
    </row>
    <row r="21" spans="1:3" x14ac:dyDescent="0.2">
      <c r="A21" s="11">
        <v>0.25</v>
      </c>
      <c r="B21" s="13">
        <v>15.214400000000001</v>
      </c>
    </row>
    <row r="22" spans="1:3" x14ac:dyDescent="0.2">
      <c r="A22" s="11">
        <v>0.4</v>
      </c>
      <c r="B22" s="13">
        <v>3.1222109835187872</v>
      </c>
    </row>
    <row r="23" spans="1:3" x14ac:dyDescent="0.2">
      <c r="A23" s="11">
        <v>0.5</v>
      </c>
      <c r="B23" s="13">
        <v>0.49794238683126935</v>
      </c>
    </row>
    <row r="24" spans="1:3" x14ac:dyDescent="0.2">
      <c r="A24" s="11">
        <v>0.52</v>
      </c>
      <c r="B24" s="13">
        <v>0.26520831002718737</v>
      </c>
    </row>
    <row r="25" spans="1:3" x14ac:dyDescent="0.2">
      <c r="A25" s="11">
        <v>0.54</v>
      </c>
      <c r="B25" s="13">
        <v>0.10503263596574186</v>
      </c>
    </row>
    <row r="26" spans="1:3" x14ac:dyDescent="0.2">
      <c r="A26" s="11">
        <v>0.56000000000000005</v>
      </c>
      <c r="B26" s="13">
        <v>9.0771102329156861E-3</v>
      </c>
    </row>
    <row r="27" spans="1:3" x14ac:dyDescent="0.2">
      <c r="A27" s="11">
        <v>0.57999999999999996</v>
      </c>
      <c r="B27" s="13">
        <v>-3.0085010801265355E-2</v>
      </c>
    </row>
    <row r="28" spans="1:3" x14ac:dyDescent="0.2">
      <c r="A28" s="11">
        <v>0.6</v>
      </c>
      <c r="B28" s="13">
        <v>-1.9073486328128553E-2</v>
      </c>
    </row>
    <row r="29" spans="1:3" x14ac:dyDescent="0.2">
      <c r="A29" s="11">
        <v>0.62</v>
      </c>
      <c r="B29" s="13">
        <v>3.6207221462792205E-2</v>
      </c>
    </row>
    <row r="30" spans="1:3" x14ac:dyDescent="0.2">
      <c r="A30" s="11">
        <v>0.64</v>
      </c>
      <c r="B30" s="13">
        <v>0.1304874048131488</v>
      </c>
    </row>
    <row r="31" spans="1:3" x14ac:dyDescent="0.2">
      <c r="A31" s="11">
        <v>0.66</v>
      </c>
      <c r="B31" s="13">
        <v>0.25906125818057291</v>
      </c>
    </row>
    <row r="32" spans="1:3" x14ac:dyDescent="0.2">
      <c r="A32" s="11">
        <v>0.68</v>
      </c>
      <c r="B32" s="13">
        <v>0.41772446524951334</v>
      </c>
    </row>
    <row r="33" spans="1:6" x14ac:dyDescent="0.2">
      <c r="A33" s="11">
        <v>0.7</v>
      </c>
      <c r="B33" s="13">
        <v>0.60271914706904184</v>
      </c>
    </row>
    <row r="34" spans="1:6" x14ac:dyDescent="0.2">
      <c r="A34" s="11">
        <v>0.72</v>
      </c>
      <c r="B34" s="13">
        <v>0.81068524071097059</v>
      </c>
    </row>
    <row r="35" spans="1:6" x14ac:dyDescent="0.2">
      <c r="A35" s="11">
        <v>0.74</v>
      </c>
      <c r="B35" s="13">
        <v>1.0386175038017456</v>
      </c>
    </row>
    <row r="36" spans="1:6" x14ac:dyDescent="0.2">
      <c r="A36" s="11">
        <v>0.76</v>
      </c>
      <c r="B36" s="13">
        <v>1.2838274480502285</v>
      </c>
    </row>
    <row r="37" spans="1:6" x14ac:dyDescent="0.2">
      <c r="A37" s="11">
        <v>0.78</v>
      </c>
      <c r="B37" s="13">
        <v>1.5439095972633154</v>
      </c>
    </row>
    <row r="39" spans="1:6" x14ac:dyDescent="0.2">
      <c r="A39" s="12" t="s">
        <v>110</v>
      </c>
      <c r="E39" s="12" t="s">
        <v>111</v>
      </c>
    </row>
    <row r="40" spans="1:6" x14ac:dyDescent="0.2">
      <c r="A40" s="11">
        <v>0</v>
      </c>
      <c r="B40" s="13">
        <f>F3+NPV(A40,F4:F8)</f>
        <v>-40</v>
      </c>
      <c r="E40" s="11">
        <v>0</v>
      </c>
      <c r="F40" s="13">
        <f>G3+NPV(E40,G4:G8)</f>
        <v>65</v>
      </c>
    </row>
    <row r="41" spans="1:6" x14ac:dyDescent="0.2">
      <c r="A41" s="11">
        <v>0</v>
      </c>
      <c r="B41" s="13">
        <f t="dataTable" ref="B41:B63" dt2D="0" dtr="0" r1="A40"/>
        <v>-40</v>
      </c>
      <c r="E41" s="27">
        <v>-0.3</v>
      </c>
      <c r="F41" s="19">
        <f t="dataTable" ref="F41:F63" dt2D="0" dtr="0" r1="E40"/>
        <v>-200.38674361873063</v>
      </c>
    </row>
    <row r="42" spans="1:6" x14ac:dyDescent="0.2">
      <c r="A42" s="11">
        <v>0.01</v>
      </c>
      <c r="B42" s="13">
        <v>-34.716157518216328</v>
      </c>
      <c r="E42" s="27">
        <v>-0.2</v>
      </c>
      <c r="F42" s="19">
        <v>36.181640625000114</v>
      </c>
    </row>
    <row r="43" spans="1:6" x14ac:dyDescent="0.2">
      <c r="A43" s="11">
        <v>0.02</v>
      </c>
      <c r="B43" s="13">
        <v>-29.842242691390727</v>
      </c>
      <c r="E43" s="11">
        <v>0.02</v>
      </c>
      <c r="F43" s="13">
        <v>59.028365144207953</v>
      </c>
    </row>
    <row r="44" spans="1:6" x14ac:dyDescent="0.2">
      <c r="A44" s="11">
        <v>0.03</v>
      </c>
      <c r="B44" s="13">
        <v>-25.346764590800252</v>
      </c>
      <c r="E44" s="11">
        <v>0.03</v>
      </c>
      <c r="F44" s="13">
        <v>55.868328474530756</v>
      </c>
    </row>
    <row r="45" spans="1:6" x14ac:dyDescent="0.2">
      <c r="A45" s="11">
        <v>0.04</v>
      </c>
      <c r="B45" s="13">
        <v>-21.200818827718248</v>
      </c>
      <c r="E45" s="11">
        <v>0.04</v>
      </c>
      <c r="F45" s="13">
        <v>52.615749219618976</v>
      </c>
    </row>
    <row r="46" spans="1:6" x14ac:dyDescent="0.2">
      <c r="A46" s="11">
        <v>0.05</v>
      </c>
      <c r="B46" s="13">
        <v>-17.377857452594814</v>
      </c>
      <c r="E46" s="11">
        <v>0.05</v>
      </c>
      <c r="F46" s="13">
        <v>49.286109721576508</v>
      </c>
    </row>
    <row r="47" spans="1:6" x14ac:dyDescent="0.2">
      <c r="A47" s="11">
        <v>0.06</v>
      </c>
      <c r="B47" s="13">
        <v>-13.853481020179219</v>
      </c>
      <c r="E47" s="11">
        <v>0.06</v>
      </c>
      <c r="F47" s="13">
        <v>45.893323388829458</v>
      </c>
    </row>
    <row r="48" spans="1:6" x14ac:dyDescent="0.2">
      <c r="A48" s="11">
        <v>7.0000000000000007E-2</v>
      </c>
      <c r="B48" s="13">
        <v>-10.605250517267049</v>
      </c>
      <c r="E48" s="11">
        <v>7.0000000000000007E-2</v>
      </c>
      <c r="F48" s="13">
        <v>42.449887139125394</v>
      </c>
    </row>
    <row r="49" spans="1:6" x14ac:dyDescent="0.2">
      <c r="A49" s="11">
        <v>0.08</v>
      </c>
      <c r="B49" s="13">
        <v>-7.6125171067036277</v>
      </c>
      <c r="E49" s="11">
        <v>0.08</v>
      </c>
      <c r="F49" s="13">
        <v>38.967018533188593</v>
      </c>
    </row>
    <row r="50" spans="1:6" x14ac:dyDescent="0.2">
      <c r="A50" s="11">
        <v>0.09</v>
      </c>
      <c r="B50" s="13">
        <v>-4.8562678675996622</v>
      </c>
      <c r="E50" s="11">
        <v>0.09</v>
      </c>
      <c r="F50" s="13">
        <v>35.454779220921068</v>
      </c>
    </row>
    <row r="51" spans="1:6" x14ac:dyDescent="0.2">
      <c r="A51" s="27">
        <v>0.1</v>
      </c>
      <c r="B51" s="19">
        <v>-2.3189859112951403</v>
      </c>
      <c r="E51" s="75">
        <v>0.1</v>
      </c>
      <c r="F51" s="76">
        <v>31.922186139794235</v>
      </c>
    </row>
    <row r="52" spans="1:6" x14ac:dyDescent="0.2">
      <c r="A52" s="27">
        <v>0.11</v>
      </c>
      <c r="B52" s="19">
        <v>1.5476571191989308E-2</v>
      </c>
      <c r="E52" s="27">
        <v>0.11</v>
      </c>
      <c r="F52" s="19">
        <v>28.377311744568317</v>
      </c>
    </row>
    <row r="53" spans="1:6" x14ac:dyDescent="0.2">
      <c r="A53" s="11">
        <v>0.3</v>
      </c>
      <c r="B53" s="13">
        <v>20.324851263018694</v>
      </c>
      <c r="E53" s="27">
        <v>0.3</v>
      </c>
      <c r="F53" s="19">
        <v>-35.14852151804638</v>
      </c>
    </row>
    <row r="54" spans="1:6" x14ac:dyDescent="0.2">
      <c r="A54" s="11">
        <v>0.6</v>
      </c>
      <c r="B54" s="13">
        <v>19.31610107421875</v>
      </c>
      <c r="E54" s="75">
        <v>0.6</v>
      </c>
      <c r="F54" s="76">
        <v>-106.36749267578131</v>
      </c>
    </row>
    <row r="55" spans="1:6" x14ac:dyDescent="0.2">
      <c r="A55" s="11">
        <v>0.9</v>
      </c>
      <c r="B55" s="13">
        <v>12.687023014830991</v>
      </c>
      <c r="E55" s="75">
        <v>0.9</v>
      </c>
      <c r="F55" s="76">
        <v>-149.17695132545185</v>
      </c>
    </row>
    <row r="56" spans="1:6" x14ac:dyDescent="0.2">
      <c r="A56" s="11">
        <v>1.2</v>
      </c>
      <c r="B56" s="13">
        <v>6.9822602778002008</v>
      </c>
      <c r="E56" s="75">
        <v>1.2</v>
      </c>
      <c r="F56" s="76">
        <v>-175.64358495135082</v>
      </c>
    </row>
    <row r="57" spans="1:6" x14ac:dyDescent="0.2">
      <c r="A57" s="27">
        <v>1.5</v>
      </c>
      <c r="B57" s="19">
        <v>2.6479999999999961</v>
      </c>
      <c r="E57" s="75">
        <v>1.5</v>
      </c>
      <c r="F57" s="76">
        <v>-192.83199999999999</v>
      </c>
    </row>
    <row r="58" spans="1:6" x14ac:dyDescent="0.2">
      <c r="A58" s="27">
        <v>1.8</v>
      </c>
      <c r="B58" s="19">
        <v>-0.63068959362169963</v>
      </c>
      <c r="E58" s="75">
        <v>1.8</v>
      </c>
      <c r="F58" s="76">
        <v>-204.53010650324268</v>
      </c>
    </row>
    <row r="59" spans="1:6" x14ac:dyDescent="0.2">
      <c r="A59" s="11">
        <v>2.1</v>
      </c>
      <c r="B59" s="13">
        <v>-3.1636276954213542</v>
      </c>
      <c r="E59" s="75">
        <v>2.1</v>
      </c>
      <c r="F59" s="76">
        <v>-212.82174591904595</v>
      </c>
    </row>
    <row r="60" spans="1:6" x14ac:dyDescent="0.2">
      <c r="A60" s="11">
        <v>2.4</v>
      </c>
      <c r="B60" s="13">
        <v>-5.1712249895588052</v>
      </c>
      <c r="E60" s="75">
        <v>2.4</v>
      </c>
      <c r="F60" s="76">
        <v>-218.90519608664815</v>
      </c>
    </row>
    <row r="61" spans="1:6" x14ac:dyDescent="0.2">
      <c r="A61" s="11">
        <v>2.7</v>
      </c>
      <c r="B61" s="13">
        <v>-6.8016038513637191</v>
      </c>
      <c r="E61" s="75">
        <v>2.7</v>
      </c>
      <c r="F61" s="76">
        <v>-223.50100961212814</v>
      </c>
    </row>
    <row r="62" spans="1:6" x14ac:dyDescent="0.2">
      <c r="A62" s="11">
        <v>3</v>
      </c>
      <c r="B62" s="13">
        <v>-8.154296875</v>
      </c>
      <c r="E62" s="11">
        <v>3</v>
      </c>
      <c r="F62" s="13">
        <v>-227.060546875</v>
      </c>
    </row>
    <row r="63" spans="1:6" x14ac:dyDescent="0.2">
      <c r="A63" s="11">
        <v>3.3</v>
      </c>
      <c r="B63" s="13">
        <v>-9.2973590299163948</v>
      </c>
      <c r="E63" s="11">
        <v>3.3</v>
      </c>
      <c r="F63" s="13">
        <v>-229.87699352750781</v>
      </c>
    </row>
  </sheetData>
  <mergeCells count="1">
    <mergeCell ref="A1:G1"/>
  </mergeCells>
  <printOptions headings="1" gridLines="1"/>
  <pageMargins left="0.7" right="0.7" top="0.75" bottom="0.75" header="0.3" footer="0.3"/>
  <pageSetup orientation="portrait" verticalDpi="4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4"/>
  <sheetViews>
    <sheetView workbookViewId="0">
      <selection activeCell="J17" sqref="J17"/>
    </sheetView>
  </sheetViews>
  <sheetFormatPr defaultRowHeight="12.75" x14ac:dyDescent="0.2"/>
  <cols>
    <col min="1" max="1" width="10.5703125" bestFit="1" customWidth="1"/>
    <col min="3" max="3" width="27.5703125" bestFit="1" customWidth="1"/>
  </cols>
  <sheetData>
    <row r="1" spans="1:7" ht="18" x14ac:dyDescent="0.25">
      <c r="A1" s="84" t="s">
        <v>54</v>
      </c>
      <c r="B1" s="84"/>
      <c r="C1" s="84"/>
      <c r="D1" s="84"/>
      <c r="E1" s="84"/>
      <c r="F1" s="84"/>
      <c r="G1" s="84"/>
    </row>
    <row r="2" spans="1:7" x14ac:dyDescent="0.2">
      <c r="A2" s="8" t="s">
        <v>13</v>
      </c>
      <c r="B2" s="8" t="s">
        <v>55</v>
      </c>
    </row>
    <row r="3" spans="1:7" x14ac:dyDescent="0.2">
      <c r="A3" s="1">
        <v>0</v>
      </c>
      <c r="B3" s="25">
        <v>-800</v>
      </c>
    </row>
    <row r="4" spans="1:7" x14ac:dyDescent="0.2">
      <c r="A4" s="1">
        <v>1</v>
      </c>
      <c r="B4" s="25">
        <v>450</v>
      </c>
    </row>
    <row r="5" spans="1:7" x14ac:dyDescent="0.2">
      <c r="A5" s="1">
        <v>2</v>
      </c>
      <c r="B5" s="25">
        <v>450</v>
      </c>
    </row>
    <row r="6" spans="1:7" x14ac:dyDescent="0.2">
      <c r="A6" s="1">
        <v>3</v>
      </c>
      <c r="B6" s="25">
        <v>450</v>
      </c>
    </row>
    <row r="7" spans="1:7" x14ac:dyDescent="0.2">
      <c r="A7" s="1">
        <v>4</v>
      </c>
      <c r="B7" s="25">
        <v>450</v>
      </c>
    </row>
    <row r="8" spans="1:7" x14ac:dyDescent="0.2">
      <c r="A8" s="1">
        <v>5</v>
      </c>
      <c r="B8" s="25">
        <v>450</v>
      </c>
    </row>
    <row r="9" spans="1:7" x14ac:dyDescent="0.2">
      <c r="A9" s="1">
        <v>6</v>
      </c>
      <c r="B9" s="25">
        <v>-1500</v>
      </c>
    </row>
    <row r="11" spans="1:7" x14ac:dyDescent="0.2">
      <c r="A11" s="26" t="s">
        <v>56</v>
      </c>
      <c r="B11" s="15">
        <f>IRR(B3:B9,0)</f>
        <v>2.6843898878733619E-2</v>
      </c>
      <c r="C11" t="str">
        <f ca="1">getformula(B11)</f>
        <v>&lt;-- =IRR(B3:B9,0)</v>
      </c>
    </row>
    <row r="12" spans="1:7" x14ac:dyDescent="0.2">
      <c r="A12" s="26" t="s">
        <v>57</v>
      </c>
      <c r="B12" s="15">
        <f>IRR(B3:B9,25%)</f>
        <v>0.27741685573861674</v>
      </c>
      <c r="C12" t="str">
        <f ca="1">getformula(B12)</f>
        <v>&lt;-- =IRR(B3:B9,25%)</v>
      </c>
    </row>
    <row r="14" spans="1:7" x14ac:dyDescent="0.2">
      <c r="A14" s="89" t="s">
        <v>112</v>
      </c>
      <c r="B14" s="89"/>
      <c r="C14" s="89"/>
    </row>
    <row r="15" spans="1:7" ht="25.5" x14ac:dyDescent="0.2">
      <c r="A15" s="2" t="s">
        <v>21</v>
      </c>
      <c r="B15" s="2" t="s">
        <v>6</v>
      </c>
    </row>
    <row r="16" spans="1:7" x14ac:dyDescent="0.2">
      <c r="A16" s="36">
        <v>0</v>
      </c>
      <c r="B16" s="13">
        <f>$B$3+NPV(A16,$B$4:$B$9)</f>
        <v>-50</v>
      </c>
      <c r="C16" t="str">
        <f ca="1">getformula(B16)</f>
        <v>&lt;-- =$B$3+NPV(A16,$B$4:$B$9)</v>
      </c>
    </row>
    <row r="17" spans="1:3" x14ac:dyDescent="0.2">
      <c r="A17" s="3">
        <v>0.02</v>
      </c>
      <c r="B17" s="13">
        <f t="shared" ref="B17:B34" si="0">$B$3+NPV(A17,$B$4:$B$9)</f>
        <v>-10.900294452395769</v>
      </c>
      <c r="C17" t="str">
        <f t="shared" ref="C17:C19" ca="1" si="1">getformula(B17)</f>
        <v>&lt;-- =$B$3+NPV(A17,$B$4:$B$9)</v>
      </c>
    </row>
    <row r="18" spans="1:3" x14ac:dyDescent="0.2">
      <c r="A18" s="36">
        <v>0.04</v>
      </c>
      <c r="B18" s="13">
        <f t="shared" si="0"/>
        <v>17.848260362074143</v>
      </c>
      <c r="C18" t="str">
        <f t="shared" ca="1" si="1"/>
        <v>&lt;-- =$B$3+NPV(A18,$B$4:$B$9)</v>
      </c>
    </row>
    <row r="19" spans="1:3" x14ac:dyDescent="0.2">
      <c r="A19" s="3">
        <v>0.06</v>
      </c>
      <c r="B19" s="13">
        <f t="shared" si="0"/>
        <v>38.122892845056299</v>
      </c>
      <c r="C19" t="str">
        <f t="shared" ca="1" si="1"/>
        <v>&lt;-- =$B$3+NPV(A19,$B$4:$B$9)</v>
      </c>
    </row>
    <row r="20" spans="1:3" x14ac:dyDescent="0.2">
      <c r="A20" s="36">
        <v>0.08</v>
      </c>
      <c r="B20" s="13">
        <f t="shared" si="0"/>
        <v>51.465076360481135</v>
      </c>
    </row>
    <row r="21" spans="1:3" x14ac:dyDescent="0.2">
      <c r="A21" s="3">
        <v>0.1</v>
      </c>
      <c r="B21" s="13">
        <f t="shared" si="0"/>
        <v>59.143151153135591</v>
      </c>
    </row>
    <row r="22" spans="1:3" x14ac:dyDescent="0.2">
      <c r="A22" s="36">
        <v>0.12</v>
      </c>
      <c r="B22" s="13">
        <f t="shared" si="0"/>
        <v>62.20260928927064</v>
      </c>
    </row>
    <row r="23" spans="1:3" x14ac:dyDescent="0.2">
      <c r="A23" s="3">
        <v>0.14000000000000001</v>
      </c>
      <c r="B23" s="13">
        <f t="shared" si="0"/>
        <v>61.506614460234118</v>
      </c>
    </row>
    <row r="24" spans="1:3" x14ac:dyDescent="0.2">
      <c r="A24" s="36">
        <v>0.16</v>
      </c>
      <c r="B24" s="13">
        <f t="shared" si="0"/>
        <v>57.768762146432323</v>
      </c>
    </row>
    <row r="25" spans="1:3" x14ac:dyDescent="0.2">
      <c r="A25" s="3">
        <v>0.18</v>
      </c>
      <c r="B25" s="13">
        <f t="shared" si="0"/>
        <v>51.579650656321746</v>
      </c>
    </row>
    <row r="26" spans="1:3" x14ac:dyDescent="0.2">
      <c r="A26" s="36">
        <v>0.2</v>
      </c>
      <c r="B26" s="13">
        <f t="shared" si="0"/>
        <v>43.428497942386912</v>
      </c>
    </row>
    <row r="27" spans="1:3" x14ac:dyDescent="0.2">
      <c r="A27" s="3">
        <v>0.22</v>
      </c>
      <c r="B27" s="13">
        <f t="shared" si="0"/>
        <v>33.720779016992424</v>
      </c>
    </row>
    <row r="28" spans="1:3" x14ac:dyDescent="0.2">
      <c r="A28" s="36">
        <v>0.24</v>
      </c>
      <c r="B28" s="13">
        <f t="shared" si="0"/>
        <v>22.792656394627556</v>
      </c>
    </row>
    <row r="29" spans="1:3" x14ac:dyDescent="0.2">
      <c r="A29" s="3">
        <v>0.26</v>
      </c>
      <c r="B29" s="13">
        <f t="shared" si="0"/>
        <v>10.922817839236245</v>
      </c>
    </row>
    <row r="30" spans="1:3" x14ac:dyDescent="0.2">
      <c r="A30" s="36">
        <v>0.28000000000000003</v>
      </c>
      <c r="B30" s="13">
        <f t="shared" si="0"/>
        <v>-1.6577883623540401</v>
      </c>
    </row>
    <row r="31" spans="1:3" x14ac:dyDescent="0.2">
      <c r="A31" s="3">
        <v>0.3</v>
      </c>
      <c r="B31" s="13">
        <f t="shared" si="0"/>
        <v>-14.757928063861527</v>
      </c>
    </row>
    <row r="32" spans="1:3" x14ac:dyDescent="0.2">
      <c r="A32" s="36">
        <v>0.32</v>
      </c>
      <c r="B32" s="13">
        <f t="shared" si="0"/>
        <v>-28.219450520495343</v>
      </c>
    </row>
    <row r="33" spans="1:2" x14ac:dyDescent="0.2">
      <c r="A33" s="3">
        <v>0.34</v>
      </c>
      <c r="B33" s="13">
        <f t="shared" si="0"/>
        <v>-41.911798130735065</v>
      </c>
    </row>
    <row r="34" spans="1:2" x14ac:dyDescent="0.2">
      <c r="A34" s="36">
        <v>0.36</v>
      </c>
      <c r="B34" s="13">
        <f t="shared" si="0"/>
        <v>-55.727451260729595</v>
      </c>
    </row>
  </sheetData>
  <mergeCells count="2">
    <mergeCell ref="A14:C14"/>
    <mergeCell ref="A1:G1"/>
  </mergeCells>
  <printOptions headings="1" gridLines="1"/>
  <pageMargins left="0.7" right="0.7" top="0.75" bottom="0.75" header="0.3" footer="0.3"/>
  <pageSetup orientation="portrait" verticalDpi="4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workbookViewId="0">
      <selection activeCell="E14" sqref="E14"/>
    </sheetView>
  </sheetViews>
  <sheetFormatPr defaultRowHeight="12.75" x14ac:dyDescent="0.2"/>
  <cols>
    <col min="3" max="3" width="14" bestFit="1" customWidth="1"/>
    <col min="4" max="4" width="11.7109375" customWidth="1"/>
    <col min="5" max="5" width="26" bestFit="1" customWidth="1"/>
  </cols>
  <sheetData>
    <row r="1" spans="1:5" ht="37.5" customHeight="1" x14ac:dyDescent="0.2">
      <c r="A1" s="90" t="s">
        <v>82</v>
      </c>
      <c r="B1" s="90"/>
      <c r="C1" s="90"/>
      <c r="D1" s="90"/>
      <c r="E1" s="90"/>
    </row>
    <row r="2" spans="1:5" s="24" customFormat="1" ht="38.25" x14ac:dyDescent="0.2">
      <c r="A2" s="2" t="s">
        <v>13</v>
      </c>
      <c r="B2" s="2" t="s">
        <v>55</v>
      </c>
      <c r="D2" s="54" t="s">
        <v>83</v>
      </c>
    </row>
    <row r="3" spans="1:5" x14ac:dyDescent="0.2">
      <c r="A3" s="1">
        <v>0</v>
      </c>
      <c r="B3" s="25">
        <v>-1000</v>
      </c>
      <c r="D3" s="13">
        <f>B3</f>
        <v>-1000</v>
      </c>
      <c r="E3" t="str">
        <f ca="1">getformula(D3)</f>
        <v>&lt;-- =B3</v>
      </c>
    </row>
    <row r="4" spans="1:5" x14ac:dyDescent="0.2">
      <c r="A4" s="1">
        <v>1</v>
      </c>
      <c r="B4">
        <v>200</v>
      </c>
      <c r="D4" s="13">
        <f>B4*(1+$B$11)^(5-A4)</f>
        <v>275.70709835526446</v>
      </c>
      <c r="E4" t="str">
        <f ca="1">getformula(D4)</f>
        <v>&lt;-- =B4*(1+$B$11)^(5-A4)</v>
      </c>
    </row>
    <row r="5" spans="1:5" x14ac:dyDescent="0.2">
      <c r="A5" s="1">
        <v>2</v>
      </c>
      <c r="B5">
        <v>300</v>
      </c>
      <c r="D5" s="13">
        <f>B5*(1+$B$11)^(5-A5)</f>
        <v>381.66709439947095</v>
      </c>
      <c r="E5" t="str">
        <f ca="1">getformula(D5)</f>
        <v>&lt;-- =B5*(1+$B$11)^(5-A5)</v>
      </c>
    </row>
    <row r="6" spans="1:5" x14ac:dyDescent="0.2">
      <c r="A6" s="1">
        <v>3</v>
      </c>
      <c r="B6">
        <v>400</v>
      </c>
      <c r="D6" s="13">
        <f>B6*(1+$B$11)^(5-A6)</f>
        <v>469.64420435496868</v>
      </c>
    </row>
    <row r="7" spans="1:5" x14ac:dyDescent="0.2">
      <c r="A7" s="1">
        <v>4</v>
      </c>
      <c r="B7">
        <v>200</v>
      </c>
      <c r="D7" s="13">
        <f>B7*(1+$B$11)^(5-A7)</f>
        <v>216.71276020460093</v>
      </c>
    </row>
    <row r="8" spans="1:5" x14ac:dyDescent="0.2">
      <c r="A8" s="1">
        <v>5</v>
      </c>
      <c r="B8">
        <v>150</v>
      </c>
      <c r="D8" s="13">
        <f>B8*(1+$B$11)^(5-A8)</f>
        <v>150</v>
      </c>
      <c r="E8" t="str">
        <f ca="1">getformula(D8)</f>
        <v>&lt;-- =B8*(1+$B$11)^(5-A8)</v>
      </c>
    </row>
    <row r="10" spans="1:5" x14ac:dyDescent="0.2">
      <c r="D10" s="13">
        <f>SUM(D4:D8)</f>
        <v>1493.7311573143049</v>
      </c>
      <c r="E10" t="e">
        <f ca="1">"&lt;-- "&amp;_xlfn.FORMULATEXT(D10)</f>
        <v>#NAME?</v>
      </c>
    </row>
    <row r="11" spans="1:5" x14ac:dyDescent="0.2">
      <c r="A11" s="26" t="s">
        <v>12</v>
      </c>
      <c r="B11" s="15">
        <f>IRR(B3:B8)</f>
        <v>8.3563801023004647E-2</v>
      </c>
      <c r="C11" t="str">
        <f ca="1">getformula(B11)</f>
        <v>&lt;-- =IRR(B3:B8)</v>
      </c>
      <c r="D11" s="14">
        <f>(D10/-D3)^(1/5)-1</f>
        <v>8.3563801023009976E-2</v>
      </c>
      <c r="E11" t="str">
        <f ca="1">getformula(D11)</f>
        <v>&lt;-- =(D10/-D3)^(1/5)-1</v>
      </c>
    </row>
  </sheetData>
  <mergeCells count="1">
    <mergeCell ref="A1:E1"/>
  </mergeCells>
  <printOptions headings="1" gridLines="1"/>
  <pageMargins left="0.7" right="0.7" top="0.75" bottom="0.75" header="0.3" footer="0.3"/>
  <pageSetup orientation="portrait" verticalDpi="4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3"/>
  <sheetViews>
    <sheetView workbookViewId="0">
      <selection sqref="A1:E13"/>
    </sheetView>
  </sheetViews>
  <sheetFormatPr defaultColWidth="9" defaultRowHeight="14.25" x14ac:dyDescent="0.2"/>
  <cols>
    <col min="1" max="1" width="13.5703125" style="51" customWidth="1"/>
    <col min="2" max="2" width="9" style="51"/>
    <col min="3" max="3" width="14.7109375" style="51" bestFit="1" customWidth="1"/>
    <col min="4" max="4" width="11.7109375" style="51" customWidth="1"/>
    <col min="5" max="5" width="26" style="51" bestFit="1" customWidth="1"/>
    <col min="6" max="16384" width="9" style="51"/>
  </cols>
  <sheetData>
    <row r="1" spans="1:5" ht="37.5" customHeight="1" x14ac:dyDescent="0.25">
      <c r="A1" s="91" t="s">
        <v>85</v>
      </c>
      <c r="B1" s="91"/>
      <c r="C1" s="91"/>
      <c r="D1" s="91"/>
      <c r="E1" s="91"/>
    </row>
    <row r="2" spans="1:5" ht="27.4" customHeight="1" x14ac:dyDescent="0.2">
      <c r="A2" s="65" t="s">
        <v>84</v>
      </c>
      <c r="B2" s="64">
        <v>0.05</v>
      </c>
      <c r="C2" s="55"/>
      <c r="D2" s="55"/>
      <c r="E2" s="55"/>
    </row>
    <row r="3" spans="1:5" s="57" customFormat="1" ht="45" x14ac:dyDescent="0.25">
      <c r="A3" s="56" t="s">
        <v>13</v>
      </c>
      <c r="B3" s="56" t="s">
        <v>55</v>
      </c>
      <c r="D3" s="58" t="s">
        <v>83</v>
      </c>
    </row>
    <row r="4" spans="1:5" x14ac:dyDescent="0.2">
      <c r="A4" s="52">
        <v>0</v>
      </c>
      <c r="B4" s="59">
        <v>-1000</v>
      </c>
      <c r="D4" s="60">
        <f>B4</f>
        <v>-1000</v>
      </c>
      <c r="E4" s="51" t="str">
        <f ca="1">getformula(D4)</f>
        <v>&lt;-- =B4</v>
      </c>
    </row>
    <row r="5" spans="1:5" x14ac:dyDescent="0.2">
      <c r="A5" s="52">
        <v>1</v>
      </c>
      <c r="B5" s="51">
        <v>200</v>
      </c>
      <c r="D5" s="60">
        <f>B5*(1+$B$2)^(5-A5)</f>
        <v>243.10124999999999</v>
      </c>
      <c r="E5" s="51" t="str">
        <f ca="1">getformula(D5)</f>
        <v>&lt;-- =B5*(1+$B$2)^(5-A5)</v>
      </c>
    </row>
    <row r="6" spans="1:5" x14ac:dyDescent="0.2">
      <c r="A6" s="52">
        <v>2</v>
      </c>
      <c r="B6" s="51">
        <v>300</v>
      </c>
      <c r="D6" s="60">
        <f>B6*(1+$B$2)^(5-A6)</f>
        <v>347.28750000000002</v>
      </c>
      <c r="E6" s="51" t="str">
        <f ca="1">getformula(D6)</f>
        <v>&lt;-- =B6*(1+$B$2)^(5-A6)</v>
      </c>
    </row>
    <row r="7" spans="1:5" ht="13.5" customHeight="1" x14ac:dyDescent="0.2">
      <c r="A7" s="52">
        <v>3</v>
      </c>
      <c r="B7" s="51">
        <v>400</v>
      </c>
      <c r="D7" s="60">
        <f>B7*(1+$B$2)^(5-A7)</f>
        <v>441</v>
      </c>
    </row>
    <row r="8" spans="1:5" x14ac:dyDescent="0.2">
      <c r="A8" s="52">
        <v>4</v>
      </c>
      <c r="B8" s="51">
        <v>200</v>
      </c>
      <c r="D8" s="60">
        <f>B8*(1+$B$2)^(5-A8)</f>
        <v>210</v>
      </c>
    </row>
    <row r="9" spans="1:5" x14ac:dyDescent="0.2">
      <c r="A9" s="52">
        <v>5</v>
      </c>
      <c r="B9" s="51">
        <v>150</v>
      </c>
      <c r="D9" s="60">
        <f>B9*(1+$B$2)^(5-A9)</f>
        <v>150</v>
      </c>
      <c r="E9" s="51" t="str">
        <f ca="1">getformula(D9)</f>
        <v>&lt;-- =B9*(1+$B$2)^(5-A9)</v>
      </c>
    </row>
    <row r="11" spans="1:5" x14ac:dyDescent="0.2">
      <c r="D11" s="60">
        <f>SUM(D5:D9)</f>
        <v>1391.3887500000001</v>
      </c>
      <c r="E11" s="51" t="e">
        <f ca="1">"&lt;-- "&amp;_xlfn.FORMULATEXT(D11)</f>
        <v>#NAME?</v>
      </c>
    </row>
    <row r="12" spans="1:5" x14ac:dyDescent="0.2">
      <c r="A12" s="61" t="s">
        <v>12</v>
      </c>
      <c r="B12" s="62">
        <f>IRR(B4:B9)</f>
        <v>8.3563801023004647E-2</v>
      </c>
      <c r="C12" s="51" t="str">
        <f ca="1">getformula(B12)</f>
        <v>&lt;-- =IRR(B4:B9)</v>
      </c>
      <c r="D12" s="63">
        <f>(D11/-D4)^(1/5)-1</f>
        <v>6.8291314594900454E-2</v>
      </c>
      <c r="E12" s="51" t="str">
        <f ca="1">getformula(D12)</f>
        <v>&lt;-- =(D11/-D4)^(1/5)-1</v>
      </c>
    </row>
    <row r="13" spans="1:5" x14ac:dyDescent="0.2">
      <c r="D13" s="62">
        <f>MIRR(B4:B9,0,B2)</f>
        <v>6.8291314594900454E-2</v>
      </c>
      <c r="E13" s="51" t="str">
        <f ca="1">getformula(D13)</f>
        <v>&lt;-- =MIRR(B4:B9,0,B2)</v>
      </c>
    </row>
  </sheetData>
  <mergeCells count="1">
    <mergeCell ref="A1:E1"/>
  </mergeCells>
  <printOptions headings="1" gridLines="1"/>
  <pageMargins left="0.7" right="0.7" top="0.75" bottom="0.75" header="0.3" footer="0.3"/>
  <pageSetup orientation="portrait" verticalDpi="4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activeCell="G9" sqref="G9"/>
    </sheetView>
  </sheetViews>
  <sheetFormatPr defaultColWidth="9" defaultRowHeight="14.25" x14ac:dyDescent="0.2"/>
  <cols>
    <col min="1" max="1" width="13.5703125" style="51" customWidth="1"/>
    <col min="2" max="2" width="9" style="51"/>
    <col min="3" max="3" width="18.7109375" style="51" bestFit="1" customWidth="1"/>
    <col min="4" max="4" width="11.7109375" style="51" customWidth="1"/>
    <col min="5" max="5" width="14" style="51" customWidth="1"/>
    <col min="6" max="6" width="33.28515625" style="51" customWidth="1"/>
    <col min="7" max="16384" width="9" style="51"/>
  </cols>
  <sheetData>
    <row r="1" spans="1:6" ht="27.4" customHeight="1" x14ac:dyDescent="0.2">
      <c r="A1" s="90" t="s">
        <v>86</v>
      </c>
      <c r="B1" s="90"/>
      <c r="C1" s="90"/>
      <c r="D1" s="90"/>
      <c r="E1" s="90"/>
      <c r="F1" s="90"/>
    </row>
    <row r="2" spans="1:6" ht="27.4" customHeight="1" x14ac:dyDescent="0.2">
      <c r="A2" s="61" t="s">
        <v>87</v>
      </c>
      <c r="B2" s="67">
        <v>0.08</v>
      </c>
      <c r="C2" s="55"/>
      <c r="D2" s="55"/>
      <c r="E2" s="55"/>
    </row>
    <row r="3" spans="1:6" ht="27.4" customHeight="1" x14ac:dyDescent="0.2">
      <c r="A3" s="65" t="s">
        <v>84</v>
      </c>
      <c r="B3" s="64">
        <v>0.05</v>
      </c>
      <c r="C3" s="55"/>
      <c r="D3" s="55"/>
      <c r="E3" s="55"/>
    </row>
    <row r="4" spans="1:6" s="57" customFormat="1" ht="60" x14ac:dyDescent="0.25">
      <c r="A4" s="56" t="s">
        <v>13</v>
      </c>
      <c r="B4" s="56" t="s">
        <v>55</v>
      </c>
      <c r="D4" s="58" t="s">
        <v>114</v>
      </c>
      <c r="E4" s="56" t="s">
        <v>113</v>
      </c>
    </row>
    <row r="5" spans="1:6" x14ac:dyDescent="0.2">
      <c r="A5" s="52">
        <v>0</v>
      </c>
      <c r="B5" s="59">
        <v>-1000</v>
      </c>
      <c r="D5" s="60">
        <f>B5</f>
        <v>-1000</v>
      </c>
      <c r="E5" s="60">
        <f>IF(B5&lt;=0,B5/(1+$B$2)^A5,0)</f>
        <v>-1000</v>
      </c>
      <c r="F5" s="51" t="str">
        <f ca="1">getformula(E5)</f>
        <v>&lt;-- =IF(B5&lt;=0,B5/(1+$B$2)^A5,0)</v>
      </c>
    </row>
    <row r="6" spans="1:6" x14ac:dyDescent="0.2">
      <c r="A6" s="52">
        <v>1</v>
      </c>
      <c r="B6" s="51">
        <v>800</v>
      </c>
      <c r="D6" s="60">
        <f>IF(B6&gt;0,B6*(1+$B$3)^(5-A6),0)</f>
        <v>972.40499999999997</v>
      </c>
      <c r="E6" s="60">
        <f>IF(B6&lt;=0,B6/(1+$B$2)^A6,0)</f>
        <v>0</v>
      </c>
      <c r="F6" s="51" t="str">
        <f ca="1">getformula(E6)</f>
        <v>&lt;-- =IF(B6&lt;=0,B6/(1+$B$2)^A6,0)</v>
      </c>
    </row>
    <row r="7" spans="1:6" x14ac:dyDescent="0.2">
      <c r="A7" s="52">
        <v>2</v>
      </c>
      <c r="B7" s="51">
        <v>-300</v>
      </c>
      <c r="D7" s="60">
        <f t="shared" ref="D7:D10" si="0">IF(B7&gt;0,B7*(1+$B$3)^(5-A7),0)</f>
        <v>0</v>
      </c>
      <c r="E7" s="60">
        <f t="shared" ref="E7:E10" si="1">IF(B7&lt;=0,B7/(1+$B$2)^A7,0)</f>
        <v>-257.20164609053495</v>
      </c>
      <c r="F7" s="51" t="str">
        <f ca="1">getformula(E7)</f>
        <v>&lt;-- =IF(B7&lt;=0,B7/(1+$B$2)^A7,0)</v>
      </c>
    </row>
    <row r="8" spans="1:6" ht="13.5" customHeight="1" x14ac:dyDescent="0.2">
      <c r="A8" s="52">
        <v>3</v>
      </c>
      <c r="B8" s="51">
        <v>-200</v>
      </c>
      <c r="D8" s="60">
        <f t="shared" si="0"/>
        <v>0</v>
      </c>
      <c r="E8" s="60">
        <f t="shared" si="1"/>
        <v>-158.76644820403391</v>
      </c>
      <c r="F8" s="51" t="str">
        <f ca="1">getformula(E8)</f>
        <v>&lt;-- =IF(B8&lt;=0,B8/(1+$B$2)^A8,0)</v>
      </c>
    </row>
    <row r="9" spans="1:6" x14ac:dyDescent="0.2">
      <c r="A9" s="52">
        <v>4</v>
      </c>
      <c r="B9" s="51">
        <v>900</v>
      </c>
      <c r="D9" s="60">
        <f t="shared" si="0"/>
        <v>945</v>
      </c>
      <c r="E9" s="60">
        <f t="shared" si="1"/>
        <v>0</v>
      </c>
    </row>
    <row r="10" spans="1:6" x14ac:dyDescent="0.2">
      <c r="A10" s="52">
        <v>5</v>
      </c>
      <c r="B10" s="51">
        <v>150</v>
      </c>
      <c r="D10" s="60">
        <f t="shared" si="0"/>
        <v>150</v>
      </c>
      <c r="E10" s="60">
        <f t="shared" si="1"/>
        <v>0</v>
      </c>
    </row>
    <row r="12" spans="1:6" ht="28.5" x14ac:dyDescent="0.2">
      <c r="A12" s="68" t="s">
        <v>88</v>
      </c>
      <c r="D12" s="60">
        <f>SUM(E5:E10)</f>
        <v>-1415.9680942945688</v>
      </c>
      <c r="E12" s="51" t="str">
        <f ca="1">getformula(D12)</f>
        <v>&lt;-- =SUM(E5:E10)</v>
      </c>
    </row>
    <row r="13" spans="1:6" ht="28.5" x14ac:dyDescent="0.2">
      <c r="A13" s="68" t="s">
        <v>89</v>
      </c>
      <c r="D13" s="60">
        <f>SUM(D6:D10)</f>
        <v>2067.4049999999997</v>
      </c>
      <c r="E13" s="51" t="str">
        <f ca="1">getformula(D13)</f>
        <v>&lt;-- =SUM(D6:D10)</v>
      </c>
    </row>
    <row r="14" spans="1:6" x14ac:dyDescent="0.2">
      <c r="A14" s="61" t="s">
        <v>12</v>
      </c>
      <c r="B14" s="62">
        <f>IRR(B5:B10)</f>
        <v>0.11553750268500496</v>
      </c>
      <c r="C14" s="51" t="str">
        <f ca="1">getformula(B14)</f>
        <v>&lt;-- =IRR(B5:B10)</v>
      </c>
      <c r="D14" s="63">
        <f>(D13/-D12)^(1/5)-1</f>
        <v>7.8634777925447708E-2</v>
      </c>
      <c r="E14" s="51" t="str">
        <f ca="1">getformula(D14)</f>
        <v>&lt;-- =(D13/-D12)^(1/5)-1</v>
      </c>
    </row>
    <row r="15" spans="1:6" x14ac:dyDescent="0.2">
      <c r="D15" s="62">
        <f>MIRR(B5:B10,B2,B3)</f>
        <v>7.863477792544793E-2</v>
      </c>
      <c r="E15" s="51" t="str">
        <f ca="1">getformula(D15)</f>
        <v>&lt;-- =MIRR(B5:B10,B2,B3)</v>
      </c>
    </row>
  </sheetData>
  <mergeCells count="1">
    <mergeCell ref="A1:F1"/>
  </mergeCells>
  <printOptions headings="1" gridLines="1"/>
  <pageMargins left="0.7" right="0.7" top="0.75" bottom="0.75" header="0.3" footer="0.3"/>
  <pageSetup orientation="portrait" verticalDpi="4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D13"/>
  <sheetViews>
    <sheetView workbookViewId="0">
      <selection activeCell="A2" sqref="A2"/>
    </sheetView>
  </sheetViews>
  <sheetFormatPr defaultColWidth="9" defaultRowHeight="12.75" x14ac:dyDescent="0.2"/>
  <cols>
    <col min="1" max="1" width="13.28515625" style="28" bestFit="1" customWidth="1"/>
    <col min="2" max="2" width="13.85546875" style="28" customWidth="1"/>
    <col min="3" max="3" width="13.7109375" style="28" customWidth="1"/>
    <col min="4" max="4" width="24.85546875" style="28" bestFit="1" customWidth="1"/>
    <col min="5" max="16384" width="9" style="28"/>
  </cols>
  <sheetData>
    <row r="1" spans="1:4" ht="18" x14ac:dyDescent="0.25">
      <c r="A1" s="86" t="s">
        <v>58</v>
      </c>
      <c r="B1" s="86"/>
      <c r="C1" s="86"/>
      <c r="D1" s="86"/>
    </row>
    <row r="2" spans="1:4" x14ac:dyDescent="0.2">
      <c r="A2" s="28" t="s">
        <v>14</v>
      </c>
      <c r="B2" s="35">
        <v>0.12</v>
      </c>
    </row>
    <row r="4" spans="1:4" s="37" customFormat="1" x14ac:dyDescent="0.2">
      <c r="A4" s="31" t="s">
        <v>13</v>
      </c>
      <c r="B4" s="31" t="s">
        <v>59</v>
      </c>
      <c r="C4" s="31" t="s">
        <v>60</v>
      </c>
    </row>
    <row r="5" spans="1:4" x14ac:dyDescent="0.2">
      <c r="A5" s="29">
        <v>0</v>
      </c>
      <c r="B5" s="38">
        <v>-100</v>
      </c>
      <c r="C5" s="38">
        <v>-250</v>
      </c>
    </row>
    <row r="6" spans="1:4" x14ac:dyDescent="0.2">
      <c r="A6" s="29">
        <v>1</v>
      </c>
      <c r="B6" s="38">
        <v>150</v>
      </c>
      <c r="C6" s="38">
        <v>300</v>
      </c>
    </row>
    <row r="7" spans="1:4" x14ac:dyDescent="0.2">
      <c r="A7" s="29">
        <v>2</v>
      </c>
      <c r="B7" s="38">
        <f>B6</f>
        <v>150</v>
      </c>
      <c r="C7" s="38">
        <f>C6</f>
        <v>300</v>
      </c>
    </row>
    <row r="8" spans="1:4" x14ac:dyDescent="0.2">
      <c r="A8" s="29">
        <v>3</v>
      </c>
      <c r="B8" s="38">
        <f>B7</f>
        <v>150</v>
      </c>
      <c r="C8" s="38">
        <f>C7</f>
        <v>300</v>
      </c>
    </row>
    <row r="9" spans="1:4" x14ac:dyDescent="0.2">
      <c r="A9" s="29">
        <v>4</v>
      </c>
      <c r="B9" s="38">
        <f>B8</f>
        <v>150</v>
      </c>
    </row>
    <row r="10" spans="1:4" x14ac:dyDescent="0.2">
      <c r="A10" s="29">
        <v>5</v>
      </c>
      <c r="B10" s="38">
        <f>B9</f>
        <v>150</v>
      </c>
    </row>
    <row r="11" spans="1:4" x14ac:dyDescent="0.2">
      <c r="A11" s="29">
        <v>6</v>
      </c>
      <c r="B11" s="38">
        <f>B10</f>
        <v>150</v>
      </c>
    </row>
    <row r="13" spans="1:4" x14ac:dyDescent="0.2">
      <c r="A13" s="28" t="s">
        <v>6</v>
      </c>
      <c r="B13" s="39">
        <f>B5+NPV($B$2,B6:B11)</f>
        <v>516.71109852834866</v>
      </c>
      <c r="C13" s="39">
        <f>C5+NPV($B$2,C6:C11)</f>
        <v>470.54938046647214</v>
      </c>
      <c r="D13" s="28" t="str">
        <f ca="1">getformula(C13)</f>
        <v>&lt;-- =C5+NPV($B$2,C6:C11)</v>
      </c>
    </row>
  </sheetData>
  <mergeCells count="1">
    <mergeCell ref="A1:D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D13"/>
  <sheetViews>
    <sheetView workbookViewId="0">
      <selection activeCell="A2" sqref="A2"/>
    </sheetView>
  </sheetViews>
  <sheetFormatPr defaultColWidth="9" defaultRowHeight="12.75" x14ac:dyDescent="0.2"/>
  <cols>
    <col min="1" max="1" width="13.28515625" style="28" bestFit="1" customWidth="1"/>
    <col min="2" max="2" width="13.85546875" style="28" customWidth="1"/>
    <col min="3" max="3" width="13.7109375" style="28" customWidth="1"/>
    <col min="4" max="4" width="24.85546875" style="28" bestFit="1" customWidth="1"/>
    <col min="5" max="16384" width="9" style="28"/>
  </cols>
  <sheetData>
    <row r="1" spans="1:4" ht="37.15" customHeight="1" x14ac:dyDescent="0.2">
      <c r="A1" s="92" t="s">
        <v>61</v>
      </c>
      <c r="B1" s="93"/>
      <c r="C1" s="93"/>
      <c r="D1" s="93"/>
    </row>
    <row r="2" spans="1:4" x14ac:dyDescent="0.2">
      <c r="A2" s="28" t="s">
        <v>14</v>
      </c>
      <c r="B2" s="35">
        <v>0.12</v>
      </c>
    </row>
    <row r="4" spans="1:4" s="37" customFormat="1" x14ac:dyDescent="0.2">
      <c r="A4" s="31" t="s">
        <v>13</v>
      </c>
      <c r="B4" s="31" t="s">
        <v>62</v>
      </c>
      <c r="C4" s="31" t="s">
        <v>63</v>
      </c>
    </row>
    <row r="5" spans="1:4" x14ac:dyDescent="0.2">
      <c r="A5" s="29">
        <v>0</v>
      </c>
      <c r="B5" s="28">
        <v>-100</v>
      </c>
      <c r="C5" s="28">
        <v>-250</v>
      </c>
    </row>
    <row r="6" spans="1:4" x14ac:dyDescent="0.2">
      <c r="A6" s="29">
        <v>1</v>
      </c>
      <c r="B6" s="28">
        <v>150</v>
      </c>
      <c r="C6" s="28">
        <v>300</v>
      </c>
    </row>
    <row r="7" spans="1:4" x14ac:dyDescent="0.2">
      <c r="A7" s="29">
        <v>2</v>
      </c>
      <c r="B7" s="28">
        <f>B6</f>
        <v>150</v>
      </c>
      <c r="C7" s="28">
        <f>C6</f>
        <v>300</v>
      </c>
    </row>
    <row r="8" spans="1:4" x14ac:dyDescent="0.2">
      <c r="A8" s="29">
        <v>3</v>
      </c>
      <c r="B8" s="28">
        <f>B7</f>
        <v>150</v>
      </c>
      <c r="C8" s="28">
        <f>300-250</f>
        <v>50</v>
      </c>
      <c r="D8" s="28" t="str">
        <f ca="1">getformula(C8)</f>
        <v>&lt;-- =300-250</v>
      </c>
    </row>
    <row r="9" spans="1:4" x14ac:dyDescent="0.2">
      <c r="A9" s="29">
        <v>4</v>
      </c>
      <c r="B9" s="28">
        <f>B8</f>
        <v>150</v>
      </c>
      <c r="C9" s="28">
        <v>300</v>
      </c>
    </row>
    <row r="10" spans="1:4" x14ac:dyDescent="0.2">
      <c r="A10" s="29">
        <v>5</v>
      </c>
      <c r="B10" s="28">
        <f>B9</f>
        <v>150</v>
      </c>
      <c r="C10" s="28">
        <v>300</v>
      </c>
    </row>
    <row r="11" spans="1:4" x14ac:dyDescent="0.2">
      <c r="A11" s="29">
        <v>6</v>
      </c>
      <c r="B11" s="28">
        <f>B10</f>
        <v>150</v>
      </c>
      <c r="C11" s="28">
        <v>300</v>
      </c>
    </row>
    <row r="13" spans="1:4" x14ac:dyDescent="0.2">
      <c r="A13" s="28" t="s">
        <v>6</v>
      </c>
      <c r="B13" s="40">
        <f>B5+NPV($B$2,B6:B11)</f>
        <v>516.71109852834866</v>
      </c>
      <c r="C13" s="40">
        <f>C5+NPV($B$2,C6:C11)</f>
        <v>805.47713510334461</v>
      </c>
      <c r="D13" s="28" t="str">
        <f ca="1">getformula(C13)</f>
        <v>&lt;-- =C5+NPV($B$2,C6:C11)</v>
      </c>
    </row>
  </sheetData>
  <mergeCells count="1">
    <mergeCell ref="A1:D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18"/>
  <sheetViews>
    <sheetView workbookViewId="0">
      <selection activeCell="A2" sqref="A2"/>
    </sheetView>
  </sheetViews>
  <sheetFormatPr defaultColWidth="9" defaultRowHeight="12.75" x14ac:dyDescent="0.2"/>
  <cols>
    <col min="1" max="1" width="17.140625" style="28" customWidth="1"/>
    <col min="2" max="2" width="13.85546875" style="28" customWidth="1"/>
    <col min="3" max="3" width="13.7109375" style="28" customWidth="1"/>
    <col min="4" max="4" width="24.85546875" style="28" bestFit="1" customWidth="1"/>
    <col min="5" max="16384" width="9" style="28"/>
  </cols>
  <sheetData>
    <row r="1" spans="1:4" ht="39.75" customHeight="1" x14ac:dyDescent="0.2">
      <c r="A1" s="92" t="s">
        <v>64</v>
      </c>
      <c r="B1" s="93"/>
      <c r="C1" s="93"/>
      <c r="D1" s="93"/>
    </row>
    <row r="2" spans="1:4" x14ac:dyDescent="0.2">
      <c r="A2" s="28" t="s">
        <v>14</v>
      </c>
      <c r="B2" s="35">
        <v>0.12</v>
      </c>
    </row>
    <row r="4" spans="1:4" s="37" customFormat="1" x14ac:dyDescent="0.2">
      <c r="A4" s="31" t="s">
        <v>13</v>
      </c>
      <c r="B4" s="31" t="s">
        <v>62</v>
      </c>
      <c r="C4" s="31" t="s">
        <v>63</v>
      </c>
    </row>
    <row r="5" spans="1:4" x14ac:dyDescent="0.2">
      <c r="A5" s="29">
        <v>0</v>
      </c>
      <c r="B5" s="28">
        <v>-100</v>
      </c>
      <c r="C5" s="28">
        <v>-250</v>
      </c>
    </row>
    <row r="6" spans="1:4" x14ac:dyDescent="0.2">
      <c r="A6" s="29">
        <v>1</v>
      </c>
      <c r="B6" s="28">
        <v>150</v>
      </c>
      <c r="C6" s="28">
        <f>300</f>
        <v>300</v>
      </c>
    </row>
    <row r="7" spans="1:4" x14ac:dyDescent="0.2">
      <c r="A7" s="29">
        <v>2</v>
      </c>
      <c r="B7" s="28">
        <f>B6</f>
        <v>150</v>
      </c>
      <c r="C7" s="28">
        <f>C6</f>
        <v>300</v>
      </c>
    </row>
    <row r="8" spans="1:4" x14ac:dyDescent="0.2">
      <c r="A8" s="29">
        <v>3</v>
      </c>
      <c r="B8" s="28">
        <f>B7</f>
        <v>150</v>
      </c>
      <c r="C8" s="28">
        <f>C7</f>
        <v>300</v>
      </c>
    </row>
    <row r="9" spans="1:4" x14ac:dyDescent="0.2">
      <c r="A9" s="29">
        <v>4</v>
      </c>
      <c r="B9" s="28">
        <f>B8</f>
        <v>150</v>
      </c>
    </row>
    <row r="10" spans="1:4" x14ac:dyDescent="0.2">
      <c r="A10" s="29">
        <v>5</v>
      </c>
      <c r="B10" s="28">
        <f>B9</f>
        <v>150</v>
      </c>
    </row>
    <row r="11" spans="1:4" x14ac:dyDescent="0.2">
      <c r="A11" s="29">
        <v>6</v>
      </c>
      <c r="B11" s="28">
        <f>B10</f>
        <v>150</v>
      </c>
    </row>
    <row r="13" spans="1:4" x14ac:dyDescent="0.2">
      <c r="A13" s="28" t="s">
        <v>6</v>
      </c>
      <c r="B13" s="40">
        <f>B5+NPV($B$2,B6:B11)</f>
        <v>516.71109852834866</v>
      </c>
      <c r="C13" s="40">
        <f>C5+NPV($B$2,C6:C11)</f>
        <v>470.54938046647214</v>
      </c>
      <c r="D13" s="28" t="str">
        <f ca="1">getformula(C13)</f>
        <v>&lt;-- =C5+NPV($B$2,C6:C11)</v>
      </c>
    </row>
    <row r="14" spans="1:4" ht="25.5" x14ac:dyDescent="0.2">
      <c r="A14" s="41" t="s">
        <v>65</v>
      </c>
      <c r="B14" s="42">
        <f>-PMT(B2,6,B13)</f>
        <v>125.67742815753701</v>
      </c>
      <c r="C14" s="42">
        <f>-PMT(B2,3,C13)</f>
        <v>195.91275486012321</v>
      </c>
      <c r="D14" s="28" t="str">
        <f ca="1">getformula(C14)</f>
        <v>&lt;-- =-PMT(B2,3,C13)</v>
      </c>
    </row>
    <row r="16" spans="1:4" x14ac:dyDescent="0.2">
      <c r="A16" s="34" t="str">
        <f ca="1">ggetformula(B14)</f>
        <v>=-PMT(B2,6,B13)</v>
      </c>
    </row>
    <row r="18" spans="2:3" x14ac:dyDescent="0.2">
      <c r="B18" s="43"/>
      <c r="C18" s="43"/>
    </row>
  </sheetData>
  <mergeCells count="1">
    <mergeCell ref="A1:D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24"/>
  <sheetViews>
    <sheetView topLeftCell="A7" workbookViewId="0">
      <selection sqref="A1:F1"/>
    </sheetView>
  </sheetViews>
  <sheetFormatPr defaultColWidth="9" defaultRowHeight="12.75" x14ac:dyDescent="0.2"/>
  <cols>
    <col min="1" max="1" width="31" style="28" customWidth="1"/>
    <col min="2" max="2" width="14.140625" style="28" customWidth="1"/>
    <col min="3" max="3" width="25.42578125" style="28" bestFit="1" customWidth="1"/>
    <col min="4" max="16384" width="9" style="28"/>
  </cols>
  <sheetData>
    <row r="1" spans="1:3" ht="57.6" customHeight="1" x14ac:dyDescent="0.2">
      <c r="A1" s="92" t="s">
        <v>66</v>
      </c>
      <c r="B1" s="93"/>
      <c r="C1" s="93"/>
    </row>
    <row r="2" spans="1:3" x14ac:dyDescent="0.2">
      <c r="A2" s="28" t="s">
        <v>67</v>
      </c>
      <c r="B2" s="35">
        <v>0.08</v>
      </c>
    </row>
    <row r="3" spans="1:3" x14ac:dyDescent="0.2">
      <c r="A3" s="28" t="s">
        <v>68</v>
      </c>
      <c r="B3" s="44">
        <f>(1+B2)^(1/12)-1</f>
        <v>6.4340301100034303E-3</v>
      </c>
      <c r="C3" s="28" t="str">
        <f ca="1">getformula(B3)</f>
        <v>&lt;-- =(1+B2)^(1/12)-1</v>
      </c>
    </row>
    <row r="4" spans="1:3" ht="25.5" x14ac:dyDescent="0.2">
      <c r="A4" s="45" t="s">
        <v>69</v>
      </c>
      <c r="B4" s="46">
        <v>0.1</v>
      </c>
    </row>
    <row r="6" spans="1:3" x14ac:dyDescent="0.2">
      <c r="A6" s="37" t="s">
        <v>70</v>
      </c>
    </row>
    <row r="7" spans="1:3" x14ac:dyDescent="0.2">
      <c r="A7" s="28" t="s">
        <v>71</v>
      </c>
      <c r="B7" s="28">
        <v>100</v>
      </c>
    </row>
    <row r="8" spans="1:3" x14ac:dyDescent="0.2">
      <c r="A8" s="28" t="s">
        <v>72</v>
      </c>
      <c r="B8" s="43">
        <v>1</v>
      </c>
    </row>
    <row r="9" spans="1:3" x14ac:dyDescent="0.2">
      <c r="A9" s="28" t="s">
        <v>73</v>
      </c>
      <c r="B9" s="28">
        <v>250</v>
      </c>
    </row>
    <row r="10" spans="1:3" x14ac:dyDescent="0.2">
      <c r="A10" s="28" t="s">
        <v>74</v>
      </c>
      <c r="B10" s="38">
        <v>1000</v>
      </c>
    </row>
    <row r="11" spans="1:3" x14ac:dyDescent="0.2">
      <c r="A11" s="28" t="s">
        <v>75</v>
      </c>
      <c r="B11" s="38">
        <f>B10/B9</f>
        <v>4</v>
      </c>
    </row>
    <row r="12" spans="1:3" x14ac:dyDescent="0.2">
      <c r="A12" s="28" t="s">
        <v>76</v>
      </c>
      <c r="B12" s="47">
        <f>B9*$B$4*B7/1000</f>
        <v>2.5</v>
      </c>
      <c r="C12" s="28" t="str">
        <f ca="1">getformula(B12)</f>
        <v>&lt;-- =B9*$B$4*B7/1000</v>
      </c>
    </row>
    <row r="13" spans="1:3" x14ac:dyDescent="0.2">
      <c r="A13" s="28" t="s">
        <v>77</v>
      </c>
      <c r="B13" s="46">
        <f>B8+PV(B3,B11,-B12)</f>
        <v>10.841196016604345</v>
      </c>
      <c r="C13" s="28" t="str">
        <f ca="1">getformula(B13)</f>
        <v>&lt;-- =B8+PV(B3,B11,-B12)</v>
      </c>
    </row>
    <row r="14" spans="1:3" ht="31.9" customHeight="1" x14ac:dyDescent="0.2">
      <c r="A14" s="48" t="s">
        <v>78</v>
      </c>
      <c r="B14" s="49">
        <f>-PMT(B3,B11,B13)</f>
        <v>2.7540341637116041</v>
      </c>
      <c r="C14" s="28" t="str">
        <f ca="1">getformula(B14)</f>
        <v>&lt;-- =-PMT(B3,B11,B13)</v>
      </c>
    </row>
    <row r="15" spans="1:3" x14ac:dyDescent="0.2">
      <c r="B15" s="47"/>
    </row>
    <row r="16" spans="1:3" x14ac:dyDescent="0.2">
      <c r="A16" s="37" t="s">
        <v>79</v>
      </c>
    </row>
    <row r="17" spans="1:3" x14ac:dyDescent="0.2">
      <c r="A17" s="28" t="s">
        <v>71</v>
      </c>
      <c r="B17" s="28">
        <v>15</v>
      </c>
    </row>
    <row r="18" spans="1:3" x14ac:dyDescent="0.2">
      <c r="A18" s="28" t="s">
        <v>72</v>
      </c>
      <c r="B18" s="43">
        <v>5</v>
      </c>
    </row>
    <row r="19" spans="1:3" x14ac:dyDescent="0.2">
      <c r="A19" s="28" t="s">
        <v>73</v>
      </c>
      <c r="B19" s="28">
        <f>B9</f>
        <v>250</v>
      </c>
    </row>
    <row r="20" spans="1:3" x14ac:dyDescent="0.2">
      <c r="A20" s="28" t="s">
        <v>74</v>
      </c>
      <c r="B20" s="38">
        <v>10000</v>
      </c>
    </row>
    <row r="21" spans="1:3" x14ac:dyDescent="0.2">
      <c r="A21" s="28" t="s">
        <v>75</v>
      </c>
      <c r="B21" s="38">
        <f>B20/B19</f>
        <v>40</v>
      </c>
    </row>
    <row r="22" spans="1:3" x14ac:dyDescent="0.2">
      <c r="A22" s="28" t="s">
        <v>76</v>
      </c>
      <c r="B22" s="47">
        <f>B19*$B$4*B17/1000</f>
        <v>0.375</v>
      </c>
      <c r="C22" s="28" t="str">
        <f ca="1">getformula(B22)</f>
        <v>&lt;-- =B19*$B$4*B17/1000</v>
      </c>
    </row>
    <row r="23" spans="1:3" x14ac:dyDescent="0.2">
      <c r="A23" s="28" t="s">
        <v>77</v>
      </c>
      <c r="B23" s="46">
        <f>B18+PV(B3,B21,-B22)</f>
        <v>18.188088073996234</v>
      </c>
      <c r="C23" s="28" t="str">
        <f ca="1">getformula(B23)</f>
        <v>&lt;-- =B18+PV(B3,B21,-B22)</v>
      </c>
    </row>
    <row r="24" spans="1:3" ht="30" customHeight="1" x14ac:dyDescent="0.2">
      <c r="A24" s="48" t="s">
        <v>80</v>
      </c>
      <c r="B24" s="49">
        <f>-PMT(B3,B21,B23)</f>
        <v>0.51717375479142147</v>
      </c>
      <c r="C24" s="28" t="str">
        <f ca="1">getformula(B24)</f>
        <v>&lt;-- =-PMT(B3,B21,B23)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4"/>
  <sheetViews>
    <sheetView tabSelected="1" zoomScale="96" zoomScaleNormal="96" workbookViewId="0">
      <selection activeCell="F11" sqref="F11"/>
    </sheetView>
  </sheetViews>
  <sheetFormatPr defaultColWidth="9" defaultRowHeight="12.75" x14ac:dyDescent="0.2"/>
  <cols>
    <col min="1" max="1" width="15.140625" bestFit="1" customWidth="1"/>
    <col min="2" max="2" width="15.42578125" bestFit="1" customWidth="1"/>
    <col min="3" max="3" width="21.5703125" bestFit="1" customWidth="1"/>
    <col min="4" max="4" width="6.85546875" bestFit="1" customWidth="1"/>
    <col min="5" max="5" width="13.28515625" customWidth="1"/>
    <col min="6" max="6" width="26.85546875" bestFit="1" customWidth="1"/>
  </cols>
  <sheetData>
    <row r="1" spans="1:6" ht="18" x14ac:dyDescent="0.25">
      <c r="A1" s="84" t="s">
        <v>81</v>
      </c>
      <c r="B1" s="84"/>
      <c r="C1" s="84"/>
      <c r="D1" s="84"/>
      <c r="E1" s="84"/>
      <c r="F1" s="84"/>
    </row>
    <row r="2" spans="1:6" s="51" customFormat="1" ht="15" x14ac:dyDescent="0.25">
      <c r="A2" s="52" t="s">
        <v>14</v>
      </c>
      <c r="B2" s="53">
        <v>0.1</v>
      </c>
      <c r="C2" s="50"/>
      <c r="D2" s="50"/>
      <c r="E2" s="50"/>
      <c r="F2" s="50"/>
    </row>
    <row r="4" spans="1:6" s="9" customFormat="1" x14ac:dyDescent="0.2">
      <c r="A4" s="8" t="s">
        <v>0</v>
      </c>
      <c r="B4" s="8" t="s">
        <v>3</v>
      </c>
      <c r="C4" s="8" t="s">
        <v>4</v>
      </c>
      <c r="D4" s="8" t="s">
        <v>5</v>
      </c>
      <c r="E4" s="8" t="s">
        <v>6</v>
      </c>
    </row>
    <row r="5" spans="1:6" s="1" customFormat="1" x14ac:dyDescent="0.2">
      <c r="A5" s="1" t="s">
        <v>1</v>
      </c>
      <c r="B5" s="1">
        <v>-100</v>
      </c>
      <c r="C5" s="1">
        <v>150</v>
      </c>
      <c r="D5" s="1">
        <v>170</v>
      </c>
      <c r="E5" s="6">
        <f>B5+NPV($B$2,C5:D5)</f>
        <v>176.85950413223134</v>
      </c>
      <c r="F5" s="1" t="str">
        <f ca="1">getformula(E5)</f>
        <v>&lt;-- =B5+NPV($B$2,C5:D5)</v>
      </c>
    </row>
    <row r="6" spans="1:6" s="1" customFormat="1" x14ac:dyDescent="0.2">
      <c r="A6" s="1" t="s">
        <v>2</v>
      </c>
      <c r="B6" s="1">
        <v>-120</v>
      </c>
      <c r="C6" s="1">
        <v>200</v>
      </c>
      <c r="D6" s="1">
        <v>140</v>
      </c>
      <c r="E6" s="6">
        <f t="shared" ref="E6:E7" si="0">B6+NPV($B$2,C6:D6)</f>
        <v>177.52066115702473</v>
      </c>
    </row>
    <row r="7" spans="1:6" s="1" customFormat="1" x14ac:dyDescent="0.2">
      <c r="A7" s="1" t="s">
        <v>9</v>
      </c>
      <c r="B7" s="1">
        <v>-150</v>
      </c>
      <c r="C7" s="1">
        <v>300</v>
      </c>
      <c r="D7" s="1">
        <v>300</v>
      </c>
      <c r="E7" s="6">
        <f t="shared" si="0"/>
        <v>370.6611570247934</v>
      </c>
    </row>
    <row r="8" spans="1:6" s="1" customFormat="1" x14ac:dyDescent="0.2"/>
    <row r="9" spans="1:6" s="1" customFormat="1" ht="17.649999999999999" customHeight="1" x14ac:dyDescent="0.2"/>
    <row r="10" spans="1:6" s="5" customFormat="1" ht="25.5" x14ac:dyDescent="0.2">
      <c r="A10" s="2" t="str">
        <f>A4</f>
        <v>Project</v>
      </c>
      <c r="B10" s="2" t="s">
        <v>6</v>
      </c>
      <c r="C10" s="2" t="s">
        <v>8</v>
      </c>
      <c r="D10" s="2" t="s">
        <v>7</v>
      </c>
      <c r="E10" s="2" t="s">
        <v>10</v>
      </c>
    </row>
    <row r="11" spans="1:6" s="1" customFormat="1" x14ac:dyDescent="0.2">
      <c r="A11" s="1" t="str">
        <f>A5</f>
        <v>A</v>
      </c>
      <c r="B11" s="6">
        <f>E5</f>
        <v>176.85950413223134</v>
      </c>
      <c r="C11" s="1">
        <v>30</v>
      </c>
      <c r="D11" s="7">
        <f>B11/C11</f>
        <v>5.8953168044077113</v>
      </c>
      <c r="E11" s="10">
        <f>RANK(D11,$D$11:$D$13)</f>
        <v>3</v>
      </c>
      <c r="F11" s="4" t="str">
        <f t="shared" ref="F11:F12" ca="1" si="1">getformula(E11)</f>
        <v>&lt;-- =RANK(D11,$D$11:$D$13)</v>
      </c>
    </row>
    <row r="12" spans="1:6" s="1" customFormat="1" x14ac:dyDescent="0.2">
      <c r="A12" s="1" t="str">
        <f>A6</f>
        <v>B</v>
      </c>
      <c r="B12" s="6">
        <f t="shared" ref="B12:B13" si="2">E6</f>
        <v>177.52066115702473</v>
      </c>
      <c r="C12" s="1">
        <v>20</v>
      </c>
      <c r="D12" s="7">
        <f>B12/C12</f>
        <v>8.8760330578512363</v>
      </c>
      <c r="E12" s="10">
        <f t="shared" ref="E12:E13" si="3">RANK(D12,$D$11:$D$13)</f>
        <v>1</v>
      </c>
      <c r="F12" s="4" t="str">
        <f t="shared" ca="1" si="1"/>
        <v>&lt;-- =RANK(D12,$D$11:$D$13)</v>
      </c>
    </row>
    <row r="13" spans="1:6" s="1" customFormat="1" x14ac:dyDescent="0.2">
      <c r="A13" s="1" t="str">
        <f>A7</f>
        <v>C</v>
      </c>
      <c r="B13" s="6">
        <f t="shared" si="2"/>
        <v>370.6611570247934</v>
      </c>
      <c r="C13" s="1">
        <v>50</v>
      </c>
      <c r="D13" s="7">
        <f>B13/C13</f>
        <v>7.4132231404958677</v>
      </c>
      <c r="E13" s="10">
        <f t="shared" si="3"/>
        <v>2</v>
      </c>
      <c r="F13" s="4" t="str">
        <f ca="1">getformula(E13)</f>
        <v>&lt;-- =RANK(D13,$D$11:$D$13)</v>
      </c>
    </row>
    <row r="14" spans="1:6" s="1" customFormat="1" x14ac:dyDescent="0.2"/>
  </sheetData>
  <mergeCells count="1">
    <mergeCell ref="A1:F1"/>
  </mergeCells>
  <phoneticPr fontId="2" type="noConversion"/>
  <printOptions headings="1" gridLines="1"/>
  <pageMargins left="0.74803149606299213" right="0.74803149606299213" top="0.98425196850393704" bottom="0.98425196850393704" header="0.51181102362204722" footer="0.51181102362204722"/>
  <pageSetup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Page 61</vt:lpstr>
      <vt:lpstr>Page 62</vt:lpstr>
      <vt:lpstr>Page 63</vt:lpstr>
      <vt:lpstr>Page 64</vt:lpstr>
      <vt:lpstr>Page 67</vt:lpstr>
      <vt:lpstr>Page 70</vt:lpstr>
      <vt:lpstr>Page 70 bottom</vt:lpstr>
      <vt:lpstr>Page 72</vt:lpstr>
      <vt:lpstr>Page 75</vt:lpstr>
      <vt:lpstr>Page 76</vt:lpstr>
      <vt:lpstr>Page 77</vt:lpstr>
      <vt:lpstr>Page 79</vt:lpstr>
      <vt:lpstr>Page 79 bottom</vt:lpstr>
      <vt:lpstr>Page 80</vt:lpstr>
      <vt:lpstr>Page 81</vt:lpstr>
      <vt:lpstr>Page 82</vt:lpstr>
      <vt:lpstr>Page 83+84</vt:lpstr>
      <vt:lpstr>Page 84 bottom</vt:lpstr>
      <vt:lpstr>Page 85</vt:lpstr>
      <vt:lpstr>Page 87</vt:lpstr>
      <vt:lpstr>Page 89</vt:lpstr>
      <vt:lpstr>Page 90</vt:lpstr>
      <vt:lpstr>Page 91</vt:lpstr>
      <vt:lpstr>Page 92</vt:lpstr>
      <vt:lpstr>Page 92 bottom</vt:lpstr>
      <vt:lpstr>Page 94</vt:lpstr>
      <vt:lpstr>Page 95</vt:lpstr>
      <vt:lpstr>Page 97+98</vt:lpstr>
    </vt:vector>
  </TitlesOfParts>
  <Company>The Wharton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2006-01-08T17:57:28Z</dcterms:created>
  <dcterms:modified xsi:type="dcterms:W3CDTF">2017-08-02T15:03:23Z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Chapter03 - Measures for Evaluation of Investment Opportunities (3).xlsm</vt:lpwstr>
  </property>
</Properties>
</file>